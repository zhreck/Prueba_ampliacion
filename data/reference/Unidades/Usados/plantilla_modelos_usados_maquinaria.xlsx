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5656F996-360F-4182-AE8F-B592E6F3FAFE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INPUT" sheetId="1" r:id="rId1"/>
    <sheet name="NPF" sheetId="2" r:id="rId2"/>
    <sheet name="Diccionario Jerarquías" sheetId="3" r:id="rId3"/>
    <sheet name="Grupo de Articulos" sheetId="4" r:id="rId4"/>
    <sheet name="Diccionario Fabricantes" sheetId="5" r:id="rId5"/>
    <sheet name="Diccionario Filiales" sheetId="6" r:id="rId6"/>
    <sheet name="Diccionario Marcas" sheetId="7" r:id="rId7"/>
    <sheet name="Diccionario GrupoImputacion" sheetId="8" r:id="rId8"/>
  </sheets>
  <definedNames>
    <definedName name="_xlnm._FilterDatabase" localSheetId="2" hidden="1">'Diccionario Jerarquías'!$A$1:$F$95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9" i="1" l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D2" i="1" a="1"/>
  <c r="D3" i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41" i="1" a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8" i="1" a="1"/>
  <c r="D59" i="1" a="1"/>
  <c r="D60" i="1" a="1"/>
  <c r="D61" i="1" a="1"/>
  <c r="D62" i="1" a="1"/>
  <c r="D63" i="1" a="1"/>
  <c r="D64" i="1" a="1"/>
  <c r="D65" i="1" a="1"/>
  <c r="D66" i="1" a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80" i="1" a="1"/>
  <c r="D81" i="1" a="1"/>
  <c r="D82" i="1" a="1"/>
  <c r="D83" i="1" a="1"/>
  <c r="D84" i="1" a="1"/>
  <c r="D85" i="1" a="1"/>
  <c r="D86" i="1" a="1"/>
  <c r="D87" i="1" a="1"/>
  <c r="D88" i="1" a="1"/>
  <c r="D89" i="1" a="1"/>
  <c r="D90" i="1" a="1"/>
  <c r="D91" i="1" a="1"/>
  <c r="D92" i="1" a="1"/>
  <c r="D93" i="1" a="1"/>
  <c r="D94" i="1" a="1"/>
  <c r="D95" i="1" a="1"/>
  <c r="D96" i="1" a="1"/>
  <c r="D97" i="1" a="1"/>
  <c r="D98" i="1" a="1"/>
  <c r="D99" i="1" a="1"/>
  <c r="D100" i="1" a="1"/>
  <c r="D101" i="1" a="1"/>
  <c r="D102" i="1" a="1"/>
  <c r="D103" i="1" a="1"/>
  <c r="D104" i="1" a="1"/>
  <c r="D105" i="1" a="1"/>
  <c r="D106" i="1" a="1"/>
  <c r="D107" i="1" a="1"/>
  <c r="D108" i="1" a="1"/>
  <c r="D109" i="1" a="1"/>
  <c r="D110" i="1" a="1"/>
  <c r="D111" i="1" a="1"/>
  <c r="D112" i="1" a="1"/>
  <c r="D113" i="1" a="1"/>
  <c r="D114" i="1" a="1"/>
  <c r="D115" i="1" a="1"/>
  <c r="D116" i="1" a="1"/>
  <c r="D117" i="1" a="1"/>
  <c r="D118" i="1" a="1"/>
  <c r="D119" i="1" a="1"/>
  <c r="D120" i="1" a="1"/>
  <c r="D121" i="1" a="1"/>
  <c r="D122" i="1" a="1"/>
  <c r="D123" i="1" a="1"/>
  <c r="D124" i="1" a="1"/>
  <c r="D125" i="1" a="1"/>
  <c r="D126" i="1" a="1"/>
  <c r="D127" i="1" a="1"/>
  <c r="D128" i="1" a="1"/>
  <c r="D129" i="1" a="1"/>
  <c r="D130" i="1" a="1"/>
  <c r="D131" i="1" a="1"/>
  <c r="D132" i="1" a="1"/>
  <c r="D133" i="1" a="1"/>
  <c r="D134" i="1" a="1"/>
  <c r="D135" i="1" a="1"/>
  <c r="D136" i="1" a="1"/>
  <c r="D137" i="1" a="1"/>
  <c r="D138" i="1" a="1"/>
  <c r="D139" i="1" a="1"/>
  <c r="D140" i="1" a="1"/>
  <c r="D141" i="1" a="1"/>
  <c r="D142" i="1" a="1"/>
  <c r="D143" i="1" a="1"/>
  <c r="D144" i="1" a="1"/>
  <c r="D145" i="1" a="1"/>
  <c r="D146" i="1" a="1"/>
  <c r="D147" i="1" a="1"/>
  <c r="D148" i="1" a="1"/>
  <c r="D149" i="1" a="1"/>
  <c r="D150" i="1" a="1"/>
  <c r="D151" i="1" a="1"/>
  <c r="D152" i="1" a="1"/>
  <c r="D153" i="1" a="1"/>
  <c r="D154" i="1" a="1"/>
  <c r="D155" i="1" a="1"/>
  <c r="D156" i="1" a="1"/>
  <c r="D157" i="1" a="1"/>
  <c r="D158" i="1" a="1"/>
  <c r="D159" i="1" a="1"/>
  <c r="D160" i="1" a="1"/>
  <c r="D161" i="1" a="1"/>
  <c r="D162" i="1" a="1"/>
  <c r="D163" i="1" a="1"/>
  <c r="D164" i="1" a="1"/>
  <c r="D165" i="1" a="1"/>
  <c r="D166" i="1" a="1"/>
  <c r="D167" i="1" a="1"/>
  <c r="D168" i="1" a="1"/>
  <c r="D169" i="1" a="1"/>
  <c r="D170" i="1" a="1"/>
  <c r="D171" i="1" a="1"/>
  <c r="D172" i="1" a="1"/>
  <c r="D173" i="1" a="1"/>
  <c r="D174" i="1" a="1"/>
  <c r="D175" i="1" a="1"/>
  <c r="D176" i="1" a="1"/>
  <c r="D177" i="1" a="1"/>
  <c r="D178" i="1" a="1"/>
  <c r="D179" i="1" a="1"/>
  <c r="D180" i="1" a="1"/>
  <c r="D181" i="1" a="1"/>
  <c r="D182" i="1" a="1"/>
  <c r="D183" i="1" a="1"/>
  <c r="D184" i="1" a="1"/>
  <c r="D185" i="1" a="1"/>
  <c r="D186" i="1" a="1"/>
  <c r="D187" i="1" a="1"/>
  <c r="D188" i="1" a="1"/>
  <c r="D189" i="1" a="1"/>
  <c r="D190" i="1" a="1"/>
  <c r="D191" i="1" a="1"/>
  <c r="D192" i="1" a="1"/>
  <c r="D193" i="1" a="1"/>
  <c r="D194" i="1" a="1"/>
  <c r="D195" i="1" a="1"/>
  <c r="D196" i="1" a="1"/>
  <c r="D197" i="1" a="1"/>
  <c r="D198" i="1" a="1"/>
  <c r="D199" i="1" a="1"/>
  <c r="C199" i="1" a="1"/>
  <c r="C199" i="1" s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 a="1"/>
  <c r="C193" i="1" s="1"/>
  <c r="C192" i="1" a="1"/>
  <c r="C192" i="1" s="1"/>
  <c r="C191" i="1" a="1"/>
  <c r="C191" i="1" s="1"/>
  <c r="C190" i="1" a="1"/>
  <c r="C190" i="1" s="1"/>
  <c r="C189" i="1" a="1"/>
  <c r="C189" i="1" s="1"/>
  <c r="C188" i="1" a="1"/>
  <c r="C188" i="1" s="1"/>
  <c r="C187" i="1" a="1"/>
  <c r="C187" i="1" s="1"/>
  <c r="C186" i="1" a="1"/>
  <c r="C186" i="1" s="1"/>
  <c r="C185" i="1" a="1"/>
  <c r="C185" i="1" s="1"/>
  <c r="C184" i="1" a="1"/>
  <c r="C184" i="1" s="1"/>
  <c r="C183" i="1" a="1"/>
  <c r="C183" i="1" s="1"/>
  <c r="C182" i="1" a="1"/>
  <c r="C182" i="1" s="1"/>
  <c r="C181" i="1" a="1"/>
  <c r="C181" i="1" s="1"/>
  <c r="C180" i="1" a="1"/>
  <c r="C180" i="1" s="1"/>
  <c r="C179" i="1" a="1"/>
  <c r="C179" i="1" s="1"/>
  <c r="C178" i="1" a="1"/>
  <c r="C178" i="1" s="1"/>
  <c r="C177" i="1" a="1"/>
  <c r="C177" i="1" s="1"/>
  <c r="C176" i="1" a="1"/>
  <c r="C176" i="1" s="1"/>
  <c r="C175" i="1" a="1"/>
  <c r="C175" i="1" s="1"/>
  <c r="C174" i="1" a="1"/>
  <c r="C174" i="1" s="1"/>
  <c r="C173" i="1" a="1"/>
  <c r="C173" i="1" s="1"/>
  <c r="C172" i="1" a="1"/>
  <c r="C172" i="1" s="1"/>
  <c r="C171" i="1" a="1"/>
  <c r="C171" i="1" s="1"/>
  <c r="C170" i="1" a="1"/>
  <c r="C170" i="1" s="1"/>
  <c r="C169" i="1" a="1"/>
  <c r="C169" i="1" s="1"/>
  <c r="C168" i="1" a="1"/>
  <c r="C168" i="1" s="1"/>
  <c r="C167" i="1" a="1"/>
  <c r="C167" i="1" s="1"/>
  <c r="C166" i="1" a="1"/>
  <c r="C166" i="1" s="1"/>
  <c r="C165" i="1" a="1"/>
  <c r="C165" i="1" s="1"/>
  <c r="C164" i="1" a="1"/>
  <c r="C164" i="1" s="1"/>
  <c r="C163" i="1" a="1"/>
  <c r="C163" i="1" s="1"/>
  <c r="C162" i="1" a="1"/>
  <c r="C162" i="1" s="1"/>
  <c r="C161" i="1" a="1"/>
  <c r="C161" i="1" s="1"/>
  <c r="C160" i="1" a="1"/>
  <c r="C160" i="1" s="1"/>
  <c r="C159" i="1" a="1"/>
  <c r="C159" i="1" s="1"/>
  <c r="C158" i="1" a="1"/>
  <c r="C158" i="1" s="1"/>
  <c r="C157" i="1" a="1"/>
  <c r="C157" i="1" s="1"/>
  <c r="C156" i="1" a="1"/>
  <c r="C156" i="1" s="1"/>
  <c r="C155" i="1" a="1"/>
  <c r="C155" i="1" s="1"/>
  <c r="C154" i="1" a="1"/>
  <c r="C154" i="1" s="1"/>
  <c r="C153" i="1" a="1"/>
  <c r="C153" i="1" s="1"/>
  <c r="C152" i="1" a="1"/>
  <c r="C152" i="1" s="1"/>
  <c r="C151" i="1" a="1"/>
  <c r="C151" i="1" s="1"/>
  <c r="C150" i="1" a="1"/>
  <c r="C150" i="1" s="1"/>
  <c r="C149" i="1" a="1"/>
  <c r="C149" i="1" s="1"/>
  <c r="C148" i="1" a="1"/>
  <c r="C148" i="1" s="1"/>
  <c r="C147" i="1" a="1"/>
  <c r="C147" i="1" s="1"/>
  <c r="C146" i="1" a="1"/>
  <c r="C146" i="1" s="1"/>
  <c r="C145" i="1" a="1"/>
  <c r="C145" i="1" s="1"/>
  <c r="C144" i="1" a="1"/>
  <c r="C144" i="1" s="1"/>
  <c r="C143" i="1" a="1"/>
  <c r="C143" i="1" s="1"/>
  <c r="C142" i="1" a="1"/>
  <c r="C142" i="1" s="1"/>
  <c r="C141" i="1" a="1"/>
  <c r="C141" i="1" s="1"/>
  <c r="C140" i="1" a="1"/>
  <c r="C140" i="1" s="1"/>
  <c r="C139" i="1" a="1"/>
  <c r="C139" i="1" s="1"/>
  <c r="C138" i="1" a="1"/>
  <c r="C138" i="1" s="1"/>
  <c r="C137" i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31" i="1" a="1"/>
  <c r="C131" i="1" s="1"/>
  <c r="C130" i="1" a="1"/>
  <c r="C130" i="1" s="1"/>
  <c r="C129" i="1" a="1"/>
  <c r="C129" i="1" s="1"/>
  <c r="C128" i="1" a="1"/>
  <c r="C128" i="1" s="1"/>
  <c r="C127" i="1" a="1"/>
  <c r="C127" i="1" s="1"/>
  <c r="C126" i="1" a="1"/>
  <c r="C126" i="1" s="1"/>
  <c r="C125" i="1" a="1"/>
  <c r="C125" i="1" s="1"/>
  <c r="C124" i="1" a="1"/>
  <c r="C124" i="1" s="1"/>
  <c r="C123" i="1" a="1"/>
  <c r="C123" i="1" s="1"/>
  <c r="C122" i="1" a="1"/>
  <c r="C122" i="1" s="1"/>
  <c r="C121" i="1" a="1"/>
  <c r="C121" i="1" s="1"/>
  <c r="C120" i="1" a="1"/>
  <c r="C120" i="1" s="1"/>
  <c r="C119" i="1" a="1"/>
  <c r="C119" i="1" s="1"/>
  <c r="C118" i="1" a="1"/>
  <c r="C118" i="1" s="1"/>
  <c r="C117" i="1" a="1"/>
  <c r="C117" i="1" s="1"/>
  <c r="C116" i="1" a="1"/>
  <c r="C116" i="1" s="1"/>
  <c r="C115" i="1" a="1"/>
  <c r="C115" i="1" s="1"/>
  <c r="C114" i="1" a="1"/>
  <c r="C114" i="1" s="1"/>
  <c r="C113" i="1" a="1"/>
  <c r="C113" i="1" s="1"/>
  <c r="C112" i="1" a="1"/>
  <c r="C112" i="1" s="1"/>
  <c r="C111" i="1" a="1"/>
  <c r="C111" i="1" s="1"/>
  <c r="C110" i="1" a="1"/>
  <c r="C110" i="1" s="1"/>
  <c r="C109" i="1" a="1"/>
  <c r="C109" i="1" s="1"/>
  <c r="C108" i="1" a="1"/>
  <c r="C108" i="1" s="1"/>
  <c r="C107" i="1" a="1"/>
  <c r="C107" i="1" s="1"/>
  <c r="C106" i="1" a="1"/>
  <c r="C106" i="1" s="1"/>
  <c r="C105" i="1" a="1"/>
  <c r="C105" i="1" s="1"/>
  <c r="C104" i="1" a="1"/>
  <c r="C104" i="1" s="1"/>
  <c r="C103" i="1" a="1"/>
  <c r="C103" i="1" s="1"/>
  <c r="C102" i="1" a="1"/>
  <c r="C102" i="1" s="1"/>
  <c r="C101" i="1" a="1"/>
  <c r="C101" i="1" s="1"/>
  <c r="C100" i="1" a="1"/>
  <c r="C100" i="1" s="1"/>
  <c r="C99" i="1" a="1"/>
  <c r="C99" i="1" s="1"/>
  <c r="C98" i="1" a="1"/>
  <c r="C98" i="1" s="1"/>
  <c r="C97" i="1" a="1"/>
  <c r="C97" i="1" s="1"/>
  <c r="C96" i="1" a="1"/>
  <c r="C96" i="1" s="1"/>
  <c r="C95" i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N2" i="1"/>
  <c r="C2" i="1" a="1"/>
  <c r="C2" i="1" s="1"/>
  <c r="M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<sst xmlns="http://schemas.openxmlformats.org/spreadsheetml/2006/main" count="1090" uniqueCount="645">
  <si>
    <t>Grupo Artículo</t>
  </si>
  <si>
    <t>Descripción</t>
  </si>
  <si>
    <t>Descripción 2</t>
  </si>
  <si>
    <t>CAMIONES</t>
  </si>
  <si>
    <t>UNID-003</t>
  </si>
  <si>
    <t>MAQ. INDUSTRIAL</t>
  </si>
  <si>
    <t>Unidades para maquinaria industrial (TTI, TTM, TTMQ)</t>
  </si>
  <si>
    <t>FILIAL CODIGO</t>
  </si>
  <si>
    <t>TIPO MATERIAL</t>
  </si>
  <si>
    <t>TEXTO BREVE CALCULADO (MAX 40)</t>
  </si>
  <si>
    <t>NPF CALCULADO (MAX 30)</t>
  </si>
  <si>
    <t>MODELO</t>
  </si>
  <si>
    <t>CATEGORIA</t>
  </si>
  <si>
    <t>COMBUSTIBLE</t>
  </si>
  <si>
    <t>GRUPO ARTICULO</t>
  </si>
  <si>
    <t>NOMBRE JERARQUIA</t>
  </si>
  <si>
    <t>NOMBRE MARCA</t>
  </si>
  <si>
    <t>NOMBRE FABRICANTE</t>
  </si>
  <si>
    <t>GRUPO IMPUTACION</t>
  </si>
  <si>
    <t>LARGO TEXTO BREVE (máx 40)</t>
  </si>
  <si>
    <t>LARGO NPF (máx 30)</t>
  </si>
  <si>
    <t>Tablas de conversión — se pueden ampliar agregando filas al final de cada tabla</t>
  </si>
  <si>
    <t>Abreviaciones de Modelo / Versión</t>
  </si>
  <si>
    <t>Estándar de Nomenclatura NPF — referencia</t>
  </si>
  <si>
    <t>Abreviaciones de Marca (Texto breve)</t>
  </si>
  <si>
    <t>Se aplican en orden de arriba hacia abajo sobre MODELO + VERSIÓN (en mayúsculas), antes de quitar espacios y paréntesis. Las más largas deben ir antes que las cortas (ej: LUX PLUS XL antes que LUX PLUS). Hay 30 filas disponibles.</t>
  </si>
  <si>
    <t>Número de Parte del Fabricante — Migración SAP S/4HANA · Proyecto Integra. Límite SAP: 30 caracteres.</t>
  </si>
  <si>
    <t>Se usa en el TEXTO BREVE. Si el MODELO ya empieza con la abreviatura (ej: DF-1016), la marca no se repite. Se puede ampliar hasta la fila 40.</t>
  </si>
  <si>
    <t>Combustible (SAP)</t>
  </si>
  <si>
    <t>Abrev. NPF</t>
  </si>
  <si>
    <t>Transmisión (SAP)</t>
  </si>
  <si>
    <t>Categoría Maquinaria</t>
  </si>
  <si>
    <t>Tracción</t>
  </si>
  <si>
    <t>Tipo Material</t>
  </si>
  <si>
    <t>Tipo Base (solo ZUSA)</t>
  </si>
  <si>
    <t>Categorías sin cilindrada (motos/ATV)</t>
  </si>
  <si>
    <t>Categorías (lista desplegable)</t>
  </si>
  <si>
    <t>Texto original</t>
  </si>
  <si>
    <t>Abrev.</t>
  </si>
  <si>
    <t>Ejemplo aplicado</t>
  </si>
  <si>
    <t>Marca (SAP)</t>
  </si>
  <si>
    <t>Abrev. Texto breve</t>
  </si>
  <si>
    <t>GASOLINA</t>
  </si>
  <si>
    <t>GSL</t>
  </si>
  <si>
    <t>Mecanica (MT)</t>
  </si>
  <si>
    <t>MT</t>
  </si>
  <si>
    <t>APILADOR</t>
  </si>
  <si>
    <t>APIL</t>
  </si>
  <si>
    <t>2x1</t>
  </si>
  <si>
    <t>ZCAM</t>
  </si>
  <si>
    <t>ZMAQ</t>
  </si>
  <si>
    <t>MAQUINARIAS</t>
  </si>
  <si>
    <t>Motocicleta</t>
  </si>
  <si>
    <t>HORIZON PRO</t>
  </si>
  <si>
    <t>HZPRO</t>
  </si>
  <si>
    <t>RD6 DC HORIZON PRO → RD6DCHZPRO</t>
  </si>
  <si>
    <t>1. Fórmulas por tipo de material</t>
  </si>
  <si>
    <t>DONGFENG</t>
  </si>
  <si>
    <t>DF</t>
  </si>
  <si>
    <t>DIESEL</t>
  </si>
  <si>
    <t>DSL</t>
  </si>
  <si>
    <t>Automatica (AT)</t>
  </si>
  <si>
    <t>AT</t>
  </si>
  <si>
    <t>BIG TRUCK</t>
  </si>
  <si>
    <t>BGTRUCK</t>
  </si>
  <si>
    <t>4x2</t>
  </si>
  <si>
    <t>ZVEH</t>
  </si>
  <si>
    <t>Cuatrimoto</t>
  </si>
  <si>
    <t>TRANSPALETA</t>
  </si>
  <si>
    <t>HYPER HALO</t>
  </si>
  <si>
    <t>HPHALO</t>
  </si>
  <si>
    <t>09 HYPER HALO → 09HPHALO</t>
  </si>
  <si>
    <t>Fórmula NPF</t>
  </si>
  <si>
    <t>Ejemplo</t>
  </si>
  <si>
    <t>Nota</t>
  </si>
  <si>
    <t>FAW</t>
  </si>
  <si>
    <t>ELECTRICIDAD (BEV)</t>
  </si>
  <si>
    <t>BEV</t>
  </si>
  <si>
    <t>Automatizada (AMT)</t>
  </si>
  <si>
    <t>AMT</t>
  </si>
  <si>
    <t>CARGADOR FRONTAL</t>
  </si>
  <si>
    <t>CARG.FR</t>
  </si>
  <si>
    <t>4x4</t>
  </si>
  <si>
    <t>VEHICULOS</t>
  </si>
  <si>
    <t>LUX PLUS XL</t>
  </si>
  <si>
    <t>LPXL</t>
  </si>
  <si>
    <t>DC LUX PLUS XL → DCLPXL</t>
  </si>
  <si>
    <t>ZCAM — Camiones</t>
  </si>
  <si>
    <t>[MODELO+VERSION]-[CIL]-[COMB]-[TRAC]-[TRANS]</t>
  </si>
  <si>
    <t>DF-1823-6.7L-DSL-4X2-AT</t>
  </si>
  <si>
    <t>Tracción en mayúscula (4X2). BEV sin cilindrada.</t>
  </si>
  <si>
    <t>KYC</t>
  </si>
  <si>
    <t>Gasolina/Electricidad (PHEV)</t>
  </si>
  <si>
    <t>PHEV</t>
  </si>
  <si>
    <t>Doble embrague (DCT)</t>
  </si>
  <si>
    <t>DCT</t>
  </si>
  <si>
    <t>EXCAVADORA</t>
  </si>
  <si>
    <t>EXCAV</t>
  </si>
  <si>
    <t>6x2</t>
  </si>
  <si>
    <t>ZUSA</t>
  </si>
  <si>
    <t>USADOS</t>
  </si>
  <si>
    <t>PLATAFORMA</t>
  </si>
  <si>
    <t>LUX PLUS</t>
  </si>
  <si>
    <t>LP</t>
  </si>
  <si>
    <t>DC LUX PLUS → DCLP</t>
  </si>
  <si>
    <t>ZVEH — Vehículos</t>
  </si>
  <si>
    <t>[MODELO+VERSION]-[COMB]-[CIL]-[TRAC]-[TRANS]</t>
  </si>
  <si>
    <t>X3PROELITE-GSL-1.5L-4x2-AT</t>
  </si>
  <si>
    <t>Tracción en minúscula (4x2).</t>
  </si>
  <si>
    <t>LIFAN</t>
  </si>
  <si>
    <t>LF</t>
  </si>
  <si>
    <t>Híbrido ligero (MHEV)</t>
  </si>
  <si>
    <t>MHEV</t>
  </si>
  <si>
    <t>GRUA</t>
  </si>
  <si>
    <t>6x4</t>
  </si>
  <si>
    <t>RETROEXCAVADORA</t>
  </si>
  <si>
    <t>DIGNITY</t>
  </si>
  <si>
    <t>DIG</t>
  </si>
  <si>
    <t>DC DIGNITY → DCDIG</t>
  </si>
  <si>
    <t>ZVEH — BEV puro</t>
  </si>
  <si>
    <t>[MODELO+VERSION]-EV-[TRAC]-[TRANS]</t>
  </si>
  <si>
    <t>RD6DC86KWH-BEV-4x2-AT</t>
  </si>
  <si>
    <t>Sin cilindrada, kWh va en modelo.</t>
  </si>
  <si>
    <t>LIFAN AUTO</t>
  </si>
  <si>
    <t>LFA</t>
  </si>
  <si>
    <t>GASOLINA / GLP</t>
  </si>
  <si>
    <t>GSL/GLP</t>
  </si>
  <si>
    <t>MOTONIVELADORA</t>
  </si>
  <si>
    <t>MOTONIV</t>
  </si>
  <si>
    <t>8x4</t>
  </si>
  <si>
    <t>ULTRA</t>
  </si>
  <si>
    <t>ULT</t>
  </si>
  <si>
    <t>DC ULTRA → DCULT</t>
  </si>
  <si>
    <t>ZVEH — PHEV/HEV/MHEV</t>
  </si>
  <si>
    <t>[MODELO+VERSION+KWH]-[COMB]-[CIL]-[TRAC]-[TRANS]</t>
  </si>
  <si>
    <t>RD6DCULT19KWH-PHEV-1.5L-4x4-AT</t>
  </si>
  <si>
    <t>Lleva cilindrada (motor de combustión).</t>
  </si>
  <si>
    <t>LINHAI</t>
  </si>
  <si>
    <t>LH</t>
  </si>
  <si>
    <t>GLP</t>
  </si>
  <si>
    <t>PLAT</t>
  </si>
  <si>
    <t>10x4</t>
  </si>
  <si>
    <t>TRUCK BOX</t>
  </si>
  <si>
    <t>TBOX</t>
  </si>
  <si>
    <t>Truck DC Truck Box → TRKDCTBOX</t>
  </si>
  <si>
    <t>ZVEH — Motos/ATV</t>
  </si>
  <si>
    <t>[MODELO+VERSION]-[COMB]-[TRAC]-[TRANS]</t>
  </si>
  <si>
    <t>LF125T-2VIII-GSL-2x1-MT</t>
  </si>
  <si>
    <t>Sin cilindrada.</t>
  </si>
  <si>
    <t>BASHAN</t>
  </si>
  <si>
    <t>BSH</t>
  </si>
  <si>
    <t>PORTACONTENEDOR</t>
  </si>
  <si>
    <t>PORTAC</t>
  </si>
  <si>
    <t>RODILLO COMPACTADOR</t>
  </si>
  <si>
    <t>TRUCK</t>
  </si>
  <si>
    <t>TRK</t>
  </si>
  <si>
    <t>ZMAQ — Maquinaria</t>
  </si>
  <si>
    <t>[CAT_ABREV]-[MODELO]-[COMB]</t>
  </si>
  <si>
    <t>EXCAV-HMK220LC-DSL</t>
  </si>
  <si>
    <t>Fabricante identificado en modelo.</t>
  </si>
  <si>
    <t>INTERNATIONAL</t>
  </si>
  <si>
    <t>INTL</t>
  </si>
  <si>
    <t>REACHTRUCK</t>
  </si>
  <si>
    <t>REACHTR</t>
  </si>
  <si>
    <t>GRAND LION</t>
  </si>
  <si>
    <t>GLN</t>
  </si>
  <si>
    <t>Grand Lion DC → GLNDC</t>
  </si>
  <si>
    <t>ZUSA — Genérico</t>
  </si>
  <si>
    <t>USADO-[TIPO]</t>
  </si>
  <si>
    <t>USADO-CAM</t>
  </si>
  <si>
    <t>Sin especificaciones.</t>
  </si>
  <si>
    <t>LIVAN</t>
  </si>
  <si>
    <t>LVN</t>
  </si>
  <si>
    <t>RETROEX</t>
  </si>
  <si>
    <t>MANIPULADOR TELESCOPICO</t>
  </si>
  <si>
    <t>TERRALORD</t>
  </si>
  <si>
    <t>TRLD</t>
  </si>
  <si>
    <t>TERRALORD DC → TRLDDC</t>
  </si>
  <si>
    <t>ZUSA — Específico</t>
  </si>
  <si>
    <t>[fórmula del tipo]-U</t>
  </si>
  <si>
    <t>DF-1417-3.8L-DSL-4X2-MT-U</t>
  </si>
  <si>
    <t>Sufijo -U.</t>
  </si>
  <si>
    <t>LYNK &amp; CO</t>
  </si>
  <si>
    <t>LYNK</t>
  </si>
  <si>
    <t>RODILLO</t>
  </si>
  <si>
    <t>19.1 KWH</t>
  </si>
  <si>
    <t>19KWH</t>
  </si>
  <si>
    <t>DC ULTRA 19.1 kWh → DCULT19KWH</t>
  </si>
  <si>
    <t>RIDDARA</t>
  </si>
  <si>
    <t>RD</t>
  </si>
  <si>
    <t>TRANSP</t>
  </si>
  <si>
    <t>2. Cilindrada (cc → litros)</t>
  </si>
  <si>
    <t>ZX</t>
  </si>
  <si>
    <t>YARDTRUCK</t>
  </si>
  <si>
    <t>YARDT</t>
  </si>
  <si>
    <t>GRUA PORTACONTENEDOR</t>
  </si>
  <si>
    <t>• Se expresa en litros con 1 decimal: cc / 1000 redondeado (ej: 1969 → 2.0L, 2378 → 2.4L, 12520 → 12.5L).</t>
  </si>
  <si>
    <t>OTRAS MARCAS</t>
  </si>
  <si>
    <t>OTRAS</t>
  </si>
  <si>
    <t>REACHSTACKER</t>
  </si>
  <si>
    <t>REACHKER</t>
  </si>
  <si>
    <t>MINIEXCAVADORA</t>
  </si>
  <si>
    <t>• Usar 2 decimales (columna J = 2) cuando dos motores del mismo modelo redondearían igual (ej: 6690 → 6.69L vs 6700 → 6.7L).</t>
  </si>
  <si>
    <t>ORDER PICKER</t>
  </si>
  <si>
    <t>ORDERPICKER</t>
  </si>
  <si>
    <t>MINICARGADOR</t>
  </si>
  <si>
    <t>• Motos/cuatrimotos y BEV puros NO llevan cilindrada. PHEV/HEV/MHEV SÍ llevan.</t>
  </si>
  <si>
    <t>EMPTY CONTAINER</t>
  </si>
  <si>
    <t>EMPCONTI</t>
  </si>
  <si>
    <t>MINIRETROEXCAVADORA</t>
  </si>
  <si>
    <t>GENERADOR</t>
  </si>
  <si>
    <t>GENER</t>
  </si>
  <si>
    <t>3. Reglas generales</t>
  </si>
  <si>
    <t>GRUA HORQUILLA</t>
  </si>
  <si>
    <t>GRUA HOR</t>
  </si>
  <si>
    <t>• Límite máximo: 30 caracteres (restricción SAP).</t>
  </si>
  <si>
    <t>MINIRET</t>
  </si>
  <si>
    <t>MAQUINA INDUSTRIAL TRACTOR</t>
  </si>
  <si>
    <t>• Separador: guión (-) entre cada bloque del NPF.</t>
  </si>
  <si>
    <t>MEXCAV</t>
  </si>
  <si>
    <t>• Modelo y versión se concatenan sin espacios; se eliminan los paréntesis (LF125T-2V(III) → LF125T-2VIII).</t>
  </si>
  <si>
    <t>MCARG.FR</t>
  </si>
  <si>
    <t>• Todo en mayúsculas, excepto la L de litros (1.5L) y la tracción de ZVEH (4x2).</t>
  </si>
  <si>
    <t>GRUA PORT</t>
  </si>
  <si>
    <t>• Versiones largas se abrevian según la hoja Abreviaciones (objetivo: modelo+versión de 12–14 caracteres).</t>
  </si>
  <si>
    <t>MAINDTRAC</t>
  </si>
  <si>
    <t>• Combustible, transmisión y categoría de maquinaria se abrevian según la hoja Tablas.</t>
  </si>
  <si>
    <t>MANTELESC</t>
  </si>
  <si>
    <t>• Duplicados: si dos materiales generan el mismo NPF, usar 2 decimales en la cilindrada.</t>
  </si>
  <si>
    <t>Proyecto SAP Integra · Tattersall · Datos Maestros VMS</t>
  </si>
  <si>
    <t>Texto</t>
  </si>
  <si>
    <t>Nivel en la Jerarquía</t>
  </si>
  <si>
    <t>Nivel 1</t>
  </si>
  <si>
    <t>Nivel 2</t>
  </si>
  <si>
    <t>Nivel 3</t>
  </si>
  <si>
    <t>Texto Categoría</t>
  </si>
  <si>
    <t>HIDROMEK UNIDAD</t>
  </si>
  <si>
    <t>1</t>
  </si>
  <si>
    <t>00201</t>
  </si>
  <si>
    <t>2</t>
  </si>
  <si>
    <t>00001</t>
  </si>
  <si>
    <t>HIDROMEK UNIDAD - DIESEL</t>
  </si>
  <si>
    <t>3</t>
  </si>
  <si>
    <t>00000001</t>
  </si>
  <si>
    <t>HIDROMEK UNIDAD - DIESEL - CARGADOR FRONTAL</t>
  </si>
  <si>
    <t>00000002</t>
  </si>
  <si>
    <t>HIDROMEK UNIDAD - DIESEL - EXCAVADORA</t>
  </si>
  <si>
    <t>00000003</t>
  </si>
  <si>
    <t>HIDROMEK UNIDAD - DIESEL - MOTONIVELADORA</t>
  </si>
  <si>
    <t>00000004</t>
  </si>
  <si>
    <t>HIDROMEK UNIDAD - DIESEL - RETROEXCAVADORA</t>
  </si>
  <si>
    <t>00000005</t>
  </si>
  <si>
    <t>HIDROMEK UNIDAD - DIESEL - RODILLO COMPACTADOR</t>
  </si>
  <si>
    <t>00000006</t>
  </si>
  <si>
    <t>HIDROMEK UNIDAD - DIESEL - MINIRETROEXCAVADORA</t>
  </si>
  <si>
    <t>HYSTER UNIDAD</t>
  </si>
  <si>
    <t>00203</t>
  </si>
  <si>
    <t>ELECTRICOS</t>
  </si>
  <si>
    <t>HYSTER UNIDAD - ELECTRICOS</t>
  </si>
  <si>
    <t>GRUAS</t>
  </si>
  <si>
    <t>HYSTER UNIDAD - ELECTRICOS - GRUA</t>
  </si>
  <si>
    <t>HYSTER UNIDAD - ELECTRICOS - APILADOR</t>
  </si>
  <si>
    <t>HYSTER UNIDAD - ELECTRICOS - TRANSPALETA</t>
  </si>
  <si>
    <t>HYSTER UNIDAD - ELECTRICOS - REACHTRUCK</t>
  </si>
  <si>
    <t>HYSTER UNIDAD - ELECTRICOS - ORDER PICKER</t>
  </si>
  <si>
    <t>00002</t>
  </si>
  <si>
    <t>HYSTER UNIDAD - DIESEL</t>
  </si>
  <si>
    <t>HYSTER UNIDAD - DIESEL - GRUA</t>
  </si>
  <si>
    <t>HYSTER UNIDAD - DIESEL - APILADOR</t>
  </si>
  <si>
    <t>HYSTER UNIDAD - DIESEL - TRANSPALETA</t>
  </si>
  <si>
    <t>HYSTER UNIDAD - DIESEL - PORTACONTENEDOR</t>
  </si>
  <si>
    <t>HYSTER UNIDAD - DIESEL - BIG TRUCK</t>
  </si>
  <si>
    <t>HYSTER UNIDAD - DIESEL - REACHSTACKER</t>
  </si>
  <si>
    <t>00000007</t>
  </si>
  <si>
    <t>HYSTER UNIDAD - DIESEL - EMPTY CONTAINER</t>
  </si>
  <si>
    <t>00003</t>
  </si>
  <si>
    <t>HYSTER UNIDAD - GLP</t>
  </si>
  <si>
    <t>HYSTER UNIDAD - GLP - GRUA</t>
  </si>
  <si>
    <t>HYSTER UNIDAD - GLP - APILADOR</t>
  </si>
  <si>
    <t>HYSTER UNIDAD - GLP - TRANSPALETA</t>
  </si>
  <si>
    <t>GLP DUAL</t>
  </si>
  <si>
    <t>00004</t>
  </si>
  <si>
    <t>HYSTER UNIDAD - GLP DUAL</t>
  </si>
  <si>
    <t>HYSTER UNIDAD - GLP DUAL - GRUA</t>
  </si>
  <si>
    <t>HYSTER UNIDAD - GLP DUAL - APILADOR</t>
  </si>
  <si>
    <t>HYSTER UNIDAD - GLP DUAL - TRANSPALETA</t>
  </si>
  <si>
    <t>LIUGONG UNIDAD</t>
  </si>
  <si>
    <t>00205</t>
  </si>
  <si>
    <t>LIUGONG UNIDAD - ELECTRICOS</t>
  </si>
  <si>
    <t>BULLDOZER</t>
  </si>
  <si>
    <t>LIUGONG UNIDAD - ELECTRICOS - BULLDOZER</t>
  </si>
  <si>
    <t>LIUGONG UNIDAD - ELECTRICOS - CARGADOR FRONTAL</t>
  </si>
  <si>
    <t>LIUGONG UNIDAD - ELECTRICOS - EXCAVADORA</t>
  </si>
  <si>
    <t>LIUGONG UNIDAD - ELECTRICOS - MOTONIVELADORA</t>
  </si>
  <si>
    <t>LIUGONG UNIDAD - ELECTRICOS - PLATAFORMA</t>
  </si>
  <si>
    <t>LIUGONG UNIDAD - ELECTRICOS - RETROEXCAVADORA</t>
  </si>
  <si>
    <t>LIUGONG UNIDAD - ELECTRICOS - RODILLO</t>
  </si>
  <si>
    <t>00000008</t>
  </si>
  <si>
    <t>LIUGONG UNIDAD - ELECTRICOS - APILADOR</t>
  </si>
  <si>
    <t>LIUGONG UNIDAD - DIESEL</t>
  </si>
  <si>
    <t>LIUGONG UNIDAD - DIESEL - BULLDOZER</t>
  </si>
  <si>
    <t>CARGADOR</t>
  </si>
  <si>
    <t>LIUGONG UNIDAD - DIESEL - CARGADOR FRONTAL</t>
  </si>
  <si>
    <t>LIUGONG UNIDAD - DIESEL - EXCAVADORA</t>
  </si>
  <si>
    <t>LIUGONG UNIDAD - DIESEL - MOTONIVELADORA</t>
  </si>
  <si>
    <t>LIUGONG UNIDAD - DIESEL - PLATAFORMA</t>
  </si>
  <si>
    <t>LIUGONG UNIDAD - DIESEL - RETROEXCAVADORA</t>
  </si>
  <si>
    <t>LIUGONG UNIDAD - DIESEL - RODILLO COMPACTADOR</t>
  </si>
  <si>
    <t>LIUGONG UNIDAD - DIESEL - MINIEXCAVADORA</t>
  </si>
  <si>
    <t>00000009</t>
  </si>
  <si>
    <t>LIUGONG UNIDAD - DIESEL - MINICARGADOR</t>
  </si>
  <si>
    <t>MAXIMAL UNIDAD</t>
  </si>
  <si>
    <t>00207</t>
  </si>
  <si>
    <t>MAXIMAL UNIDAD - ELECTRICOS</t>
  </si>
  <si>
    <t>MAXIMAL UNIDAD - ELECTRICOS - GRUA</t>
  </si>
  <si>
    <t>MAXIMAL UNIDAD - ELECTRICOS - APILADOR</t>
  </si>
  <si>
    <t>MAXIMAL UNIDAD - ELECTRICOS - TRANSPALETA</t>
  </si>
  <si>
    <t>MAXIMAL UNIDAD - ELECTRICOS - REACHTRUCK</t>
  </si>
  <si>
    <t>MAXIMAL UNIDAD - DIESEL</t>
  </si>
  <si>
    <t>MAXIMAL UNIDAD - DIESEL - GRUA</t>
  </si>
  <si>
    <t>MAXIMAL UNIDAD - DIESEL - APILADOR</t>
  </si>
  <si>
    <t>MAXIMAL UNIDAD - DIESEL - TRANSPALETA</t>
  </si>
  <si>
    <t>MAXIMAL UNIDAD - GLP</t>
  </si>
  <si>
    <t>MAXIMAL UNIDAD - GLP - GRUA</t>
  </si>
  <si>
    <t>MAXIMAL UNIDAD - GLP - APILADOR</t>
  </si>
  <si>
    <t>MAXIMAL UNIDAD - GLP - TRANSPALETA</t>
  </si>
  <si>
    <t>MAXIMAL UNIDAD - GLP DUAL</t>
  </si>
  <si>
    <t>MAXIMAL UNIDAD - GLP DUAL - GRUA</t>
  </si>
  <si>
    <t>MAXIMAL UNIDAD - GLP DUAL - APILADOR</t>
  </si>
  <si>
    <t>MAXIMAL UNIDAD - GLP DUAL - TRANSPALETA</t>
  </si>
  <si>
    <t>UNIDADES</t>
  </si>
  <si>
    <t>00006</t>
  </si>
  <si>
    <t>MAXIMAL UNIDAD - UNIDADES</t>
  </si>
  <si>
    <t>ELECTRICAS</t>
  </si>
  <si>
    <t>MAXIMAL UNIDAD - UNIDADES - ELECTRICAS</t>
  </si>
  <si>
    <t>GAS</t>
  </si>
  <si>
    <t>MAXIMAL UNIDAD - UNIDADES - GAS</t>
  </si>
  <si>
    <t>MAXIMAL UNIDAD - UNIDADES - DIESEL</t>
  </si>
  <si>
    <t>TERBERG UNIDAD</t>
  </si>
  <si>
    <t>00209</t>
  </si>
  <si>
    <t>TERBERG UNIDAD - ELECTRICOS</t>
  </si>
  <si>
    <t>TERBERG UNIDAD - ELECTRICOS - YARDTRUCK</t>
  </si>
  <si>
    <t>TERBERG UNIDAD - DIESEL</t>
  </si>
  <si>
    <t>TERBERG UNIDAD - DIESEL - YARDTRUCK</t>
  </si>
  <si>
    <t>MAQ. TRELLEBORG</t>
  </si>
  <si>
    <t>00210</t>
  </si>
  <si>
    <t>NEUMATICOS</t>
  </si>
  <si>
    <t>MAQ. TRELLEBORG - NEUMATICOS</t>
  </si>
  <si>
    <t>MAQ. OTRAS MARCAS</t>
  </si>
  <si>
    <t>00211</t>
  </si>
  <si>
    <t>ADITAMENTOS</t>
  </si>
  <si>
    <t>MAQ. OTRAS MARCAS - ADITAMENTOS</t>
  </si>
  <si>
    <t>EQUIPAMIENTOS</t>
  </si>
  <si>
    <t>MAQ. OTRAS MARCAS - EQUIPAMIENTOS</t>
  </si>
  <si>
    <t>FLEXIBLES</t>
  </si>
  <si>
    <t>MAQ. OTRAS MARCAS - FLEXIBLES</t>
  </si>
  <si>
    <t>HIDRAULICO</t>
  </si>
  <si>
    <t>MAQ. OTRAS MARCAS - FLEXIBLES - HIDRAULICO</t>
  </si>
  <si>
    <t>INSUMOS</t>
  </si>
  <si>
    <t>MAQ. OTRAS MARCAS - INSUMOS</t>
  </si>
  <si>
    <t>LUBRICANTES</t>
  </si>
  <si>
    <t>00005</t>
  </si>
  <si>
    <t>MAQ. OTRAS MARCAS - LUBRICANTES</t>
  </si>
  <si>
    <t>MARKETING</t>
  </si>
  <si>
    <t>MAQ. OTRAS MARCAS - MARKETING</t>
  </si>
  <si>
    <t>00007</t>
  </si>
  <si>
    <t>MAQ. OTRAS MARCAS - NEUMATICOS</t>
  </si>
  <si>
    <t>00009</t>
  </si>
  <si>
    <t>MAQ. OTRAS MARCAS - UNIDADES</t>
  </si>
  <si>
    <t>MAQ. OTRAS MARCAS - UNIDADES - ELECTRICAS</t>
  </si>
  <si>
    <t>MAQ. OTRAS MARCAS - UNIDADES - GAS</t>
  </si>
  <si>
    <t>MAQ. OTRAS MARCAS - UNIDADES - DIESEL</t>
  </si>
  <si>
    <t>DUAL</t>
  </si>
  <si>
    <t>MAQ. OTRAS MARCAS - UNIDADES - DUAL</t>
  </si>
  <si>
    <t>Fabricante</t>
  </si>
  <si>
    <t>Nombre Fabricante</t>
  </si>
  <si>
    <t>Fabricante externo</t>
  </si>
  <si>
    <t>F0001</t>
  </si>
  <si>
    <t>CHINA DONG FENG MOTOR INDUSTRY  IMP</t>
  </si>
  <si>
    <t>DFCV</t>
  </si>
  <si>
    <t>F0002</t>
  </si>
  <si>
    <t>ACCURIDE WHEEL</t>
  </si>
  <si>
    <t>ACWHE</t>
  </si>
  <si>
    <t>F0003</t>
  </si>
  <si>
    <t>ADQUIM</t>
  </si>
  <si>
    <t>ADQUI</t>
  </si>
  <si>
    <t>F0004</t>
  </si>
  <si>
    <t>ALLIANCE</t>
  </si>
  <si>
    <t>ALLIA</t>
  </si>
  <si>
    <t>F0005</t>
  </si>
  <si>
    <t>ANKA</t>
  </si>
  <si>
    <t>F0006</t>
  </si>
  <si>
    <t>INTERNATIONAL MOTORS, LLC</t>
  </si>
  <si>
    <t>INT</t>
  </si>
  <si>
    <t>F0007</t>
  </si>
  <si>
    <t>BENDIX</t>
  </si>
  <si>
    <t>BENDI</t>
  </si>
  <si>
    <t>F0008</t>
  </si>
  <si>
    <t>BORGWARNER ALL MAKES</t>
  </si>
  <si>
    <t>BORWA</t>
  </si>
  <si>
    <t>F0009</t>
  </si>
  <si>
    <t>BRAKEDRUM</t>
  </si>
  <si>
    <t>BRAKE</t>
  </si>
  <si>
    <t>F0010</t>
  </si>
  <si>
    <t>HYSTER-YALE MAXIMAL FORKLIFT (ZHEJI</t>
  </si>
  <si>
    <t>MXML</t>
  </si>
  <si>
    <t>F0011</t>
  </si>
  <si>
    <t>TVH FORKLIFT PARTS NV</t>
  </si>
  <si>
    <t>TVH</t>
  </si>
  <si>
    <t>F0012</t>
  </si>
  <si>
    <t>NMHG INC. PARTS DISTRIBUTION CENTER</t>
  </si>
  <si>
    <t>HYST</t>
  </si>
  <si>
    <t>F0013</t>
  </si>
  <si>
    <t>TREL</t>
  </si>
  <si>
    <t>F0014</t>
  </si>
  <si>
    <t>HIDROMEK-HIDROLIK VE MEKNANIK LTD.</t>
  </si>
  <si>
    <t>HMK</t>
  </si>
  <si>
    <t>F0015</t>
  </si>
  <si>
    <t>Terberg Tractors Americas, Inc</t>
  </si>
  <si>
    <t>TERB</t>
  </si>
  <si>
    <t>F0016</t>
  </si>
  <si>
    <t>Guangxi Liugong Machinery Co., Ltd.</t>
  </si>
  <si>
    <t>LIUG</t>
  </si>
  <si>
    <t>F0017</t>
  </si>
  <si>
    <t>DRSS</t>
  </si>
  <si>
    <t>F0018</t>
  </si>
  <si>
    <t>MOTORPEL CO. LTD.</t>
  </si>
  <si>
    <t>MTPL</t>
  </si>
  <si>
    <t>F0019</t>
  </si>
  <si>
    <t>KYC CHONGQING KUAYUE (GROUP) CO.</t>
  </si>
  <si>
    <t>F0020</t>
  </si>
  <si>
    <t>ZXAUTO INTERNATINOAL IMPORT AND EXP</t>
  </si>
  <si>
    <t>ZXAU</t>
  </si>
  <si>
    <t>F0021</t>
  </si>
  <si>
    <t>CHONGQING LIFAN SUZHUI FOREIGN TRAD</t>
  </si>
  <si>
    <t>LIFM</t>
  </si>
  <si>
    <t>F0022</t>
  </si>
  <si>
    <t>DONGFENG AUTOBOBILE CO LTD</t>
  </si>
  <si>
    <t>DFAC</t>
  </si>
  <si>
    <t>F0023</t>
  </si>
  <si>
    <t>LIVAN AUTO IMP. &amp; EXP. CO., LTD</t>
  </si>
  <si>
    <t>LIVN</t>
  </si>
  <si>
    <t>F0024</t>
  </si>
  <si>
    <t>CHONGQING LIJU IMP &amp; EXP CO., LTD</t>
  </si>
  <si>
    <t>LIFA</t>
  </si>
  <si>
    <t>F0025</t>
  </si>
  <si>
    <t>SHANDONG OULING AUTOMOBILE MANUFACT</t>
  </si>
  <si>
    <t>RIDD</t>
  </si>
  <si>
    <t>F0026</t>
  </si>
  <si>
    <t>CHONGQING SHINDARY INDUSTRI</t>
  </si>
  <si>
    <t>SHIN</t>
  </si>
  <si>
    <t>F0027</t>
  </si>
  <si>
    <t>LYNK &amp; CO AUTOMOBILE INTERNATIONAL</t>
  </si>
  <si>
    <t>F0028</t>
  </si>
  <si>
    <t>CHINA FAW GROUP IMPORT &amp; EXPORT CO.</t>
  </si>
  <si>
    <t>F0029</t>
  </si>
  <si>
    <t>CHERY AUTOMOBILE HENAN CO. LT</t>
  </si>
  <si>
    <t>JETR</t>
  </si>
  <si>
    <t>F0030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</si>
  <si>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</si>
  <si>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</si>
  <si>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</si>
  <si>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</si>
  <si>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</si>
  <si>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</si>
  <si>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</si>
  <si>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</si>
  <si>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</si>
  <si>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</si>
  <si>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</si>
  <si>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CUMMINS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</si>
  <si>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</si>
  <si>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</si>
  <si>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</si>
  <si>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</si>
  <si>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</si>
  <si>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</si>
  <si>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</si>
  <si>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</si>
  <si>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</si>
  <si>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</si>
  <si>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</si>
  <si>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</si>
  <si>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</si>
  <si>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</si>
  <si>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</si>
  <si>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</si>
  <si>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</si>
  <si>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</si>
  <si>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</si>
  <si>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</si>
  <si>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</si>
  <si>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</si>
  <si>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</si>
  <si>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</si>
  <si>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</si>
  <si>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</si>
  <si>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</si>
  <si>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</si>
  <si>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</si>
  <si>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</si>
  <si>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</si>
  <si>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</si>
  <si>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</si>
  <si>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</si>
  <si>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</si>
  <si>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</si>
  <si>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</si>
  <si>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</si>
  <si>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</si>
  <si>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</si>
  <si>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</si>
  <si>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</si>
  <si>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</si>
  <si>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</si>
  <si>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</si>
  <si>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</si>
  <si>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</si>
  <si>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</si>
  <si>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</si>
  <si>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</si>
  <si>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</si>
  <si>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</si>
  <si>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</si>
  <si>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</si>
  <si>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</si>
  <si>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</si>
  <si>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</si>
  <si>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</si>
  <si>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</si>
  <si>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</si>
  <si>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</si>
  <si>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</si>
  <si>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</si>
  <si>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</si>
  <si>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</si>
  <si>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</si>
  <si>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</si>
  <si>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</si>
  <si>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</si>
  <si>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</si>
  <si>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</si>
  <si>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</si>
  <si>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</si>
  <si>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</si>
  <si>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</si>
  <si>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</si>
  <si>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</si>
  <si>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</si>
  <si>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</si>
  <si>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</si>
  <si>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</si>
  <si>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</si>
  <si>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</si>
  <si>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</si>
  <si>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</si>
  <si>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</si>
  <si>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</si>
  <si>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</si>
  <si>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</si>
  <si>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</si>
  <si>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</si>
  <si>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</si>
  <si>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</si>
  <si>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</si>
  <si>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</si>
  <si>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</si>
  <si>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</si>
  <si>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</si>
  <si>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</si>
  <si>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</si>
  <si>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</si>
  <si>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</si>
  <si>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</si>
  <si>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</si>
  <si>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</si>
  <si>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</si>
  <si>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</si>
  <si>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</si>
  <si>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</si>
  <si>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</si>
  <si>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</si>
  <si>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</si>
  <si>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</si>
  <si>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</si>
  <si>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</si>
  <si>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OTRO</t>
  </si>
  <si>
    <t>Sociedad/es</t>
  </si>
  <si>
    <t>Nombre Sociedad</t>
  </si>
  <si>
    <t>VC00</t>
  </si>
  <si>
    <t>Tattersall Maquinarias</t>
  </si>
  <si>
    <t>VD00</t>
  </si>
  <si>
    <t>Tattersall Multimaq</t>
  </si>
  <si>
    <t>VE00, VC00</t>
  </si>
  <si>
    <t>Tattersall Industrial y Maquinarias</t>
  </si>
  <si>
    <t>Marca</t>
  </si>
  <si>
    <t>Descripción Marca</t>
  </si>
  <si>
    <t>010</t>
  </si>
  <si>
    <t>020</t>
  </si>
  <si>
    <t>ASILE MASTER</t>
  </si>
  <si>
    <t>030</t>
  </si>
  <si>
    <t>COMBILIFT</t>
  </si>
  <si>
    <t>040</t>
  </si>
  <si>
    <t>050</t>
  </si>
  <si>
    <t>D&amp;P</t>
  </si>
  <si>
    <t>060</t>
  </si>
  <si>
    <t>070</t>
  </si>
  <si>
    <t>DRESSTA</t>
  </si>
  <si>
    <t>080</t>
  </si>
  <si>
    <t>090</t>
  </si>
  <si>
    <t>HIDROMEK</t>
  </si>
  <si>
    <t>100</t>
  </si>
  <si>
    <t>HYSTER</t>
  </si>
  <si>
    <t>110</t>
  </si>
  <si>
    <t>120</t>
  </si>
  <si>
    <t>JETOUR</t>
  </si>
  <si>
    <t>130</t>
  </si>
  <si>
    <t>140</t>
  </si>
  <si>
    <t>150</t>
  </si>
  <si>
    <t>LIUGONG</t>
  </si>
  <si>
    <t>160</t>
  </si>
  <si>
    <t>170</t>
  </si>
  <si>
    <t>180</t>
  </si>
  <si>
    <t>MAXIMAL</t>
  </si>
  <si>
    <t>190</t>
  </si>
  <si>
    <t>MICHELIN</t>
  </si>
  <si>
    <t>200</t>
  </si>
  <si>
    <t>MODASA</t>
  </si>
  <si>
    <t>210</t>
  </si>
  <si>
    <t>MUSTANG</t>
  </si>
  <si>
    <t>220</t>
  </si>
  <si>
    <t>230</t>
  </si>
  <si>
    <t>TERBERG</t>
  </si>
  <si>
    <t>240</t>
  </si>
  <si>
    <t>TRELLEBORG</t>
  </si>
  <si>
    <t>250</t>
  </si>
  <si>
    <t>WATTS</t>
  </si>
  <si>
    <t>260</t>
  </si>
  <si>
    <t>270</t>
  </si>
  <si>
    <t>280</t>
  </si>
  <si>
    <t>290</t>
  </si>
  <si>
    <t>codigo</t>
  </si>
  <si>
    <t>descripcion Grupo</t>
  </si>
  <si>
    <t>53</t>
  </si>
  <si>
    <t>Unidad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</si>
</sst>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Calibri"/>
      <family val="2"/>
      <scheme val="minor"/>
    </font>
    <font>
      <sz val="10"/>
      <color rgb="FF101828"/>
      <name val="Segoe UI"/>
      <family val="2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sz val="1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F3864"/>
        <bgColor rgb="FF333399"/>
      </patternFill>
    </fill>
    <fill>
      <patternFill patternType="solid">
        <fgColor rgb="FFFFF9DB"/>
        <bgColor rgb="FFF2F2F2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2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3" fillId="0" borderId="1" xfId="0" applyFont="1" applyBorder="1"/>
    <xf numFmtId="0" fontId="6" fillId="0" borderId="0" xfId="0" applyFont="1" applyAlignment="1">
      <alignment horizontal="left"/>
    </xf>
    <xf numFmtId="49" fontId="5" fillId="4" borderId="1" xfId="0" applyNumberFormat="1" applyFont="1" applyFill="1" applyBorder="1"/>
    <xf numFmtId="0" fontId="5" fillId="4" borderId="1" xfId="0" applyFont="1" applyFill="1" applyBorder="1"/>
    <xf numFmtId="49" fontId="7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5" borderId="1" xfId="0" applyNumberFormat="1" applyFont="1" applyFill="1" applyBorder="1"/>
    <xf numFmtId="0" fontId="4" fillId="5" borderId="1" xfId="0" applyFont="1" applyFill="1" applyBorder="1"/>
    <xf numFmtId="49" fontId="3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0" fillId="0" borderId="1" xfId="0" applyBorder="1"/>
    <xf numFmtId="0" fontId="1" fillId="2" borderId="0" xfId="0" applyFont="1" applyFill="1" applyProtection="1"/>
    <xf numFmtId="0" fontId="3" fillId="8" borderId="0" xfId="0" applyFont="1" applyFill="1" applyProtection="1"/>
    <xf numFmtId="0" fontId="0" fillId="0" borderId="0" xfId="0" applyProtection="1"/>
    <xf numFmtId="0" fontId="9" fillId="0" borderId="0" xfId="0" applyFont="1" applyProtection="1"/>
    <xf numFmtId="0" fontId="13" fillId="0" borderId="0" xfId="0" applyFont="1" applyProtection="1"/>
    <xf numFmtId="0" fontId="12" fillId="0" borderId="0" xfId="0" applyFont="1" applyAlignment="1" applyProtection="1">
      <alignment wrapText="1"/>
    </xf>
    <xf numFmtId="0" fontId="0" fillId="0" borderId="0" xfId="0" applyProtection="1"/>
    <xf numFmtId="0" fontId="12" fillId="0" borderId="0" xfId="0" applyFont="1" applyProtection="1"/>
    <xf numFmtId="0" fontId="10" fillId="6" borderId="2" xfId="0" applyFont="1" applyFill="1" applyBorder="1" applyAlignment="1" applyProtection="1">
      <alignment horizontal="center" vertical="center" wrapText="1"/>
    </xf>
    <xf numFmtId="0" fontId="10" fillId="6" borderId="0" xfId="0" applyFont="1" applyFill="1" applyAlignment="1" applyProtection="1">
      <alignment horizontal="center" vertical="center" wrapText="1"/>
    </xf>
    <xf numFmtId="0" fontId="11" fillId="0" borderId="2" xfId="0" applyFont="1" applyBorder="1" applyProtection="1"/>
    <xf numFmtId="0" fontId="11" fillId="0" borderId="0" xfId="0" applyFont="1" applyProtection="1"/>
    <xf numFmtId="0" fontId="11" fillId="0" borderId="3" xfId="0" applyFont="1" applyBorder="1" applyProtection="1"/>
    <xf numFmtId="49" fontId="0" fillId="0" borderId="1" xfId="0" applyNumberFormat="1" applyBorder="1" applyProtection="1"/>
    <xf numFmtId="0" fontId="11" fillId="7" borderId="2" xfId="0" applyFont="1" applyFill="1" applyBorder="1" applyProtection="1"/>
    <xf numFmtId="0" fontId="14" fillId="0" borderId="0" xfId="0" applyFont="1" applyProtection="1"/>
    <xf numFmtId="0" fontId="17" fillId="0" borderId="2" xfId="0" applyFont="1" applyBorder="1" applyProtection="1"/>
    <xf numFmtId="0" fontId="15" fillId="0" borderId="2" xfId="0" applyFont="1" applyBorder="1" applyAlignment="1" applyProtection="1">
      <alignment vertical="top" wrapText="1"/>
    </xf>
    <xf numFmtId="0" fontId="18" fillId="0" borderId="2" xfId="0" applyFont="1" applyBorder="1" applyAlignment="1" applyProtection="1">
      <alignment vertical="top" wrapText="1"/>
    </xf>
    <xf numFmtId="0" fontId="15" fillId="0" borderId="0" xfId="0" applyFont="1" applyProtection="1"/>
    <xf numFmtId="0" fontId="18" fillId="0" borderId="0" xfId="0" applyFont="1" applyProtection="1"/>
    <xf numFmtId="0" fontId="11" fillId="0" borderId="4" xfId="0" applyFont="1" applyBorder="1" applyProtection="1"/>
    <xf numFmtId="0" fontId="16" fillId="0" borderId="0" xfId="0" applyFont="1" applyProtection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7D2591-F2F3-4AA3-9B93-941F4B29BFB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05c0adf-3758-497d-acf4-0b81e987c1e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C3" sqref="C3"/>
    </sheetView>
  </sheetViews>
  <sheetFormatPr baseColWidth="10" defaultColWidth="9.140625" defaultRowHeight="15" x14ac:dyDescent="0.25"/>
  <cols>
    <col min="1" max="1" width="22.7109375" style="18" bestFit="1" customWidth="1"/>
    <col min="2" max="2" width="14.42578125" style="18" bestFit="1" customWidth="1"/>
    <col min="3" max="3" width="42.140625" style="23" bestFit="1" customWidth="1"/>
    <col min="4" max="4" width="38.140625" style="23" bestFit="1" customWidth="1"/>
    <col min="5" max="6" width="18.5703125" style="18" customWidth="1"/>
    <col min="7" max="7" width="13.28515625" style="18" bestFit="1" customWidth="1"/>
    <col min="8" max="8" width="16.5703125" style="18" bestFit="1" customWidth="1"/>
    <col min="9" max="9" width="45.28515625" style="18" bestFit="1" customWidth="1"/>
    <col min="10" max="10" width="15.85546875" style="18" bestFit="1" customWidth="1"/>
    <col min="11" max="11" width="20.42578125" style="18" bestFit="1" customWidth="1"/>
    <col min="12" max="12" width="20.42578125" style="18" customWidth="1"/>
    <col min="13" max="13" width="27.5703125" style="23" bestFit="1" customWidth="1"/>
    <col min="14" max="14" width="19.140625" style="23" bestFit="1" customWidth="1"/>
    <col min="15" max="16" width="9.140625" style="18" customWidth="1"/>
    <col min="17" max="16384" width="9.140625" style="18"/>
  </cols>
  <sheetData>
    <row r="1" spans="1:14" x14ac:dyDescent="0.25">
      <c r="A1" s="17" t="s">
        <v>7</v>
      </c>
      <c r="B1" s="17" t="s">
        <v>8</v>
      </c>
      <c r="C1" s="21" t="s">
        <v>9</v>
      </c>
      <c r="D1" s="21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21" t="s">
        <v>19</v>
      </c>
      <c r="N1" s="21" t="s">
        <v>20</v>
      </c>
    </row>
    <row r="2" spans="1:14" x14ac:dyDescent="0.25">
      <c r="C2" s="22" t="str">
        <f t="array" ref="C2">IF(E2="","",_xlfn.LET(_xlpm.modelo,UPPER(TRIM(E2)),_xlpm.comb,_xlfn.XLOOKUP(UPPER(TRIM(G2)),UPPER(NPF!$A$4:$A$30),NPF!$B$4:$B$30,"¿COMB?"),UPPER(TRIM(F2))&amp;" "&amp;_xlpm.modelo&amp;" "&amp;_xlpm.comb))</f>
        <v/>
      </c>
      <c r="D2" s="22" t="str" cm="1">
        <f t="array" ref="D2">IF(E2="","",_xlfn.LET(_xlpm.cat,_xlfn.XLOOKUP(UPPER(TRIM(F2)),UPPER(NPF!$G$4:$G$40),NPF!$H$4:$H$40,"¿CAT?"),_xlpm.comb,_xlfn.XLOOKUP(UPPER(TRIM(G2)),UPPER(NPF!$A$4:$A$30),NPF!$B$4:$B$30,"¿COMB?"),_xlpm.txt,NPF!$V$4:$V$33,_xlpm.abr,NPF!$W$4:$W$33,_xlpm.modAbrev,_xlfn.REDUCE(UPPER(TRIM(E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" s="22" t="str">
        <f t="shared" ref="M2:M32" si="0">IF(C2="","",LEN(C2))</f>
        <v/>
      </c>
      <c r="N2" s="22" t="str">
        <f t="shared" ref="N2:N32" si="1">IF(D2="","",LEN(D2))</f>
        <v/>
      </c>
    </row>
    <row r="3" spans="1:14" x14ac:dyDescent="0.25">
      <c r="C3" s="22" t="str">
        <f t="array" ref="C3">IF(E3="","",_xlfn.LET(_xlpm.modelo,UPPER(TRIM(E3)),_xlpm.comb,_xlfn.XLOOKUP(UPPER(TRIM(G3)),UPPER(NPF!$A$4:$A$30),NPF!$B$4:$B$30,"¿COMB?"),UPPER(TRIM(F3))&amp;" "&amp;_xlpm.modelo&amp;" "&amp;_xlpm.comb))</f>
        <v/>
      </c>
      <c r="D3" s="22" t="str" cm="1">
        <f t="array" ref="D3">IF(E3="","",_xlfn.LET(_xlpm.cat,_xlfn.XLOOKUP(UPPER(TRIM(F3)),UPPER(NPF!$G$4:$G$40),NPF!$H$4:$H$40,"¿CAT?"),_xlpm.comb,_xlfn.XLOOKUP(UPPER(TRIM(G3)),UPPER(NPF!$A$4:$A$30),NPF!$B$4:$B$30,"¿COMB?"),_xlpm.txt,NPF!$V$4:$V$33,_xlpm.abr,NPF!$W$4:$W$33,_xlpm.modAbrev,_xlfn.REDUCE(UPPER(TRIM(E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E3" s="19"/>
      <c r="M3" s="22" t="str">
        <f t="shared" ref="M3:M66" si="2">IF(C3="","",LEN(C3))</f>
        <v/>
      </c>
      <c r="N3" s="22" t="str">
        <f t="shared" ref="N3:N66" si="3">IF(D3="","",LEN(D3))</f>
        <v/>
      </c>
    </row>
    <row r="4" spans="1:14" x14ac:dyDescent="0.25">
      <c r="C4" s="22" t="str">
        <f t="array" ref="C4">IF(E4="","",_xlfn.LET(_xlpm.modelo,UPPER(TRIM(E4)),_xlpm.comb,_xlfn.XLOOKUP(UPPER(TRIM(G4)),UPPER(NPF!$A$4:$A$30),NPF!$B$4:$B$30,"¿COMB?"),UPPER(TRIM(F4))&amp;" "&amp;_xlpm.modelo&amp;" "&amp;_xlpm.comb))</f>
        <v/>
      </c>
      <c r="D4" s="22" t="str" cm="1">
        <f t="array" ref="D4">IF(E4="","",_xlfn.LET(_xlpm.cat,_xlfn.XLOOKUP(UPPER(TRIM(F4)),UPPER(NPF!$G$4:$G$40),NPF!$H$4:$H$40,"¿CAT?"),_xlpm.comb,_xlfn.XLOOKUP(UPPER(TRIM(G4)),UPPER(NPF!$A$4:$A$30),NPF!$B$4:$B$30,"¿COMB?"),_xlpm.txt,NPF!$V$4:$V$33,_xlpm.abr,NPF!$W$4:$W$33,_xlpm.modAbrev,_xlfn.REDUCE(UPPER(TRIM(E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" s="22" t="str">
        <f t="shared" si="2"/>
        <v/>
      </c>
      <c r="N4" s="22" t="str">
        <f t="shared" si="3"/>
        <v/>
      </c>
    </row>
    <row r="5" spans="1:14" x14ac:dyDescent="0.25">
      <c r="C5" s="22" t="str">
        <f t="array" ref="C5">IF(E5="","",_xlfn.LET(_xlpm.modelo,UPPER(TRIM(E5)),_xlpm.comb,_xlfn.XLOOKUP(UPPER(TRIM(G5)),UPPER(NPF!$A$4:$A$30),NPF!$B$4:$B$30,"¿COMB?"),UPPER(TRIM(F5))&amp;" "&amp;_xlpm.modelo&amp;" "&amp;_xlpm.comb))</f>
        <v/>
      </c>
      <c r="D5" s="22" t="str" cm="1">
        <f t="array" ref="D5">IF(E5="","",_xlfn.LET(_xlpm.cat,_xlfn.XLOOKUP(UPPER(TRIM(F5)),UPPER(NPF!$G$4:$G$40),NPF!$H$4:$H$40,"¿CAT?"),_xlpm.comb,_xlfn.XLOOKUP(UPPER(TRIM(G5)),UPPER(NPF!$A$4:$A$30),NPF!$B$4:$B$30,"¿COMB?"),_xlpm.txt,NPF!$V$4:$V$33,_xlpm.abr,NPF!$W$4:$W$33,_xlpm.modAbrev,_xlfn.REDUCE(UPPER(TRIM(E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" s="22" t="str">
        <f t="shared" si="2"/>
        <v/>
      </c>
      <c r="N5" s="22" t="str">
        <f t="shared" si="3"/>
        <v/>
      </c>
    </row>
    <row r="6" spans="1:14" x14ac:dyDescent="0.25">
      <c r="C6" s="22" t="str">
        <f t="array" ref="C6">IF(E6="","",_xlfn.LET(_xlpm.modelo,UPPER(TRIM(E6)),_xlpm.comb,_xlfn.XLOOKUP(UPPER(TRIM(G6)),UPPER(NPF!$A$4:$A$30),NPF!$B$4:$B$30,"¿COMB?"),UPPER(TRIM(F6))&amp;" "&amp;_xlpm.modelo&amp;" "&amp;_xlpm.comb))</f>
        <v/>
      </c>
      <c r="D6" s="22" t="str" cm="1">
        <f t="array" ref="D6">IF(E6="","",_xlfn.LET(_xlpm.cat,_xlfn.XLOOKUP(UPPER(TRIM(F6)),UPPER(NPF!$G$4:$G$40),NPF!$H$4:$H$40,"¿CAT?"),_xlpm.comb,_xlfn.XLOOKUP(UPPER(TRIM(G6)),UPPER(NPF!$A$4:$A$30),NPF!$B$4:$B$30,"¿COMB?"),_xlpm.txt,NPF!$V$4:$V$33,_xlpm.abr,NPF!$W$4:$W$33,_xlpm.modAbrev,_xlfn.REDUCE(UPPER(TRIM(E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" s="22" t="str">
        <f t="shared" si="2"/>
        <v/>
      </c>
      <c r="N6" s="22" t="str">
        <f t="shared" si="3"/>
        <v/>
      </c>
    </row>
    <row r="7" spans="1:14" x14ac:dyDescent="0.25">
      <c r="C7" s="22" t="str">
        <f t="array" ref="C7">IF(E7="","",_xlfn.LET(_xlpm.modelo,UPPER(TRIM(E7)),_xlpm.comb,_xlfn.XLOOKUP(UPPER(TRIM(G7)),UPPER(NPF!$A$4:$A$30),NPF!$B$4:$B$30,"¿COMB?"),UPPER(TRIM(F7))&amp;" "&amp;_xlpm.modelo&amp;" "&amp;_xlpm.comb))</f>
        <v/>
      </c>
      <c r="D7" s="22" t="str" cm="1">
        <f t="array" ref="D7">IF(E7="","",_xlfn.LET(_xlpm.cat,_xlfn.XLOOKUP(UPPER(TRIM(F7)),UPPER(NPF!$G$4:$G$40),NPF!$H$4:$H$40,"¿CAT?"),_xlpm.comb,_xlfn.XLOOKUP(UPPER(TRIM(G7)),UPPER(NPF!$A$4:$A$30),NPF!$B$4:$B$30,"¿COMB?"),_xlpm.txt,NPF!$V$4:$V$33,_xlpm.abr,NPF!$W$4:$W$33,_xlpm.modAbrev,_xlfn.REDUCE(UPPER(TRIM(E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" s="22" t="str">
        <f t="shared" si="2"/>
        <v/>
      </c>
      <c r="N7" s="22" t="str">
        <f t="shared" si="3"/>
        <v/>
      </c>
    </row>
    <row r="8" spans="1:14" x14ac:dyDescent="0.25">
      <c r="C8" s="22" t="str">
        <f t="array" ref="C8">IF(E8="","",_xlfn.LET(_xlpm.modelo,UPPER(TRIM(E8)),_xlpm.comb,_xlfn.XLOOKUP(UPPER(TRIM(G8)),UPPER(NPF!$A$4:$A$30),NPF!$B$4:$B$30,"¿COMB?"),UPPER(TRIM(F8))&amp;" "&amp;_xlpm.modelo&amp;" "&amp;_xlpm.comb))</f>
        <v/>
      </c>
      <c r="D8" s="22" t="str" cm="1">
        <f t="array" ref="D8">IF(E8="","",_xlfn.LET(_xlpm.cat,_xlfn.XLOOKUP(UPPER(TRIM(F8)),UPPER(NPF!$G$4:$G$40),NPF!$H$4:$H$40,"¿CAT?"),_xlpm.comb,_xlfn.XLOOKUP(UPPER(TRIM(G8)),UPPER(NPF!$A$4:$A$30),NPF!$B$4:$B$30,"¿COMB?"),_xlpm.txt,NPF!$V$4:$V$33,_xlpm.abr,NPF!$W$4:$W$33,_xlpm.modAbrev,_xlfn.REDUCE(UPPER(TRIM(E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" s="22" t="str">
        <f t="shared" si="2"/>
        <v/>
      </c>
      <c r="N8" s="22" t="str">
        <f t="shared" si="3"/>
        <v/>
      </c>
    </row>
    <row r="9" spans="1:14" x14ac:dyDescent="0.25">
      <c r="C9" s="22" t="str">
        <f t="array" ref="C9">IF(E9="","",_xlfn.LET(_xlpm.modelo,UPPER(TRIM(E9)),_xlpm.comb,_xlfn.XLOOKUP(UPPER(TRIM(G9)),UPPER(NPF!$A$4:$A$30),NPF!$B$4:$B$30,"¿COMB?"),UPPER(TRIM(F9))&amp;" "&amp;_xlpm.modelo&amp;" "&amp;_xlpm.comb))</f>
        <v/>
      </c>
      <c r="D9" s="22" t="str" cm="1">
        <f t="array" ref="D9">IF(E9="","",_xlfn.LET(_xlpm.cat,_xlfn.XLOOKUP(UPPER(TRIM(F9)),UPPER(NPF!$G$4:$G$40),NPF!$H$4:$H$40,"¿CAT?"),_xlpm.comb,_xlfn.XLOOKUP(UPPER(TRIM(G9)),UPPER(NPF!$A$4:$A$30),NPF!$B$4:$B$30,"¿COMB?"),_xlpm.txt,NPF!$V$4:$V$33,_xlpm.abr,NPF!$W$4:$W$33,_xlpm.modAbrev,_xlfn.REDUCE(UPPER(TRIM(E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" s="22" t="str">
        <f t="shared" si="2"/>
        <v/>
      </c>
      <c r="N9" s="22" t="str">
        <f t="shared" si="3"/>
        <v/>
      </c>
    </row>
    <row r="10" spans="1:14" x14ac:dyDescent="0.25">
      <c r="C10" s="22" t="str">
        <f t="array" ref="C10">IF(E10="","",_xlfn.LET(_xlpm.modelo,UPPER(TRIM(E10)),_xlpm.comb,_xlfn.XLOOKUP(UPPER(TRIM(G10)),UPPER(NPF!$A$4:$A$30),NPF!$B$4:$B$30,"¿COMB?"),UPPER(TRIM(F10))&amp;" "&amp;_xlpm.modelo&amp;" "&amp;_xlpm.comb))</f>
        <v/>
      </c>
      <c r="D10" s="22" t="str" cm="1">
        <f t="array" ref="D10">IF(E10="","",_xlfn.LET(_xlpm.cat,_xlfn.XLOOKUP(UPPER(TRIM(F10)),UPPER(NPF!$G$4:$G$40),NPF!$H$4:$H$40,"¿CAT?"),_xlpm.comb,_xlfn.XLOOKUP(UPPER(TRIM(G10)),UPPER(NPF!$A$4:$A$30),NPF!$B$4:$B$30,"¿COMB?"),_xlpm.txt,NPF!$V$4:$V$33,_xlpm.abr,NPF!$W$4:$W$33,_xlpm.modAbrev,_xlfn.REDUCE(UPPER(TRIM(E10)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" s="22" t="str">
        <f t="shared" si="2"/>
        <v/>
      </c>
      <c r="N10" s="22" t="str">
        <f t="shared" si="3"/>
        <v/>
      </c>
    </row>
    <row r="11" spans="1:14" x14ac:dyDescent="0.25">
      <c r="C11" s="22" t="str">
        <f t="array" ref="C11">IF(E11="","",_xlfn.LET(_xlpm.modelo,UPPER(TRIM(E11)),_xlpm.comb,_xlfn.XLOOKUP(UPPER(TRIM(G11)),UPPER(NPF!$A$4:$A$30),NPF!$B$4:$B$30,"¿COMB?"),UPPER(TRIM(F11))&amp;" "&amp;_xlpm.modelo&amp;" "&amp;_xlpm.comb))</f>
        <v/>
      </c>
      <c r="D11" s="22" t="str" cm="1">
        <f t="array" ref="D11">IF(E11="","",_xlfn.LET(_xlpm.cat,_xlfn.XLOOKUP(UPPER(TRIM(F11)),UPPER(NPF!$G$4:$G$40),NPF!$H$4:$H$40,"¿CAT?"),_xlpm.comb,_xlfn.XLOOKUP(UPPER(TRIM(G11)),UPPER(NPF!$A$4:$A$30),NPF!$B$4:$B$30,"¿COMB?"),_xlpm.txt,NPF!$V$4:$V$33,_xlpm.abr,NPF!$W$4:$W$33,_xlpm.modAbrev,_xlfn.REDUCE(UPPER(TRIM(E11)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" s="22" t="str">
        <f t="shared" si="2"/>
        <v/>
      </c>
      <c r="N11" s="22" t="str">
        <f t="shared" si="3"/>
        <v/>
      </c>
    </row>
    <row r="12" spans="1:14" x14ac:dyDescent="0.25">
      <c r="C12" s="22" t="str">
        <f t="array" ref="C12">IF(E12="","",_xlfn.LET(_xlpm.modelo,UPPER(TRIM(E12)),_xlpm.comb,_xlfn.XLOOKUP(UPPER(TRIM(G12)),UPPER(NPF!$A$4:$A$30),NPF!$B$4:$B$30,"¿COMB?"),UPPER(TRIM(F12))&amp;" "&amp;_xlpm.modelo&amp;" "&amp;_xlpm.comb))</f>
        <v/>
      </c>
      <c r="D12" s="22" t="str" cm="1">
        <f t="array" ref="D12">IF(E12="","",_xlfn.LET(_xlpm.cat,_xlfn.XLOOKUP(UPPER(TRIM(F12)),UPPER(NPF!$G$4:$G$40),NPF!$H$4:$H$40,"¿CAT?"),_xlpm.comb,_xlfn.XLOOKUP(UPPER(TRIM(G12)),UPPER(NPF!$A$4:$A$30),NPF!$B$4:$B$30,"¿COMB?"),_xlpm.txt,NPF!$V$4:$V$33,_xlpm.abr,NPF!$W$4:$W$33,_xlpm.modAbrev,_xlfn.REDUCE(UPPER(TRIM(E12)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" s="22" t="str">
        <f t="shared" si="2"/>
        <v/>
      </c>
      <c r="N12" s="22" t="str">
        <f t="shared" si="3"/>
        <v/>
      </c>
    </row>
    <row r="13" spans="1:14" x14ac:dyDescent="0.25">
      <c r="C13" s="22" t="str">
        <f t="array" ref="C13">IF(E13="","",_xlfn.LET(_xlpm.modelo,UPPER(TRIM(E13)),_xlpm.comb,_xlfn.XLOOKUP(UPPER(TRIM(G13)),UPPER(NPF!$A$4:$A$30),NPF!$B$4:$B$30,"¿COMB?"),UPPER(TRIM(F13))&amp;" "&amp;_xlpm.modelo&amp;" "&amp;_xlpm.comb))</f>
        <v/>
      </c>
      <c r="D13" s="22" t="str" cm="1">
        <f t="array" ref="D13">IF(E13="","",_xlfn.LET(_xlpm.cat,_xlfn.XLOOKUP(UPPER(TRIM(F13)),UPPER(NPF!$G$4:$G$40),NPF!$H$4:$H$40,"¿CAT?"),_xlpm.comb,_xlfn.XLOOKUP(UPPER(TRIM(G13)),UPPER(NPF!$A$4:$A$30),NPF!$B$4:$B$30,"¿COMB?"),_xlpm.txt,NPF!$V$4:$V$33,_xlpm.abr,NPF!$W$4:$W$33,_xlpm.modAbrev,_xlfn.REDUCE(UPPER(TRIM(E13)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" s="22" t="str">
        <f t="shared" si="2"/>
        <v/>
      </c>
      <c r="N13" s="22" t="str">
        <f t="shared" si="3"/>
        <v/>
      </c>
    </row>
    <row r="14" spans="1:14" x14ac:dyDescent="0.25">
      <c r="C14" s="22" t="str">
        <f t="array" ref="C14">IF(E14="","",_xlfn.LET(_xlpm.modelo,UPPER(TRIM(E14)),_xlpm.comb,_xlfn.XLOOKUP(UPPER(TRIM(G14)),UPPER(NPF!$A$4:$A$30),NPF!$B$4:$B$30,"¿COMB?"),UPPER(TRIM(F14))&amp;" "&amp;_xlpm.modelo&amp;" "&amp;_xlpm.comb))</f>
        <v/>
      </c>
      <c r="D14" s="22" t="str" cm="1">
        <f t="array" ref="D14">IF(E14="","",_xlfn.LET(_xlpm.cat,_xlfn.XLOOKUP(UPPER(TRIM(F14)),UPPER(NPF!$G$4:$G$40),NPF!$H$4:$H$40,"¿CAT?"),_xlpm.comb,_xlfn.XLOOKUP(UPPER(TRIM(G14)),UPPER(NPF!$A$4:$A$30),NPF!$B$4:$B$30,"¿COMB?"),_xlpm.txt,NPF!$V$4:$V$33,_xlpm.abr,NPF!$W$4:$W$33,_xlpm.modAbrev,_xlfn.REDUCE(UPPER(TRIM(E14)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" s="22" t="str">
        <f t="shared" si="2"/>
        <v/>
      </c>
      <c r="N14" s="22" t="str">
        <f t="shared" si="3"/>
        <v/>
      </c>
    </row>
    <row r="15" spans="1:14" x14ac:dyDescent="0.25">
      <c r="C15" s="22" t="str">
        <f t="array" ref="C15">IF(E15="","",_xlfn.LET(_xlpm.modelo,UPPER(TRIM(E15)),_xlpm.comb,_xlfn.XLOOKUP(UPPER(TRIM(G15)),UPPER(NPF!$A$4:$A$30),NPF!$B$4:$B$30,"¿COMB?"),UPPER(TRIM(F15))&amp;" "&amp;_xlpm.modelo&amp;" "&amp;_xlpm.comb))</f>
        <v/>
      </c>
      <c r="D15" s="22" t="str" cm="1">
        <f t="array" ref="D15">IF(E15="","",_xlfn.LET(_xlpm.cat,_xlfn.XLOOKUP(UPPER(TRIM(F15)),UPPER(NPF!$G$4:$G$40),NPF!$H$4:$H$40,"¿CAT?"),_xlpm.comb,_xlfn.XLOOKUP(UPPER(TRIM(G15)),UPPER(NPF!$A$4:$A$30),NPF!$B$4:$B$30,"¿COMB?"),_xlpm.txt,NPF!$V$4:$V$33,_xlpm.abr,NPF!$W$4:$W$33,_xlpm.modAbrev,_xlfn.REDUCE(UPPER(TRIM(E15)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" s="22" t="str">
        <f t="shared" si="2"/>
        <v/>
      </c>
      <c r="N15" s="22" t="str">
        <f t="shared" si="3"/>
        <v/>
      </c>
    </row>
    <row r="16" spans="1:14" x14ac:dyDescent="0.25">
      <c r="C16" s="22" t="str">
        <f t="array" ref="C16">IF(E16="","",_xlfn.LET(_xlpm.modelo,UPPER(TRIM(E16)),_xlpm.comb,_xlfn.XLOOKUP(UPPER(TRIM(G16)),UPPER(NPF!$A$4:$A$30),NPF!$B$4:$B$30,"¿COMB?"),UPPER(TRIM(F16))&amp;" "&amp;_xlpm.modelo&amp;" "&amp;_xlpm.comb))</f>
        <v/>
      </c>
      <c r="D16" s="22" t="str" cm="1">
        <f t="array" ref="D16">IF(E16="","",_xlfn.LET(_xlpm.cat,_xlfn.XLOOKUP(UPPER(TRIM(F16)),UPPER(NPF!$G$4:$G$40),NPF!$H$4:$H$40,"¿CAT?"),_xlpm.comb,_xlfn.XLOOKUP(UPPER(TRIM(G16)),UPPER(NPF!$A$4:$A$30),NPF!$B$4:$B$30,"¿COMB?"),_xlpm.txt,NPF!$V$4:$V$33,_xlpm.abr,NPF!$W$4:$W$33,_xlpm.modAbrev,_xlfn.REDUCE(UPPER(TRIM(E16)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" s="22" t="str">
        <f t="shared" si="2"/>
        <v/>
      </c>
      <c r="N16" s="22" t="str">
        <f t="shared" si="3"/>
        <v/>
      </c>
    </row>
    <row r="17" spans="3:14" x14ac:dyDescent="0.25">
      <c r="C17" s="22" t="str">
        <f t="array" ref="C17">IF(E17="","",_xlfn.LET(_xlpm.modelo,UPPER(TRIM(E17)),_xlpm.comb,_xlfn.XLOOKUP(UPPER(TRIM(G17)),UPPER(NPF!$A$4:$A$30),NPF!$B$4:$B$30,"¿COMB?"),UPPER(TRIM(F17))&amp;" "&amp;_xlpm.modelo&amp;" "&amp;_xlpm.comb))</f>
        <v/>
      </c>
      <c r="D17" s="22" t="str" cm="1">
        <f t="array" ref="D17">IF(E17="","",_xlfn.LET(_xlpm.cat,_xlfn.XLOOKUP(UPPER(TRIM(F17)),UPPER(NPF!$G$4:$G$40),NPF!$H$4:$H$40,"¿CAT?"),_xlpm.comb,_xlfn.XLOOKUP(UPPER(TRIM(G17)),UPPER(NPF!$A$4:$A$30),NPF!$B$4:$B$30,"¿COMB?"),_xlpm.txt,NPF!$V$4:$V$33,_xlpm.abr,NPF!$W$4:$W$33,_xlpm.modAbrev,_xlfn.REDUCE(UPPER(TRIM(E17)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" s="22" t="str">
        <f t="shared" si="2"/>
        <v/>
      </c>
      <c r="N17" s="22" t="str">
        <f t="shared" si="3"/>
        <v/>
      </c>
    </row>
    <row r="18" spans="3:14" x14ac:dyDescent="0.25">
      <c r="C18" s="22" t="str">
        <f t="array" ref="C18">IF(E18="","",_xlfn.LET(_xlpm.modelo,UPPER(TRIM(E18)),_xlpm.comb,_xlfn.XLOOKUP(UPPER(TRIM(G18)),UPPER(NPF!$A$4:$A$30),NPF!$B$4:$B$30,"¿COMB?"),UPPER(TRIM(F18))&amp;" "&amp;_xlpm.modelo&amp;" "&amp;_xlpm.comb))</f>
        <v/>
      </c>
      <c r="D18" s="22" t="str" cm="1">
        <f t="array" ref="D18">IF(E18="","",_xlfn.LET(_xlpm.cat,_xlfn.XLOOKUP(UPPER(TRIM(F18)),UPPER(NPF!$G$4:$G$40),NPF!$H$4:$H$40,"¿CAT?"),_xlpm.comb,_xlfn.XLOOKUP(UPPER(TRIM(G18)),UPPER(NPF!$A$4:$A$30),NPF!$B$4:$B$30,"¿COMB?"),_xlpm.txt,NPF!$V$4:$V$33,_xlpm.abr,NPF!$W$4:$W$33,_xlpm.modAbrev,_xlfn.REDUCE(UPPER(TRIM(E18)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" s="22" t="str">
        <f t="shared" si="2"/>
        <v/>
      </c>
      <c r="N18" s="22" t="str">
        <f t="shared" si="3"/>
        <v/>
      </c>
    </row>
    <row r="19" spans="3:14" x14ac:dyDescent="0.25">
      <c r="C19" s="22" t="str">
        <f t="array" ref="C19">IF(E19="","",_xlfn.LET(_xlpm.modelo,UPPER(TRIM(E19)),_xlpm.comb,_xlfn.XLOOKUP(UPPER(TRIM(G19)),UPPER(NPF!$A$4:$A$30),NPF!$B$4:$B$30,"¿COMB?"),UPPER(TRIM(F19))&amp;" "&amp;_xlpm.modelo&amp;" "&amp;_xlpm.comb))</f>
        <v/>
      </c>
      <c r="D19" s="22" t="str" cm="1">
        <f t="array" ref="D19">IF(E19="","",_xlfn.LET(_xlpm.cat,_xlfn.XLOOKUP(UPPER(TRIM(F19)),UPPER(NPF!$G$4:$G$40),NPF!$H$4:$H$40,"¿CAT?"),_xlpm.comb,_xlfn.XLOOKUP(UPPER(TRIM(G19)),UPPER(NPF!$A$4:$A$30),NPF!$B$4:$B$30,"¿COMB?"),_xlpm.txt,NPF!$V$4:$V$33,_xlpm.abr,NPF!$W$4:$W$33,_xlpm.modAbrev,_xlfn.REDUCE(UPPER(TRIM(E19)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" s="22" t="str">
        <f t="shared" si="2"/>
        <v/>
      </c>
      <c r="N19" s="22" t="str">
        <f t="shared" si="3"/>
        <v/>
      </c>
    </row>
    <row r="20" spans="3:14" x14ac:dyDescent="0.25">
      <c r="C20" s="22" t="str">
        <f t="array" ref="C20">IF(E20="","",_xlfn.LET(_xlpm.modelo,UPPER(TRIM(E20)),_xlpm.comb,_xlfn.XLOOKUP(UPPER(TRIM(G20)),UPPER(NPF!$A$4:$A$30),NPF!$B$4:$B$30,"¿COMB?"),UPPER(TRIM(F20))&amp;" "&amp;_xlpm.modelo&amp;" "&amp;_xlpm.comb))</f>
        <v/>
      </c>
      <c r="D20" s="22" t="str" cm="1">
        <f t="array" ref="D20">IF(E20="","",_xlfn.LET(_xlpm.cat,_xlfn.XLOOKUP(UPPER(TRIM(F20)),UPPER(NPF!$G$4:$G$40),NPF!$H$4:$H$40,"¿CAT?"),_xlpm.comb,_xlfn.XLOOKUP(UPPER(TRIM(G20)),UPPER(NPF!$A$4:$A$30),NPF!$B$4:$B$30,"¿COMB?"),_xlpm.txt,NPF!$V$4:$V$33,_xlpm.abr,NPF!$W$4:$W$33,_xlpm.modAbrev,_xlfn.REDUCE(UPPER(TRIM(E20)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0" s="22" t="str">
        <f t="shared" si="2"/>
        <v/>
      </c>
      <c r="N20" s="22" t="str">
        <f t="shared" si="3"/>
        <v/>
      </c>
    </row>
    <row r="21" spans="3:14" x14ac:dyDescent="0.25">
      <c r="C21" s="22" t="str">
        <f t="array" ref="C21">IF(E21="","",_xlfn.LET(_xlpm.modelo,UPPER(TRIM(E21)),_xlpm.comb,_xlfn.XLOOKUP(UPPER(TRIM(G21)),UPPER(NPF!$A$4:$A$30),NPF!$B$4:$B$30,"¿COMB?"),UPPER(TRIM(F21))&amp;" "&amp;_xlpm.modelo&amp;" "&amp;_xlpm.comb))</f>
        <v/>
      </c>
      <c r="D21" s="22" t="str" cm="1">
        <f t="array" ref="D21">IF(E21="","",_xlfn.LET(_xlpm.cat,_xlfn.XLOOKUP(UPPER(TRIM(F21)),UPPER(NPF!$G$4:$G$40),NPF!$H$4:$H$40,"¿CAT?"),_xlpm.comb,_xlfn.XLOOKUP(UPPER(TRIM(G21)),UPPER(NPF!$A$4:$A$30),NPF!$B$4:$B$30,"¿COMB?"),_xlpm.txt,NPF!$V$4:$V$33,_xlpm.abr,NPF!$W$4:$W$33,_xlpm.modAbrev,_xlfn.REDUCE(UPPER(TRIM(E21)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1" s="22" t="str">
        <f t="shared" si="2"/>
        <v/>
      </c>
      <c r="N21" s="22" t="str">
        <f t="shared" si="3"/>
        <v/>
      </c>
    </row>
    <row r="22" spans="3:14" x14ac:dyDescent="0.25">
      <c r="C22" s="22" t="str">
        <f t="array" ref="C22">IF(E22="","",_xlfn.LET(_xlpm.modelo,UPPER(TRIM(E22)),_xlpm.comb,_xlfn.XLOOKUP(UPPER(TRIM(G22)),UPPER(NPF!$A$4:$A$30),NPF!$B$4:$B$30,"¿COMB?"),UPPER(TRIM(F22))&amp;" "&amp;_xlpm.modelo&amp;" "&amp;_xlpm.comb))</f>
        <v/>
      </c>
      <c r="D22" s="22" t="str" cm="1">
        <f t="array" ref="D22">IF(E22="","",_xlfn.LET(_xlpm.cat,_xlfn.XLOOKUP(UPPER(TRIM(F22)),UPPER(NPF!$G$4:$G$40),NPF!$H$4:$H$40,"¿CAT?"),_xlpm.comb,_xlfn.XLOOKUP(UPPER(TRIM(G22)),UPPER(NPF!$A$4:$A$30),NPF!$B$4:$B$30,"¿COMB?"),_xlpm.txt,NPF!$V$4:$V$33,_xlpm.abr,NPF!$W$4:$W$33,_xlpm.modAbrev,_xlfn.REDUCE(UPPER(TRIM(E22)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2" s="22" t="str">
        <f t="shared" si="2"/>
        <v/>
      </c>
      <c r="N22" s="22" t="str">
        <f t="shared" si="3"/>
        <v/>
      </c>
    </row>
    <row r="23" spans="3:14" x14ac:dyDescent="0.25">
      <c r="C23" s="22" t="str">
        <f t="array" ref="C23">IF(E23="","",_xlfn.LET(_xlpm.modelo,UPPER(TRIM(E23)),_xlpm.comb,_xlfn.XLOOKUP(UPPER(TRIM(G23)),UPPER(NPF!$A$4:$A$30),NPF!$B$4:$B$30,"¿COMB?"),UPPER(TRIM(F23))&amp;" "&amp;_xlpm.modelo&amp;" "&amp;_xlpm.comb))</f>
        <v/>
      </c>
      <c r="D23" s="22" t="str" cm="1">
        <f t="array" ref="D23">IF(E23="","",_xlfn.LET(_xlpm.cat,_xlfn.XLOOKUP(UPPER(TRIM(F23)),UPPER(NPF!$G$4:$G$40),NPF!$H$4:$H$40,"¿CAT?"),_xlpm.comb,_xlfn.XLOOKUP(UPPER(TRIM(G23)),UPPER(NPF!$A$4:$A$30),NPF!$B$4:$B$30,"¿COMB?"),_xlpm.txt,NPF!$V$4:$V$33,_xlpm.abr,NPF!$W$4:$W$33,_xlpm.modAbrev,_xlfn.REDUCE(UPPER(TRIM(E23)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3" s="22" t="str">
        <f t="shared" si="2"/>
        <v/>
      </c>
      <c r="N23" s="22" t="str">
        <f t="shared" si="3"/>
        <v/>
      </c>
    </row>
    <row r="24" spans="3:14" x14ac:dyDescent="0.25">
      <c r="C24" s="22" t="str">
        <f t="array" ref="C24">IF(E24="","",_xlfn.LET(_xlpm.modelo,UPPER(TRIM(E24)),_xlpm.comb,_xlfn.XLOOKUP(UPPER(TRIM(G24)),UPPER(NPF!$A$4:$A$30),NPF!$B$4:$B$30,"¿COMB?"),UPPER(TRIM(F24))&amp;" "&amp;_xlpm.modelo&amp;" "&amp;_xlpm.comb))</f>
        <v/>
      </c>
      <c r="D24" s="22" t="str" cm="1">
        <f t="array" ref="D24">IF(E24="","",_xlfn.LET(_xlpm.cat,_xlfn.XLOOKUP(UPPER(TRIM(F24)),UPPER(NPF!$G$4:$G$40),NPF!$H$4:$H$40,"¿CAT?"),_xlpm.comb,_xlfn.XLOOKUP(UPPER(TRIM(G24)),UPPER(NPF!$A$4:$A$30),NPF!$B$4:$B$30,"¿COMB?"),_xlpm.txt,NPF!$V$4:$V$33,_xlpm.abr,NPF!$W$4:$W$33,_xlpm.modAbrev,_xlfn.REDUCE(UPPER(TRIM(E24)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4" s="22" t="str">
        <f t="shared" si="2"/>
        <v/>
      </c>
      <c r="N24" s="22" t="str">
        <f t="shared" si="3"/>
        <v/>
      </c>
    </row>
    <row r="25" spans="3:14" x14ac:dyDescent="0.25">
      <c r="C25" s="22" t="str">
        <f t="array" ref="C25">IF(E25="","",_xlfn.LET(_xlpm.modelo,UPPER(TRIM(E25)),_xlpm.comb,_xlfn.XLOOKUP(UPPER(TRIM(G25)),UPPER(NPF!$A$4:$A$30),NPF!$B$4:$B$30,"¿COMB?"),UPPER(TRIM(F25))&amp;" "&amp;_xlpm.modelo&amp;" "&amp;_xlpm.comb))</f>
        <v/>
      </c>
      <c r="D25" s="22" t="str" cm="1">
        <f t="array" ref="D25">IF(E25="","",_xlfn.LET(_xlpm.cat,_xlfn.XLOOKUP(UPPER(TRIM(F25)),UPPER(NPF!$G$4:$G$40),NPF!$H$4:$H$40,"¿CAT?"),_xlpm.comb,_xlfn.XLOOKUP(UPPER(TRIM(G25)),UPPER(NPF!$A$4:$A$30),NPF!$B$4:$B$30,"¿COMB?"),_xlpm.txt,NPF!$V$4:$V$33,_xlpm.abr,NPF!$W$4:$W$33,_xlpm.modAbrev,_xlfn.REDUCE(UPPER(TRIM(E25)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5" s="22" t="str">
        <f t="shared" si="2"/>
        <v/>
      </c>
      <c r="N25" s="22" t="str">
        <f t="shared" si="3"/>
        <v/>
      </c>
    </row>
    <row r="26" spans="3:14" x14ac:dyDescent="0.25">
      <c r="C26" s="22" t="str">
        <f t="array" ref="C26">IF(E26="","",_xlfn.LET(_xlpm.modelo,UPPER(TRIM(E26)),_xlpm.comb,_xlfn.XLOOKUP(UPPER(TRIM(G26)),UPPER(NPF!$A$4:$A$30),NPF!$B$4:$B$30,"¿COMB?"),UPPER(TRIM(F26))&amp;" "&amp;_xlpm.modelo&amp;" "&amp;_xlpm.comb))</f>
        <v/>
      </c>
      <c r="D26" s="22" t="str" cm="1">
        <f t="array" ref="D26">IF(E26="","",_xlfn.LET(_xlpm.cat,_xlfn.XLOOKUP(UPPER(TRIM(F26)),UPPER(NPF!$G$4:$G$40),NPF!$H$4:$H$40,"¿CAT?"),_xlpm.comb,_xlfn.XLOOKUP(UPPER(TRIM(G26)),UPPER(NPF!$A$4:$A$30),NPF!$B$4:$B$30,"¿COMB?"),_xlpm.txt,NPF!$V$4:$V$33,_xlpm.abr,NPF!$W$4:$W$33,_xlpm.modAbrev,_xlfn.REDUCE(UPPER(TRIM(E26)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6" s="22" t="str">
        <f t="shared" si="2"/>
        <v/>
      </c>
      <c r="N26" s="22" t="str">
        <f t="shared" si="3"/>
        <v/>
      </c>
    </row>
    <row r="27" spans="3:14" x14ac:dyDescent="0.25">
      <c r="C27" s="22" t="str">
        <f t="array" ref="C27">IF(E27="","",_xlfn.LET(_xlpm.modelo,UPPER(TRIM(E27)),_xlpm.comb,_xlfn.XLOOKUP(UPPER(TRIM(G27)),UPPER(NPF!$A$4:$A$30),NPF!$B$4:$B$30,"¿COMB?"),UPPER(TRIM(F27))&amp;" "&amp;_xlpm.modelo&amp;" "&amp;_xlpm.comb))</f>
        <v/>
      </c>
      <c r="D27" s="22" t="str" cm="1">
        <f t="array" ref="D27">IF(E27="","",_xlfn.LET(_xlpm.cat,_xlfn.XLOOKUP(UPPER(TRIM(F27)),UPPER(NPF!$G$4:$G$40),NPF!$H$4:$H$40,"¿CAT?"),_xlpm.comb,_xlfn.XLOOKUP(UPPER(TRIM(G27)),UPPER(NPF!$A$4:$A$30),NPF!$B$4:$B$30,"¿COMB?"),_xlpm.txt,NPF!$V$4:$V$33,_xlpm.abr,NPF!$W$4:$W$33,_xlpm.modAbrev,_xlfn.REDUCE(UPPER(TRIM(E27)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7" s="22" t="str">
        <f t="shared" si="2"/>
        <v/>
      </c>
      <c r="N27" s="22" t="str">
        <f t="shared" si="3"/>
        <v/>
      </c>
    </row>
    <row r="28" spans="3:14" x14ac:dyDescent="0.25">
      <c r="C28" s="22" t="str">
        <f t="array" ref="C28">IF(E28="","",_xlfn.LET(_xlpm.modelo,UPPER(TRIM(E28)),_xlpm.comb,_xlfn.XLOOKUP(UPPER(TRIM(G28)),UPPER(NPF!$A$4:$A$30),NPF!$B$4:$B$30,"¿COMB?"),UPPER(TRIM(F28))&amp;" "&amp;_xlpm.modelo&amp;" "&amp;_xlpm.comb))</f>
        <v/>
      </c>
      <c r="D28" s="22" t="str" cm="1">
        <f t="array" ref="D28">IF(E28="","",_xlfn.LET(_xlpm.cat,_xlfn.XLOOKUP(UPPER(TRIM(F28)),UPPER(NPF!$G$4:$G$40),NPF!$H$4:$H$40,"¿CAT?"),_xlpm.comb,_xlfn.XLOOKUP(UPPER(TRIM(G28)),UPPER(NPF!$A$4:$A$30),NPF!$B$4:$B$30,"¿COMB?"),_xlpm.txt,NPF!$V$4:$V$33,_xlpm.abr,NPF!$W$4:$W$33,_xlpm.modAbrev,_xlfn.REDUCE(UPPER(TRIM(E28)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8" s="22" t="str">
        <f t="shared" si="2"/>
        <v/>
      </c>
      <c r="N28" s="22" t="str">
        <f t="shared" si="3"/>
        <v/>
      </c>
    </row>
    <row r="29" spans="3:14" x14ac:dyDescent="0.25">
      <c r="C29" s="22" t="str">
        <f t="array" ref="C29">IF(E29="","",_xlfn.LET(_xlpm.modelo,UPPER(TRIM(E29)),_xlpm.comb,_xlfn.XLOOKUP(UPPER(TRIM(G29)),UPPER(NPF!$A$4:$A$30),NPF!$B$4:$B$30,"¿COMB?"),UPPER(TRIM(F29))&amp;" "&amp;_xlpm.modelo&amp;" "&amp;_xlpm.comb))</f>
        <v/>
      </c>
      <c r="D29" s="22" t="str" cm="1">
        <f t="array" ref="D29">IF(E29="","",_xlfn.LET(_xlpm.cat,_xlfn.XLOOKUP(UPPER(TRIM(F29)),UPPER(NPF!$G$4:$G$40),NPF!$H$4:$H$40,"¿CAT?"),_xlpm.comb,_xlfn.XLOOKUP(UPPER(TRIM(G29)),UPPER(NPF!$A$4:$A$30),NPF!$B$4:$B$30,"¿COMB?"),_xlpm.txt,NPF!$V$4:$V$33,_xlpm.abr,NPF!$W$4:$W$33,_xlpm.modAbrev,_xlfn.REDUCE(UPPER(TRIM(E29)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29" s="22" t="str">
        <f t="shared" si="2"/>
        <v/>
      </c>
      <c r="N29" s="22" t="str">
        <f t="shared" si="3"/>
        <v/>
      </c>
    </row>
    <row r="30" spans="3:14" x14ac:dyDescent="0.25">
      <c r="C30" s="22" t="str">
        <f t="array" ref="C30">IF(E30="","",_xlfn.LET(_xlpm.modelo,UPPER(TRIM(E30)),_xlpm.comb,_xlfn.XLOOKUP(UPPER(TRIM(G30)),UPPER(NPF!$A$4:$A$30),NPF!$B$4:$B$30,"¿COMB?"),UPPER(TRIM(F30))&amp;" "&amp;_xlpm.modelo&amp;" "&amp;_xlpm.comb))</f>
        <v/>
      </c>
      <c r="D30" s="22" t="str" cm="1">
        <f t="array" ref="D30">IF(E30="","",_xlfn.LET(_xlpm.cat,_xlfn.XLOOKUP(UPPER(TRIM(F30)),UPPER(NPF!$G$4:$G$40),NPF!$H$4:$H$40,"¿CAT?"),_xlpm.comb,_xlfn.XLOOKUP(UPPER(TRIM(G30)),UPPER(NPF!$A$4:$A$30),NPF!$B$4:$B$30,"¿COMB?"),_xlpm.txt,NPF!$V$4:$V$33,_xlpm.abr,NPF!$W$4:$W$33,_xlpm.modAbrev,_xlfn.REDUCE(UPPER(TRIM(E30)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0" s="22" t="str">
        <f t="shared" si="2"/>
        <v/>
      </c>
      <c r="N30" s="22" t="str">
        <f t="shared" si="3"/>
        <v/>
      </c>
    </row>
    <row r="31" spans="3:14" x14ac:dyDescent="0.25">
      <c r="C31" s="22" t="str">
        <f t="array" ref="C31">IF(E31="","",_xlfn.LET(_xlpm.modelo,UPPER(TRIM(E31)),_xlpm.comb,_xlfn.XLOOKUP(UPPER(TRIM(G31)),UPPER(NPF!$A$4:$A$30),NPF!$B$4:$B$30,"¿COMB?"),UPPER(TRIM(F31))&amp;" "&amp;_xlpm.modelo&amp;" "&amp;_xlpm.comb))</f>
        <v/>
      </c>
      <c r="D31" s="22" t="str" cm="1">
        <f t="array" ref="D31">IF(E31="","",_xlfn.LET(_xlpm.cat,_xlfn.XLOOKUP(UPPER(TRIM(F31)),UPPER(NPF!$G$4:$G$40),NPF!$H$4:$H$40,"¿CAT?"),_xlpm.comb,_xlfn.XLOOKUP(UPPER(TRIM(G31)),UPPER(NPF!$A$4:$A$30),NPF!$B$4:$B$30,"¿COMB?"),_xlpm.txt,NPF!$V$4:$V$33,_xlpm.abr,NPF!$W$4:$W$33,_xlpm.modAbrev,_xlfn.REDUCE(UPPER(TRIM(E31)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1" s="22" t="str">
        <f t="shared" si="2"/>
        <v/>
      </c>
      <c r="N31" s="22" t="str">
        <f t="shared" si="3"/>
        <v/>
      </c>
    </row>
    <row r="32" spans="3:14" x14ac:dyDescent="0.25">
      <c r="C32" s="22" t="str">
        <f t="array" ref="C32">IF(E32="","",_xlfn.LET(_xlpm.modelo,UPPER(TRIM(E32)),_xlpm.comb,_xlfn.XLOOKUP(UPPER(TRIM(G32)),UPPER(NPF!$A$4:$A$30),NPF!$B$4:$B$30,"¿COMB?"),UPPER(TRIM(F32))&amp;" "&amp;_xlpm.modelo&amp;" "&amp;_xlpm.comb))</f>
        <v/>
      </c>
      <c r="D32" s="22" t="str" cm="1">
        <f t="array" ref="D32">IF(E32="","",_xlfn.LET(_xlpm.cat,_xlfn.XLOOKUP(UPPER(TRIM(F32)),UPPER(NPF!$G$4:$G$40),NPF!$H$4:$H$40,"¿CAT?"),_xlpm.comb,_xlfn.XLOOKUP(UPPER(TRIM(G32)),UPPER(NPF!$A$4:$A$30),NPF!$B$4:$B$30,"¿COMB?"),_xlpm.txt,NPF!$V$4:$V$33,_xlpm.abr,NPF!$W$4:$W$33,_xlpm.modAbrev,_xlfn.REDUCE(UPPER(TRIM(E32)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2" s="22" t="str">
        <f t="shared" si="2"/>
        <v/>
      </c>
      <c r="N32" s="22" t="str">
        <f t="shared" si="3"/>
        <v/>
      </c>
    </row>
    <row r="33" spans="3:14" x14ac:dyDescent="0.25">
      <c r="C33" s="22" t="str">
        <f t="array" ref="C33">IF(E33="","",_xlfn.LET(_xlpm.modelo,UPPER(TRIM(E33)),_xlpm.comb,_xlfn.XLOOKUP(UPPER(TRIM(G33)),UPPER(NPF!$A$4:$A$30),NPF!$B$4:$B$30,"¿COMB?"),UPPER(TRIM(F33))&amp;" "&amp;_xlpm.modelo&amp;" "&amp;_xlpm.comb))</f>
        <v/>
      </c>
      <c r="D33" s="22" t="str" cm="1">
        <f t="array" ref="D33">IF(E33="","",_xlfn.LET(_xlpm.cat,_xlfn.XLOOKUP(UPPER(TRIM(F33)),UPPER(NPF!$G$4:$G$40),NPF!$H$4:$H$40,"¿CAT?"),_xlpm.comb,_xlfn.XLOOKUP(UPPER(TRIM(G33)),UPPER(NPF!$A$4:$A$30),NPF!$B$4:$B$30,"¿COMB?"),_xlpm.txt,NPF!$V$4:$V$33,_xlpm.abr,NPF!$W$4:$W$33,_xlpm.modAbrev,_xlfn.REDUCE(UPPER(TRIM(E33)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3" s="22" t="str">
        <f t="shared" si="2"/>
        <v/>
      </c>
      <c r="N33" s="22" t="str">
        <f t="shared" si="3"/>
        <v/>
      </c>
    </row>
    <row r="34" spans="3:14" x14ac:dyDescent="0.25">
      <c r="C34" s="22" t="str">
        <f t="array" ref="C34">IF(E34="","",_xlfn.LET(_xlpm.modelo,UPPER(TRIM(E34)),_xlpm.comb,_xlfn.XLOOKUP(UPPER(TRIM(G34)),UPPER(NPF!$A$4:$A$30),NPF!$B$4:$B$30,"¿COMB?"),UPPER(TRIM(F34))&amp;" "&amp;_xlpm.modelo&amp;" "&amp;_xlpm.comb))</f>
        <v/>
      </c>
      <c r="D34" s="22" t="str" cm="1">
        <f t="array" ref="D34">IF(E34="","",_xlfn.LET(_xlpm.cat,_xlfn.XLOOKUP(UPPER(TRIM(F34)),UPPER(NPF!$G$4:$G$40),NPF!$H$4:$H$40,"¿CAT?"),_xlpm.comb,_xlfn.XLOOKUP(UPPER(TRIM(G34)),UPPER(NPF!$A$4:$A$30),NPF!$B$4:$B$30,"¿COMB?"),_xlpm.txt,NPF!$V$4:$V$33,_xlpm.abr,NPF!$W$4:$W$33,_xlpm.modAbrev,_xlfn.REDUCE(UPPER(TRIM(E34)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4" s="22" t="str">
        <f t="shared" si="2"/>
        <v/>
      </c>
      <c r="N34" s="22" t="str">
        <f t="shared" si="3"/>
        <v/>
      </c>
    </row>
    <row r="35" spans="3:14" x14ac:dyDescent="0.25">
      <c r="C35" s="22" t="str">
        <f t="array" ref="C35">IF(E35="","",_xlfn.LET(_xlpm.modelo,UPPER(TRIM(E35)),_xlpm.comb,_xlfn.XLOOKUP(UPPER(TRIM(G35)),UPPER(NPF!$A$4:$A$30),NPF!$B$4:$B$30,"¿COMB?"),UPPER(TRIM(F35))&amp;" "&amp;_xlpm.modelo&amp;" "&amp;_xlpm.comb))</f>
        <v/>
      </c>
      <c r="D35" s="22" t="str" cm="1">
        <f t="array" ref="D35">IF(E35="","",_xlfn.LET(_xlpm.cat,_xlfn.XLOOKUP(UPPER(TRIM(F35)),UPPER(NPF!$G$4:$G$40),NPF!$H$4:$H$40,"¿CAT?"),_xlpm.comb,_xlfn.XLOOKUP(UPPER(TRIM(G35)),UPPER(NPF!$A$4:$A$30),NPF!$B$4:$B$30,"¿COMB?"),_xlpm.txt,NPF!$V$4:$V$33,_xlpm.abr,NPF!$W$4:$W$33,_xlpm.modAbrev,_xlfn.REDUCE(UPPER(TRIM(E35)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5" s="22" t="str">
        <f t="shared" si="2"/>
        <v/>
      </c>
      <c r="N35" s="22" t="str">
        <f t="shared" si="3"/>
        <v/>
      </c>
    </row>
    <row r="36" spans="3:14" x14ac:dyDescent="0.25">
      <c r="C36" s="22" t="str">
        <f t="array" ref="C36">IF(E36="","",_xlfn.LET(_xlpm.modelo,UPPER(TRIM(E36)),_xlpm.comb,_xlfn.XLOOKUP(UPPER(TRIM(G36)),UPPER(NPF!$A$4:$A$30),NPF!$B$4:$B$30,"¿COMB?"),UPPER(TRIM(F36))&amp;" "&amp;_xlpm.modelo&amp;" "&amp;_xlpm.comb))</f>
        <v/>
      </c>
      <c r="D36" s="22" t="str" cm="1">
        <f t="array" ref="D36">IF(E36="","",_xlfn.LET(_xlpm.cat,_xlfn.XLOOKUP(UPPER(TRIM(F36)),UPPER(NPF!$G$4:$G$40),NPF!$H$4:$H$40,"¿CAT?"),_xlpm.comb,_xlfn.XLOOKUP(UPPER(TRIM(G36)),UPPER(NPF!$A$4:$A$30),NPF!$B$4:$B$30,"¿COMB?"),_xlpm.txt,NPF!$V$4:$V$33,_xlpm.abr,NPF!$W$4:$W$33,_xlpm.modAbrev,_xlfn.REDUCE(UPPER(TRIM(E36)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6" s="22" t="str">
        <f t="shared" si="2"/>
        <v/>
      </c>
      <c r="N36" s="22" t="str">
        <f t="shared" si="3"/>
        <v/>
      </c>
    </row>
    <row r="37" spans="3:14" x14ac:dyDescent="0.25">
      <c r="C37" s="22" t="str">
        <f t="array" ref="C37">IF(E37="","",_xlfn.LET(_xlpm.modelo,UPPER(TRIM(E37)),_xlpm.comb,_xlfn.XLOOKUP(UPPER(TRIM(G37)),UPPER(NPF!$A$4:$A$30),NPF!$B$4:$B$30,"¿COMB?"),UPPER(TRIM(F37))&amp;" "&amp;_xlpm.modelo&amp;" "&amp;_xlpm.comb))</f>
        <v/>
      </c>
      <c r="D37" s="22" t="str" cm="1">
        <f t="array" ref="D37">IF(E37="","",_xlfn.LET(_xlpm.cat,_xlfn.XLOOKUP(UPPER(TRIM(F37)),UPPER(NPF!$G$4:$G$40),NPF!$H$4:$H$40,"¿CAT?"),_xlpm.comb,_xlfn.XLOOKUP(UPPER(TRIM(G37)),UPPER(NPF!$A$4:$A$30),NPF!$B$4:$B$30,"¿COMB?"),_xlpm.txt,NPF!$V$4:$V$33,_xlpm.abr,NPF!$W$4:$W$33,_xlpm.modAbrev,_xlfn.REDUCE(UPPER(TRIM(E37)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7" s="22" t="str">
        <f t="shared" si="2"/>
        <v/>
      </c>
      <c r="N37" s="22" t="str">
        <f t="shared" si="3"/>
        <v/>
      </c>
    </row>
    <row r="38" spans="3:14" x14ac:dyDescent="0.25">
      <c r="C38" s="22" t="str">
        <f t="array" ref="C38">IF(E38="","",_xlfn.LET(_xlpm.modelo,UPPER(TRIM(E38)),_xlpm.comb,_xlfn.XLOOKUP(UPPER(TRIM(G38)),UPPER(NPF!$A$4:$A$30),NPF!$B$4:$B$30,"¿COMB?"),UPPER(TRIM(F38))&amp;" "&amp;_xlpm.modelo&amp;" "&amp;_xlpm.comb))</f>
        <v/>
      </c>
      <c r="D38" s="22" t="str" cm="1">
        <f t="array" ref="D38">IF(E38="","",_xlfn.LET(_xlpm.cat,_xlfn.XLOOKUP(UPPER(TRIM(F38)),UPPER(NPF!$G$4:$G$40),NPF!$H$4:$H$40,"¿CAT?"),_xlpm.comb,_xlfn.XLOOKUP(UPPER(TRIM(G38)),UPPER(NPF!$A$4:$A$30),NPF!$B$4:$B$30,"¿COMB?"),_xlpm.txt,NPF!$V$4:$V$33,_xlpm.abr,NPF!$W$4:$W$33,_xlpm.modAbrev,_xlfn.REDUCE(UPPER(TRIM(E38)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8" s="22" t="str">
        <f t="shared" si="2"/>
        <v/>
      </c>
      <c r="N38" s="22" t="str">
        <f t="shared" si="3"/>
        <v/>
      </c>
    </row>
    <row r="39" spans="3:14" x14ac:dyDescent="0.25">
      <c r="C39" s="22" t="str">
        <f t="array" ref="C39">IF(E39="","",_xlfn.LET(_xlpm.modelo,UPPER(TRIM(E39)),_xlpm.comb,_xlfn.XLOOKUP(UPPER(TRIM(G39)),UPPER(NPF!$A$4:$A$30),NPF!$B$4:$B$30,"¿COMB?"),UPPER(TRIM(F39))&amp;" "&amp;_xlpm.modelo&amp;" "&amp;_xlpm.comb))</f>
        <v/>
      </c>
      <c r="D39" s="22" t="str" cm="1">
        <f t="array" ref="D39">IF(E39="","",_xlfn.LET(_xlpm.cat,_xlfn.XLOOKUP(UPPER(TRIM(F39)),UPPER(NPF!$G$4:$G$40),NPF!$H$4:$H$40,"¿CAT?"),_xlpm.comb,_xlfn.XLOOKUP(UPPER(TRIM(G39)),UPPER(NPF!$A$4:$A$30),NPF!$B$4:$B$30,"¿COMB?"),_xlpm.txt,NPF!$V$4:$V$33,_xlpm.abr,NPF!$W$4:$W$33,_xlpm.modAbrev,_xlfn.REDUCE(UPPER(TRIM(E39)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39" s="22" t="str">
        <f t="shared" si="2"/>
        <v/>
      </c>
      <c r="N39" s="22" t="str">
        <f t="shared" si="3"/>
        <v/>
      </c>
    </row>
    <row r="40" spans="3:14" x14ac:dyDescent="0.25">
      <c r="C40" s="22" t="str">
        <f t="array" ref="C40">IF(E40="","",_xlfn.LET(_xlpm.modelo,UPPER(TRIM(E40)),_xlpm.comb,_xlfn.XLOOKUP(UPPER(TRIM(G40)),UPPER(NPF!$A$4:$A$30),NPF!$B$4:$B$30,"¿COMB?"),UPPER(TRIM(F40))&amp;" "&amp;_xlpm.modelo&amp;" "&amp;_xlpm.comb))</f>
        <v/>
      </c>
      <c r="D40" s="22" t="str" cm="1">
        <f t="array" ref="D40">IF(E40="","",_xlfn.LET(_xlpm.cat,_xlfn.XLOOKUP(UPPER(TRIM(F40)),UPPER(NPF!$G$4:$G$40),NPF!$H$4:$H$40,"¿CAT?"),_xlpm.comb,_xlfn.XLOOKUP(UPPER(TRIM(G40)),UPPER(NPF!$A$4:$A$30),NPF!$B$4:$B$30,"¿COMB?"),_xlpm.txt,NPF!$V$4:$V$33,_xlpm.abr,NPF!$W$4:$W$33,_xlpm.modAbrev,_xlfn.REDUCE(UPPER(TRIM(E40)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0" s="22" t="str">
        <f t="shared" si="2"/>
        <v/>
      </c>
      <c r="N40" s="22" t="str">
        <f t="shared" si="3"/>
        <v/>
      </c>
    </row>
    <row r="41" spans="3:14" x14ac:dyDescent="0.25">
      <c r="C41" s="22" t="str">
        <f t="array" ref="C41">IF(E41="","",_xlfn.LET(_xlpm.modelo,UPPER(TRIM(E41)),_xlpm.comb,_xlfn.XLOOKUP(UPPER(TRIM(G41)),UPPER(NPF!$A$4:$A$30),NPF!$B$4:$B$30,"¿COMB?"),UPPER(TRIM(F41))&amp;" "&amp;_xlpm.modelo&amp;" "&amp;_xlpm.comb))</f>
        <v/>
      </c>
      <c r="D41" s="22" t="str" cm="1">
        <f t="array" ref="D41">IF(E41="","",_xlfn.LET(_xlpm.cat,_xlfn.XLOOKUP(UPPER(TRIM(F41)),UPPER(NPF!$G$4:$G$40),NPF!$H$4:$H$40,"¿CAT?"),_xlpm.comb,_xlfn.XLOOKUP(UPPER(TRIM(G41)),UPPER(NPF!$A$4:$A$30),NPF!$B$4:$B$30,"¿COMB?"),_xlpm.txt,NPF!$V$4:$V$33,_xlpm.abr,NPF!$W$4:$W$33,_xlpm.modAbrev,_xlfn.REDUCE(UPPER(TRIM(E41)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1" s="22" t="str">
        <f t="shared" si="2"/>
        <v/>
      </c>
      <c r="N41" s="22" t="str">
        <f t="shared" si="3"/>
        <v/>
      </c>
    </row>
    <row r="42" spans="3:14" x14ac:dyDescent="0.25">
      <c r="C42" s="22" t="str">
        <f t="array" ref="C42">IF(E42="","",_xlfn.LET(_xlpm.modelo,UPPER(TRIM(E42)),_xlpm.comb,_xlfn.XLOOKUP(UPPER(TRIM(G42)),UPPER(NPF!$A$4:$A$30),NPF!$B$4:$B$30,"¿COMB?"),UPPER(TRIM(F42))&amp;" "&amp;_xlpm.modelo&amp;" "&amp;_xlpm.comb))</f>
        <v/>
      </c>
      <c r="D42" s="22" t="str" cm="1">
        <f t="array" ref="D42">IF(E42="","",_xlfn.LET(_xlpm.cat,_xlfn.XLOOKUP(UPPER(TRIM(F42)),UPPER(NPF!$G$4:$G$40),NPF!$H$4:$H$40,"¿CAT?"),_xlpm.comb,_xlfn.XLOOKUP(UPPER(TRIM(G42)),UPPER(NPF!$A$4:$A$30),NPF!$B$4:$B$30,"¿COMB?"),_xlpm.txt,NPF!$V$4:$V$33,_xlpm.abr,NPF!$W$4:$W$33,_xlpm.modAbrev,_xlfn.REDUCE(UPPER(TRIM(E42)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2" s="22" t="str">
        <f t="shared" si="2"/>
        <v/>
      </c>
      <c r="N42" s="22" t="str">
        <f t="shared" si="3"/>
        <v/>
      </c>
    </row>
    <row r="43" spans="3:14" x14ac:dyDescent="0.25">
      <c r="C43" s="22" t="str">
        <f t="array" ref="C43">IF(E43="","",_xlfn.LET(_xlpm.modelo,UPPER(TRIM(E43)),_xlpm.comb,_xlfn.XLOOKUP(UPPER(TRIM(G43)),UPPER(NPF!$A$4:$A$30),NPF!$B$4:$B$30,"¿COMB?"),UPPER(TRIM(F43))&amp;" "&amp;_xlpm.modelo&amp;" "&amp;_xlpm.comb))</f>
        <v/>
      </c>
      <c r="D43" s="22" t="str" cm="1">
        <f t="array" ref="D43">IF(E43="","",_xlfn.LET(_xlpm.cat,_xlfn.XLOOKUP(UPPER(TRIM(F43)),UPPER(NPF!$G$4:$G$40),NPF!$H$4:$H$40,"¿CAT?"),_xlpm.comb,_xlfn.XLOOKUP(UPPER(TRIM(G43)),UPPER(NPF!$A$4:$A$30),NPF!$B$4:$B$30,"¿COMB?"),_xlpm.txt,NPF!$V$4:$V$33,_xlpm.abr,NPF!$W$4:$W$33,_xlpm.modAbrev,_xlfn.REDUCE(UPPER(TRIM(E43)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3" s="22" t="str">
        <f t="shared" si="2"/>
        <v/>
      </c>
      <c r="N43" s="22" t="str">
        <f t="shared" si="3"/>
        <v/>
      </c>
    </row>
    <row r="44" spans="3:14" x14ac:dyDescent="0.25">
      <c r="C44" s="22" t="str">
        <f t="array" ref="C44">IF(E44="","",_xlfn.LET(_xlpm.modelo,UPPER(TRIM(E44)),_xlpm.comb,_xlfn.XLOOKUP(UPPER(TRIM(G44)),UPPER(NPF!$A$4:$A$30),NPF!$B$4:$B$30,"¿COMB?"),UPPER(TRIM(F44))&amp;" "&amp;_xlpm.modelo&amp;" "&amp;_xlpm.comb))</f>
        <v/>
      </c>
      <c r="D44" s="22" t="str" cm="1">
        <f t="array" ref="D44">IF(E44="","",_xlfn.LET(_xlpm.cat,_xlfn.XLOOKUP(UPPER(TRIM(F44)),UPPER(NPF!$G$4:$G$40),NPF!$H$4:$H$40,"¿CAT?"),_xlpm.comb,_xlfn.XLOOKUP(UPPER(TRIM(G44)),UPPER(NPF!$A$4:$A$30),NPF!$B$4:$B$30,"¿COMB?"),_xlpm.txt,NPF!$V$4:$V$33,_xlpm.abr,NPF!$W$4:$W$33,_xlpm.modAbrev,_xlfn.REDUCE(UPPER(TRIM(E44)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4" s="22" t="str">
        <f t="shared" si="2"/>
        <v/>
      </c>
      <c r="N44" s="22" t="str">
        <f t="shared" si="3"/>
        <v/>
      </c>
    </row>
    <row r="45" spans="3:14" x14ac:dyDescent="0.25">
      <c r="C45" s="22" t="str">
        <f t="array" ref="C45">IF(E45="","",_xlfn.LET(_xlpm.modelo,UPPER(TRIM(E45)),_xlpm.comb,_xlfn.XLOOKUP(UPPER(TRIM(G45)),UPPER(NPF!$A$4:$A$30),NPF!$B$4:$B$30,"¿COMB?"),UPPER(TRIM(F45))&amp;" "&amp;_xlpm.modelo&amp;" "&amp;_xlpm.comb))</f>
        <v/>
      </c>
      <c r="D45" s="22" t="str" cm="1">
        <f t="array" ref="D45">IF(E45="","",_xlfn.LET(_xlpm.cat,_xlfn.XLOOKUP(UPPER(TRIM(F45)),UPPER(NPF!$G$4:$G$40),NPF!$H$4:$H$40,"¿CAT?"),_xlpm.comb,_xlfn.XLOOKUP(UPPER(TRIM(G45)),UPPER(NPF!$A$4:$A$30),NPF!$B$4:$B$30,"¿COMB?"),_xlpm.txt,NPF!$V$4:$V$33,_xlpm.abr,NPF!$W$4:$W$33,_xlpm.modAbrev,_xlfn.REDUCE(UPPER(TRIM(E45)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5" s="22" t="str">
        <f t="shared" si="2"/>
        <v/>
      </c>
      <c r="N45" s="22" t="str">
        <f t="shared" si="3"/>
        <v/>
      </c>
    </row>
    <row r="46" spans="3:14" x14ac:dyDescent="0.25">
      <c r="C46" s="22" t="str">
        <f t="array" ref="C46">IF(E46="","",_xlfn.LET(_xlpm.modelo,UPPER(TRIM(E46)),_xlpm.comb,_xlfn.XLOOKUP(UPPER(TRIM(G46)),UPPER(NPF!$A$4:$A$30),NPF!$B$4:$B$30,"¿COMB?"),UPPER(TRIM(F46))&amp;" "&amp;_xlpm.modelo&amp;" "&amp;_xlpm.comb))</f>
        <v/>
      </c>
      <c r="D46" s="22" t="str" cm="1">
        <f t="array" ref="D46">IF(E46="","",_xlfn.LET(_xlpm.cat,_xlfn.XLOOKUP(UPPER(TRIM(F46)),UPPER(NPF!$G$4:$G$40),NPF!$H$4:$H$40,"¿CAT?"),_xlpm.comb,_xlfn.XLOOKUP(UPPER(TRIM(G46)),UPPER(NPF!$A$4:$A$30),NPF!$B$4:$B$30,"¿COMB?"),_xlpm.txt,NPF!$V$4:$V$33,_xlpm.abr,NPF!$W$4:$W$33,_xlpm.modAbrev,_xlfn.REDUCE(UPPER(TRIM(E46)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6" s="22" t="str">
        <f t="shared" si="2"/>
        <v/>
      </c>
      <c r="N46" s="22" t="str">
        <f t="shared" si="3"/>
        <v/>
      </c>
    </row>
    <row r="47" spans="3:14" x14ac:dyDescent="0.25">
      <c r="C47" s="22" t="str">
        <f t="array" ref="C47">IF(E47="","",_xlfn.LET(_xlpm.modelo,UPPER(TRIM(E47)),_xlpm.comb,_xlfn.XLOOKUP(UPPER(TRIM(G47)),UPPER(NPF!$A$4:$A$30),NPF!$B$4:$B$30,"¿COMB?"),UPPER(TRIM(F47))&amp;" "&amp;_xlpm.modelo&amp;" "&amp;_xlpm.comb))</f>
        <v/>
      </c>
      <c r="D47" s="22" t="str" cm="1">
        <f t="array" ref="D47">IF(E47="","",_xlfn.LET(_xlpm.cat,_xlfn.XLOOKUP(UPPER(TRIM(F47)),UPPER(NPF!$G$4:$G$40),NPF!$H$4:$H$40,"¿CAT?"),_xlpm.comb,_xlfn.XLOOKUP(UPPER(TRIM(G47)),UPPER(NPF!$A$4:$A$30),NPF!$B$4:$B$30,"¿COMB?"),_xlpm.txt,NPF!$V$4:$V$33,_xlpm.abr,NPF!$W$4:$W$33,_xlpm.modAbrev,_xlfn.REDUCE(UPPER(TRIM(E47)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7" s="22" t="str">
        <f t="shared" si="2"/>
        <v/>
      </c>
      <c r="N47" s="22" t="str">
        <f t="shared" si="3"/>
        <v/>
      </c>
    </row>
    <row r="48" spans="3:14" x14ac:dyDescent="0.25">
      <c r="C48" s="22" t="str">
        <f t="array" ref="C48">IF(E48="","",_xlfn.LET(_xlpm.modelo,UPPER(TRIM(E48)),_xlpm.comb,_xlfn.XLOOKUP(UPPER(TRIM(G48)),UPPER(NPF!$A$4:$A$30),NPF!$B$4:$B$30,"¿COMB?"),UPPER(TRIM(F48))&amp;" "&amp;_xlpm.modelo&amp;" "&amp;_xlpm.comb))</f>
        <v/>
      </c>
      <c r="D48" s="22" t="str" cm="1">
        <f t="array" ref="D48">IF(E48="","",_xlfn.LET(_xlpm.cat,_xlfn.XLOOKUP(UPPER(TRIM(F48)),UPPER(NPF!$G$4:$G$40),NPF!$H$4:$H$40,"¿CAT?"),_xlpm.comb,_xlfn.XLOOKUP(UPPER(TRIM(G48)),UPPER(NPF!$A$4:$A$30),NPF!$B$4:$B$30,"¿COMB?"),_xlpm.txt,NPF!$V$4:$V$33,_xlpm.abr,NPF!$W$4:$W$33,_xlpm.modAbrev,_xlfn.REDUCE(UPPER(TRIM(E48)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8" s="22" t="str">
        <f t="shared" si="2"/>
        <v/>
      </c>
      <c r="N48" s="22" t="str">
        <f t="shared" si="3"/>
        <v/>
      </c>
    </row>
    <row r="49" spans="3:14" x14ac:dyDescent="0.25">
      <c r="C49" s="22" t="str">
        <f t="array" ref="C49">IF(E49="","",_xlfn.LET(_xlpm.modelo,UPPER(TRIM(E49)),_xlpm.comb,_xlfn.XLOOKUP(UPPER(TRIM(G49)),UPPER(NPF!$A$4:$A$30),NPF!$B$4:$B$30,"¿COMB?"),UPPER(TRIM(F49))&amp;" "&amp;_xlpm.modelo&amp;" "&amp;_xlpm.comb))</f>
        <v/>
      </c>
      <c r="D49" s="22" t="str" cm="1">
        <f t="array" ref="D49">IF(E49="","",_xlfn.LET(_xlpm.cat,_xlfn.XLOOKUP(UPPER(TRIM(F49)),UPPER(NPF!$G$4:$G$40),NPF!$H$4:$H$40,"¿CAT?"),_xlpm.comb,_xlfn.XLOOKUP(UPPER(TRIM(G49)),UPPER(NPF!$A$4:$A$30),NPF!$B$4:$B$30,"¿COMB?"),_xlpm.txt,NPF!$V$4:$V$33,_xlpm.abr,NPF!$W$4:$W$33,_xlpm.modAbrev,_xlfn.REDUCE(UPPER(TRIM(E49)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49" s="22" t="str">
        <f t="shared" si="2"/>
        <v/>
      </c>
      <c r="N49" s="22" t="str">
        <f t="shared" si="3"/>
        <v/>
      </c>
    </row>
    <row r="50" spans="3:14" x14ac:dyDescent="0.25">
      <c r="C50" s="22" t="str">
        <f t="array" ref="C50">IF(E50="","",_xlfn.LET(_xlpm.modelo,UPPER(TRIM(E50)),_xlpm.comb,_xlfn.XLOOKUP(UPPER(TRIM(G50)),UPPER(NPF!$A$4:$A$30),NPF!$B$4:$B$30,"¿COMB?"),UPPER(TRIM(F50))&amp;" "&amp;_xlpm.modelo&amp;" "&amp;_xlpm.comb))</f>
        <v/>
      </c>
      <c r="D50" s="22" t="str" cm="1">
        <f t="array" ref="D50">IF(E50="","",_xlfn.LET(_xlpm.cat,_xlfn.XLOOKUP(UPPER(TRIM(F50)),UPPER(NPF!$G$4:$G$40),NPF!$H$4:$H$40,"¿CAT?"),_xlpm.comb,_xlfn.XLOOKUP(UPPER(TRIM(G50)),UPPER(NPF!$A$4:$A$30),NPF!$B$4:$B$30,"¿COMB?"),_xlpm.txt,NPF!$V$4:$V$33,_xlpm.abr,NPF!$W$4:$W$33,_xlpm.modAbrev,_xlfn.REDUCE(UPPER(TRIM(E50)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0" s="22" t="str">
        <f t="shared" si="2"/>
        <v/>
      </c>
      <c r="N50" s="22" t="str">
        <f t="shared" si="3"/>
        <v/>
      </c>
    </row>
    <row r="51" spans="3:14" x14ac:dyDescent="0.25">
      <c r="C51" s="22" t="str">
        <f t="array" ref="C51">IF(E51="","",_xlfn.LET(_xlpm.modelo,UPPER(TRIM(E51)),_xlpm.comb,_xlfn.XLOOKUP(UPPER(TRIM(G51)),UPPER(NPF!$A$4:$A$30),NPF!$B$4:$B$30,"¿COMB?"),UPPER(TRIM(F51))&amp;" "&amp;_xlpm.modelo&amp;" "&amp;_xlpm.comb))</f>
        <v/>
      </c>
      <c r="D51" s="22" t="str" cm="1">
        <f t="array" ref="D51">IF(E51="","",_xlfn.LET(_xlpm.cat,_xlfn.XLOOKUP(UPPER(TRIM(F51)),UPPER(NPF!$G$4:$G$40),NPF!$H$4:$H$40,"¿CAT?"),_xlpm.comb,_xlfn.XLOOKUP(UPPER(TRIM(G51)),UPPER(NPF!$A$4:$A$30),NPF!$B$4:$B$30,"¿COMB?"),_xlpm.txt,NPF!$V$4:$V$33,_xlpm.abr,NPF!$W$4:$W$33,_xlpm.modAbrev,_xlfn.REDUCE(UPPER(TRIM(E51)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1" s="22" t="str">
        <f t="shared" si="2"/>
        <v/>
      </c>
      <c r="N51" s="22" t="str">
        <f t="shared" si="3"/>
        <v/>
      </c>
    </row>
    <row r="52" spans="3:14" x14ac:dyDescent="0.25">
      <c r="C52" s="22" t="str">
        <f t="array" ref="C52">IF(E52="","",_xlfn.LET(_xlpm.modelo,UPPER(TRIM(E52)),_xlpm.comb,_xlfn.XLOOKUP(UPPER(TRIM(G52)),UPPER(NPF!$A$4:$A$30),NPF!$B$4:$B$30,"¿COMB?"),UPPER(TRIM(F52))&amp;" "&amp;_xlpm.modelo&amp;" "&amp;_xlpm.comb))</f>
        <v/>
      </c>
      <c r="D52" s="22" t="str" cm="1">
        <f t="array" ref="D52">IF(E52="","",_xlfn.LET(_xlpm.cat,_xlfn.XLOOKUP(UPPER(TRIM(F52)),UPPER(NPF!$G$4:$G$40),NPF!$H$4:$H$40,"¿CAT?"),_xlpm.comb,_xlfn.XLOOKUP(UPPER(TRIM(G52)),UPPER(NPF!$A$4:$A$30),NPF!$B$4:$B$30,"¿COMB?"),_xlpm.txt,NPF!$V$4:$V$33,_xlpm.abr,NPF!$W$4:$W$33,_xlpm.modAbrev,_xlfn.REDUCE(UPPER(TRIM(E52)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2" s="22" t="str">
        <f t="shared" si="2"/>
        <v/>
      </c>
      <c r="N52" s="22" t="str">
        <f t="shared" si="3"/>
        <v/>
      </c>
    </row>
    <row r="53" spans="3:14" x14ac:dyDescent="0.25">
      <c r="C53" s="22" t="str">
        <f t="array" ref="C53">IF(E53="","",_xlfn.LET(_xlpm.modelo,UPPER(TRIM(E53)),_xlpm.comb,_xlfn.XLOOKUP(UPPER(TRIM(G53)),UPPER(NPF!$A$4:$A$30),NPF!$B$4:$B$30,"¿COMB?"),UPPER(TRIM(F53))&amp;" "&amp;_xlpm.modelo&amp;" "&amp;_xlpm.comb))</f>
        <v/>
      </c>
      <c r="D53" s="22" t="str" cm="1">
        <f t="array" ref="D53">IF(E53="","",_xlfn.LET(_xlpm.cat,_xlfn.XLOOKUP(UPPER(TRIM(F53)),UPPER(NPF!$G$4:$G$40),NPF!$H$4:$H$40,"¿CAT?"),_xlpm.comb,_xlfn.XLOOKUP(UPPER(TRIM(G53)),UPPER(NPF!$A$4:$A$30),NPF!$B$4:$B$30,"¿COMB?"),_xlpm.txt,NPF!$V$4:$V$33,_xlpm.abr,NPF!$W$4:$W$33,_xlpm.modAbrev,_xlfn.REDUCE(UPPER(TRIM(E53)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3" s="22" t="str">
        <f t="shared" si="2"/>
        <v/>
      </c>
      <c r="N53" s="22" t="str">
        <f t="shared" si="3"/>
        <v/>
      </c>
    </row>
    <row r="54" spans="3:14" x14ac:dyDescent="0.25">
      <c r="C54" s="22" t="str">
        <f t="array" ref="C54">IF(E54="","",_xlfn.LET(_xlpm.modelo,UPPER(TRIM(E54)),_xlpm.comb,_xlfn.XLOOKUP(UPPER(TRIM(G54)),UPPER(NPF!$A$4:$A$30),NPF!$B$4:$B$30,"¿COMB?"),UPPER(TRIM(F54))&amp;" "&amp;_xlpm.modelo&amp;" "&amp;_xlpm.comb))</f>
        <v/>
      </c>
      <c r="D54" s="22" t="str" cm="1">
        <f t="array" ref="D54">IF(E54="","",_xlfn.LET(_xlpm.cat,_xlfn.XLOOKUP(UPPER(TRIM(F54)),UPPER(NPF!$G$4:$G$40),NPF!$H$4:$H$40,"¿CAT?"),_xlpm.comb,_xlfn.XLOOKUP(UPPER(TRIM(G54)),UPPER(NPF!$A$4:$A$30),NPF!$B$4:$B$30,"¿COMB?"),_xlpm.txt,NPF!$V$4:$V$33,_xlpm.abr,NPF!$W$4:$W$33,_xlpm.modAbrev,_xlfn.REDUCE(UPPER(TRIM(E54)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4" s="22" t="str">
        <f t="shared" si="2"/>
        <v/>
      </c>
      <c r="N54" s="22" t="str">
        <f t="shared" si="3"/>
        <v/>
      </c>
    </row>
    <row r="55" spans="3:14" x14ac:dyDescent="0.25">
      <c r="C55" s="22" t="str">
        <f t="array" ref="C55">IF(E55="","",_xlfn.LET(_xlpm.modelo,UPPER(TRIM(E55)),_xlpm.comb,_xlfn.XLOOKUP(UPPER(TRIM(G55)),UPPER(NPF!$A$4:$A$30),NPF!$B$4:$B$30,"¿COMB?"),UPPER(TRIM(F55))&amp;" "&amp;_xlpm.modelo&amp;" "&amp;_xlpm.comb))</f>
        <v/>
      </c>
      <c r="D55" s="22" t="str" cm="1">
        <f t="array" ref="D55">IF(E55="","",_xlfn.LET(_xlpm.cat,_xlfn.XLOOKUP(UPPER(TRIM(F55)),UPPER(NPF!$G$4:$G$40),NPF!$H$4:$H$40,"¿CAT?"),_xlpm.comb,_xlfn.XLOOKUP(UPPER(TRIM(G55)),UPPER(NPF!$A$4:$A$30),NPF!$B$4:$B$30,"¿COMB?"),_xlpm.txt,NPF!$V$4:$V$33,_xlpm.abr,NPF!$W$4:$W$33,_xlpm.modAbrev,_xlfn.REDUCE(UPPER(TRIM(E55)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5" s="22" t="str">
        <f t="shared" si="2"/>
        <v/>
      </c>
      <c r="N55" s="22" t="str">
        <f t="shared" si="3"/>
        <v/>
      </c>
    </row>
    <row r="56" spans="3:14" x14ac:dyDescent="0.25">
      <c r="C56" s="22" t="str">
        <f t="array" ref="C56">IF(E56="","",_xlfn.LET(_xlpm.modelo,UPPER(TRIM(E56)),_xlpm.comb,_xlfn.XLOOKUP(UPPER(TRIM(G56)),UPPER(NPF!$A$4:$A$30),NPF!$B$4:$B$30,"¿COMB?"),UPPER(TRIM(F56))&amp;" "&amp;_xlpm.modelo&amp;" "&amp;_xlpm.comb))</f>
        <v/>
      </c>
      <c r="D56" s="22" t="str" cm="1">
        <f t="array" ref="D56">IF(E56="","",_xlfn.LET(_xlpm.cat,_xlfn.XLOOKUP(UPPER(TRIM(F56)),UPPER(NPF!$G$4:$G$40),NPF!$H$4:$H$40,"¿CAT?"),_xlpm.comb,_xlfn.XLOOKUP(UPPER(TRIM(G56)),UPPER(NPF!$A$4:$A$30),NPF!$B$4:$B$30,"¿COMB?"),_xlpm.txt,NPF!$V$4:$V$33,_xlpm.abr,NPF!$W$4:$W$33,_xlpm.modAbrev,_xlfn.REDUCE(UPPER(TRIM(E56)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6" s="22" t="str">
        <f t="shared" si="2"/>
        <v/>
      </c>
      <c r="N56" s="22" t="str">
        <f t="shared" si="3"/>
        <v/>
      </c>
    </row>
    <row r="57" spans="3:14" x14ac:dyDescent="0.25">
      <c r="C57" s="22" t="str">
        <f t="array" ref="C57">IF(E57="","",_xlfn.LET(_xlpm.modelo,UPPER(TRIM(E57)),_xlpm.comb,_xlfn.XLOOKUP(UPPER(TRIM(G57)),UPPER(NPF!$A$4:$A$30),NPF!$B$4:$B$30,"¿COMB?"),UPPER(TRIM(F57))&amp;" "&amp;_xlpm.modelo&amp;" "&amp;_xlpm.comb))</f>
        <v/>
      </c>
      <c r="D57" s="22" t="str" cm="1">
        <f t="array" ref="D57">IF(E57="","",_xlfn.LET(_xlpm.cat,_xlfn.XLOOKUP(UPPER(TRIM(F57)),UPPER(NPF!$G$4:$G$40),NPF!$H$4:$H$40,"¿CAT?"),_xlpm.comb,_xlfn.XLOOKUP(UPPER(TRIM(G57)),UPPER(NPF!$A$4:$A$30),NPF!$B$4:$B$30,"¿COMB?"),_xlpm.txt,NPF!$V$4:$V$33,_xlpm.abr,NPF!$W$4:$W$33,_xlpm.modAbrev,_xlfn.REDUCE(UPPER(TRIM(E57)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7" s="22" t="str">
        <f t="shared" si="2"/>
        <v/>
      </c>
      <c r="N57" s="22" t="str">
        <f t="shared" si="3"/>
        <v/>
      </c>
    </row>
    <row r="58" spans="3:14" x14ac:dyDescent="0.25">
      <c r="C58" s="22" t="str">
        <f t="array" ref="C58">IF(E58="","",_xlfn.LET(_xlpm.modelo,UPPER(TRIM(E58)),_xlpm.comb,_xlfn.XLOOKUP(UPPER(TRIM(G58)),UPPER(NPF!$A$4:$A$30),NPF!$B$4:$B$30,"¿COMB?"),UPPER(TRIM(F58))&amp;" "&amp;_xlpm.modelo&amp;" "&amp;_xlpm.comb))</f>
        <v/>
      </c>
      <c r="D58" s="22" t="str" cm="1">
        <f t="array" ref="D58">IF(E58="","",_xlfn.LET(_xlpm.cat,_xlfn.XLOOKUP(UPPER(TRIM(F58)),UPPER(NPF!$G$4:$G$40),NPF!$H$4:$H$40,"¿CAT?"),_xlpm.comb,_xlfn.XLOOKUP(UPPER(TRIM(G58)),UPPER(NPF!$A$4:$A$30),NPF!$B$4:$B$30,"¿COMB?"),_xlpm.txt,NPF!$V$4:$V$33,_xlpm.abr,NPF!$W$4:$W$33,_xlpm.modAbrev,_xlfn.REDUCE(UPPER(TRIM(E58)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8" s="22" t="str">
        <f t="shared" si="2"/>
        <v/>
      </c>
      <c r="N58" s="22" t="str">
        <f t="shared" si="3"/>
        <v/>
      </c>
    </row>
    <row r="59" spans="3:14" x14ac:dyDescent="0.25">
      <c r="C59" s="22" t="str">
        <f t="array" ref="C59">IF(E59="","",_xlfn.LET(_xlpm.modelo,UPPER(TRIM(E59)),_xlpm.comb,_xlfn.XLOOKUP(UPPER(TRIM(G59)),UPPER(NPF!$A$4:$A$30),NPF!$B$4:$B$30,"¿COMB?"),UPPER(TRIM(F59))&amp;" "&amp;_xlpm.modelo&amp;" "&amp;_xlpm.comb))</f>
        <v/>
      </c>
      <c r="D59" s="22" t="str" cm="1">
        <f t="array" ref="D59">IF(E59="","",_xlfn.LET(_xlpm.cat,_xlfn.XLOOKUP(UPPER(TRIM(F59)),UPPER(NPF!$G$4:$G$40),NPF!$H$4:$H$40,"¿CAT?"),_xlpm.comb,_xlfn.XLOOKUP(UPPER(TRIM(G59)),UPPER(NPF!$A$4:$A$30),NPF!$B$4:$B$30,"¿COMB?"),_xlpm.txt,NPF!$V$4:$V$33,_xlpm.abr,NPF!$W$4:$W$33,_xlpm.modAbrev,_xlfn.REDUCE(UPPER(TRIM(E59)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59" s="22" t="str">
        <f t="shared" si="2"/>
        <v/>
      </c>
      <c r="N59" s="22" t="str">
        <f t="shared" si="3"/>
        <v/>
      </c>
    </row>
    <row r="60" spans="3:14" x14ac:dyDescent="0.25">
      <c r="C60" s="22" t="str">
        <f t="array" ref="C60">IF(E60="","",_xlfn.LET(_xlpm.modelo,UPPER(TRIM(E60)),_xlpm.comb,_xlfn.XLOOKUP(UPPER(TRIM(G60)),UPPER(NPF!$A$4:$A$30),NPF!$B$4:$B$30,"¿COMB?"),UPPER(TRIM(F60))&amp;" "&amp;_xlpm.modelo&amp;" "&amp;_xlpm.comb))</f>
        <v/>
      </c>
      <c r="D60" s="22" t="str" cm="1">
        <f t="array" ref="D60">IF(E60="","",_xlfn.LET(_xlpm.cat,_xlfn.XLOOKUP(UPPER(TRIM(F60)),UPPER(NPF!$G$4:$G$40),NPF!$H$4:$H$40,"¿CAT?"),_xlpm.comb,_xlfn.XLOOKUP(UPPER(TRIM(G60)),UPPER(NPF!$A$4:$A$30),NPF!$B$4:$B$30,"¿COMB?"),_xlpm.txt,NPF!$V$4:$V$33,_xlpm.abr,NPF!$W$4:$W$33,_xlpm.modAbrev,_xlfn.REDUCE(UPPER(TRIM(E60)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0" s="22" t="str">
        <f t="shared" si="2"/>
        <v/>
      </c>
      <c r="N60" s="22" t="str">
        <f t="shared" si="3"/>
        <v/>
      </c>
    </row>
    <row r="61" spans="3:14" x14ac:dyDescent="0.25">
      <c r="C61" s="22" t="str">
        <f t="array" ref="C61">IF(E61="","",_xlfn.LET(_xlpm.modelo,UPPER(TRIM(E61)),_xlpm.comb,_xlfn.XLOOKUP(UPPER(TRIM(G61)),UPPER(NPF!$A$4:$A$30),NPF!$B$4:$B$30,"¿COMB?"),UPPER(TRIM(F61))&amp;" "&amp;_xlpm.modelo&amp;" "&amp;_xlpm.comb))</f>
        <v/>
      </c>
      <c r="D61" s="22" t="str" cm="1">
        <f t="array" ref="D61">IF(E61="","",_xlfn.LET(_xlpm.cat,_xlfn.XLOOKUP(UPPER(TRIM(F61)),UPPER(NPF!$G$4:$G$40),NPF!$H$4:$H$40,"¿CAT?"),_xlpm.comb,_xlfn.XLOOKUP(UPPER(TRIM(G61)),UPPER(NPF!$A$4:$A$30),NPF!$B$4:$B$30,"¿COMB?"),_xlpm.txt,NPF!$V$4:$V$33,_xlpm.abr,NPF!$W$4:$W$33,_xlpm.modAbrev,_xlfn.REDUCE(UPPER(TRIM(E61)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1" s="22" t="str">
        <f t="shared" si="2"/>
        <v/>
      </c>
      <c r="N61" s="22" t="str">
        <f t="shared" si="3"/>
        <v/>
      </c>
    </row>
    <row r="62" spans="3:14" x14ac:dyDescent="0.25">
      <c r="C62" s="22" t="str">
        <f t="array" ref="C62">IF(E62="","",_xlfn.LET(_xlpm.modelo,UPPER(TRIM(E62)),_xlpm.comb,_xlfn.XLOOKUP(UPPER(TRIM(G62)),UPPER(NPF!$A$4:$A$30),NPF!$B$4:$B$30,"¿COMB?"),UPPER(TRIM(F62))&amp;" "&amp;_xlpm.modelo&amp;" "&amp;_xlpm.comb))</f>
        <v/>
      </c>
      <c r="D62" s="22" t="str" cm="1">
        <f t="array" ref="D62">IF(E62="","",_xlfn.LET(_xlpm.cat,_xlfn.XLOOKUP(UPPER(TRIM(F62)),UPPER(NPF!$G$4:$G$40),NPF!$H$4:$H$40,"¿CAT?"),_xlpm.comb,_xlfn.XLOOKUP(UPPER(TRIM(G62)),UPPER(NPF!$A$4:$A$30),NPF!$B$4:$B$30,"¿COMB?"),_xlpm.txt,NPF!$V$4:$V$33,_xlpm.abr,NPF!$W$4:$W$33,_xlpm.modAbrev,_xlfn.REDUCE(UPPER(TRIM(E62)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2" s="22" t="str">
        <f t="shared" si="2"/>
        <v/>
      </c>
      <c r="N62" s="22" t="str">
        <f t="shared" si="3"/>
        <v/>
      </c>
    </row>
    <row r="63" spans="3:14" x14ac:dyDescent="0.25">
      <c r="C63" s="22" t="str">
        <f t="array" ref="C63">IF(E63="","",_xlfn.LET(_xlpm.modelo,UPPER(TRIM(E63)),_xlpm.comb,_xlfn.XLOOKUP(UPPER(TRIM(G63)),UPPER(NPF!$A$4:$A$30),NPF!$B$4:$B$30,"¿COMB?"),UPPER(TRIM(F63))&amp;" "&amp;_xlpm.modelo&amp;" "&amp;_xlpm.comb))</f>
        <v/>
      </c>
      <c r="D63" s="22" t="str" cm="1">
        <f t="array" ref="D63">IF(E63="","",_xlfn.LET(_xlpm.cat,_xlfn.XLOOKUP(UPPER(TRIM(F63)),UPPER(NPF!$G$4:$G$40),NPF!$H$4:$H$40,"¿CAT?"),_xlpm.comb,_xlfn.XLOOKUP(UPPER(TRIM(G63)),UPPER(NPF!$A$4:$A$30),NPF!$B$4:$B$30,"¿COMB?"),_xlpm.txt,NPF!$V$4:$V$33,_xlpm.abr,NPF!$W$4:$W$33,_xlpm.modAbrev,_xlfn.REDUCE(UPPER(TRIM(E63)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3" s="22" t="str">
        <f t="shared" si="2"/>
        <v/>
      </c>
      <c r="N63" s="22" t="str">
        <f t="shared" si="3"/>
        <v/>
      </c>
    </row>
    <row r="64" spans="3:14" x14ac:dyDescent="0.25">
      <c r="C64" s="22" t="str">
        <f t="array" ref="C64">IF(E64="","",_xlfn.LET(_xlpm.modelo,UPPER(TRIM(E64)),_xlpm.comb,_xlfn.XLOOKUP(UPPER(TRIM(G64)),UPPER(NPF!$A$4:$A$30),NPF!$B$4:$B$30,"¿COMB?"),UPPER(TRIM(F64))&amp;" "&amp;_xlpm.modelo&amp;" "&amp;_xlpm.comb))</f>
        <v/>
      </c>
      <c r="D64" s="22" t="str" cm="1">
        <f t="array" ref="D64">IF(E64="","",_xlfn.LET(_xlpm.cat,_xlfn.XLOOKUP(UPPER(TRIM(F64)),UPPER(NPF!$G$4:$G$40),NPF!$H$4:$H$40,"¿CAT?"),_xlpm.comb,_xlfn.XLOOKUP(UPPER(TRIM(G64)),UPPER(NPF!$A$4:$A$30),NPF!$B$4:$B$30,"¿COMB?"),_xlpm.txt,NPF!$V$4:$V$33,_xlpm.abr,NPF!$W$4:$W$33,_xlpm.modAbrev,_xlfn.REDUCE(UPPER(TRIM(E64)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4" s="22" t="str">
        <f t="shared" si="2"/>
        <v/>
      </c>
      <c r="N64" s="22" t="str">
        <f t="shared" si="3"/>
        <v/>
      </c>
    </row>
    <row r="65" spans="3:14" x14ac:dyDescent="0.25">
      <c r="C65" s="22" t="str">
        <f t="array" ref="C65">IF(E65="","",_xlfn.LET(_xlpm.modelo,UPPER(TRIM(E65)),_xlpm.comb,_xlfn.XLOOKUP(UPPER(TRIM(G65)),UPPER(NPF!$A$4:$A$30),NPF!$B$4:$B$30,"¿COMB?"),UPPER(TRIM(F65))&amp;" "&amp;_xlpm.modelo&amp;" "&amp;_xlpm.comb))</f>
        <v/>
      </c>
      <c r="D65" s="22" t="str" cm="1">
        <f t="array" ref="D65">IF(E65="","",_xlfn.LET(_xlpm.cat,_xlfn.XLOOKUP(UPPER(TRIM(F65)),UPPER(NPF!$G$4:$G$40),NPF!$H$4:$H$40,"¿CAT?"),_xlpm.comb,_xlfn.XLOOKUP(UPPER(TRIM(G65)),UPPER(NPF!$A$4:$A$30),NPF!$B$4:$B$30,"¿COMB?"),_xlpm.txt,NPF!$V$4:$V$33,_xlpm.abr,NPF!$W$4:$W$33,_xlpm.modAbrev,_xlfn.REDUCE(UPPER(TRIM(E65)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5" s="22" t="str">
        <f t="shared" si="2"/>
        <v/>
      </c>
      <c r="N65" s="22" t="str">
        <f t="shared" si="3"/>
        <v/>
      </c>
    </row>
    <row r="66" spans="3:14" x14ac:dyDescent="0.25">
      <c r="C66" s="22" t="str">
        <f t="array" ref="C66">IF(E66="","",_xlfn.LET(_xlpm.modelo,UPPER(TRIM(E66)),_xlpm.comb,_xlfn.XLOOKUP(UPPER(TRIM(G66)),UPPER(NPF!$A$4:$A$30),NPF!$B$4:$B$30,"¿COMB?"),UPPER(TRIM(F66))&amp;" "&amp;_xlpm.modelo&amp;" "&amp;_xlpm.comb))</f>
        <v/>
      </c>
      <c r="D66" s="22" t="str" cm="1">
        <f t="array" ref="D66">IF(E66="","",_xlfn.LET(_xlpm.cat,_xlfn.XLOOKUP(UPPER(TRIM(F66)),UPPER(NPF!$G$4:$G$40),NPF!$H$4:$H$40,"¿CAT?"),_xlpm.comb,_xlfn.XLOOKUP(UPPER(TRIM(G66)),UPPER(NPF!$A$4:$A$30),NPF!$B$4:$B$30,"¿COMB?"),_xlpm.txt,NPF!$V$4:$V$33,_xlpm.abr,NPF!$W$4:$W$33,_xlpm.modAbrev,_xlfn.REDUCE(UPPER(TRIM(E66)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6" s="22" t="str">
        <f t="shared" si="2"/>
        <v/>
      </c>
      <c r="N66" s="22" t="str">
        <f t="shared" si="3"/>
        <v/>
      </c>
    </row>
    <row r="67" spans="3:14" x14ac:dyDescent="0.25">
      <c r="C67" s="22" t="str">
        <f t="array" ref="C67">IF(E67="","",_xlfn.LET(_xlpm.modelo,UPPER(TRIM(E67)),_xlpm.comb,_xlfn.XLOOKUP(UPPER(TRIM(G67)),UPPER(NPF!$A$4:$A$30),NPF!$B$4:$B$30,"¿COMB?"),UPPER(TRIM(F67))&amp;" "&amp;_xlpm.modelo&amp;" "&amp;_xlpm.comb))</f>
        <v/>
      </c>
      <c r="D67" s="22" t="str" cm="1">
        <f t="array" ref="D67">IF(E67="","",_xlfn.LET(_xlpm.cat,_xlfn.XLOOKUP(UPPER(TRIM(F67)),UPPER(NPF!$G$4:$G$40),NPF!$H$4:$H$40,"¿CAT?"),_xlpm.comb,_xlfn.XLOOKUP(UPPER(TRIM(G67)),UPPER(NPF!$A$4:$A$30),NPF!$B$4:$B$30,"¿COMB?"),_xlpm.txt,NPF!$V$4:$V$33,_xlpm.abr,NPF!$W$4:$W$33,_xlpm.modAbrev,_xlfn.REDUCE(UPPER(TRIM(E67)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7" s="22" t="str">
        <f t="shared" ref="M67:M130" si="4">IF(C67="","",LEN(C67))</f>
        <v/>
      </c>
      <c r="N67" s="22" t="str">
        <f t="shared" ref="N67:N130" si="5">IF(D67="","",LEN(D67))</f>
        <v/>
      </c>
    </row>
    <row r="68" spans="3:14" x14ac:dyDescent="0.25">
      <c r="C68" s="22" t="str">
        <f t="array" ref="C68">IF(E68="","",_xlfn.LET(_xlpm.modelo,UPPER(TRIM(E68)),_xlpm.comb,_xlfn.XLOOKUP(UPPER(TRIM(G68)),UPPER(NPF!$A$4:$A$30),NPF!$B$4:$B$30,"¿COMB?"),UPPER(TRIM(F68))&amp;" "&amp;_xlpm.modelo&amp;" "&amp;_xlpm.comb))</f>
        <v/>
      </c>
      <c r="D68" s="22" t="str" cm="1">
        <f t="array" ref="D68">IF(E68="","",_xlfn.LET(_xlpm.cat,_xlfn.XLOOKUP(UPPER(TRIM(F68)),UPPER(NPF!$G$4:$G$40),NPF!$H$4:$H$40,"¿CAT?"),_xlpm.comb,_xlfn.XLOOKUP(UPPER(TRIM(G68)),UPPER(NPF!$A$4:$A$30),NPF!$B$4:$B$30,"¿COMB?"),_xlpm.txt,NPF!$V$4:$V$33,_xlpm.abr,NPF!$W$4:$W$33,_xlpm.modAbrev,_xlfn.REDUCE(UPPER(TRIM(E68)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8" s="22" t="str">
        <f t="shared" si="4"/>
        <v/>
      </c>
      <c r="N68" s="22" t="str">
        <f t="shared" si="5"/>
        <v/>
      </c>
    </row>
    <row r="69" spans="3:14" x14ac:dyDescent="0.25">
      <c r="C69" s="22" t="str">
        <f t="array" ref="C69">IF(E69="","",_xlfn.LET(_xlpm.modelo,UPPER(TRIM(E69)),_xlpm.comb,_xlfn.XLOOKUP(UPPER(TRIM(G69)),UPPER(NPF!$A$4:$A$30),NPF!$B$4:$B$30,"¿COMB?"),UPPER(TRIM(F69))&amp;" "&amp;_xlpm.modelo&amp;" "&amp;_xlpm.comb))</f>
        <v/>
      </c>
      <c r="D69" s="22" t="str" cm="1">
        <f t="array" ref="D69">IF(E69="","",_xlfn.LET(_xlpm.cat,_xlfn.XLOOKUP(UPPER(TRIM(F69)),UPPER(NPF!$G$4:$G$40),NPF!$H$4:$H$40,"¿CAT?"),_xlpm.comb,_xlfn.XLOOKUP(UPPER(TRIM(G69)),UPPER(NPF!$A$4:$A$30),NPF!$B$4:$B$30,"¿COMB?"),_xlpm.txt,NPF!$V$4:$V$33,_xlpm.abr,NPF!$W$4:$W$33,_xlpm.modAbrev,_xlfn.REDUCE(UPPER(TRIM(E69)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69" s="22" t="str">
        <f t="shared" si="4"/>
        <v/>
      </c>
      <c r="N69" s="22" t="str">
        <f t="shared" si="5"/>
        <v/>
      </c>
    </row>
    <row r="70" spans="3:14" x14ac:dyDescent="0.25">
      <c r="C70" s="22" t="str">
        <f t="array" ref="C70">IF(E70="","",_xlfn.LET(_xlpm.modelo,UPPER(TRIM(E70)),_xlpm.comb,_xlfn.XLOOKUP(UPPER(TRIM(G70)),UPPER(NPF!$A$4:$A$30),NPF!$B$4:$B$30,"¿COMB?"),UPPER(TRIM(F70))&amp;" "&amp;_xlpm.modelo&amp;" "&amp;_xlpm.comb))</f>
        <v/>
      </c>
      <c r="D70" s="22" t="str" cm="1">
        <f t="array" ref="D70">IF(E70="","",_xlfn.LET(_xlpm.cat,_xlfn.XLOOKUP(UPPER(TRIM(F70)),UPPER(NPF!$G$4:$G$40),NPF!$H$4:$H$40,"¿CAT?"),_xlpm.comb,_xlfn.XLOOKUP(UPPER(TRIM(G70)),UPPER(NPF!$A$4:$A$30),NPF!$B$4:$B$30,"¿COMB?"),_xlpm.txt,NPF!$V$4:$V$33,_xlpm.abr,NPF!$W$4:$W$33,_xlpm.modAbrev,_xlfn.REDUCE(UPPER(TRIM(E70)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0" s="22" t="str">
        <f t="shared" si="4"/>
        <v/>
      </c>
      <c r="N70" s="22" t="str">
        <f t="shared" si="5"/>
        <v/>
      </c>
    </row>
    <row r="71" spans="3:14" x14ac:dyDescent="0.25">
      <c r="C71" s="22" t="str">
        <f t="array" ref="C71">IF(E71="","",_xlfn.LET(_xlpm.modelo,UPPER(TRIM(E71)),_xlpm.comb,_xlfn.XLOOKUP(UPPER(TRIM(G71)),UPPER(NPF!$A$4:$A$30),NPF!$B$4:$B$30,"¿COMB?"),UPPER(TRIM(F71))&amp;" "&amp;_xlpm.modelo&amp;" "&amp;_xlpm.comb))</f>
        <v/>
      </c>
      <c r="D71" s="22" t="str" cm="1">
        <f t="array" ref="D71">IF(E71="","",_xlfn.LET(_xlpm.cat,_xlfn.XLOOKUP(UPPER(TRIM(F71)),UPPER(NPF!$G$4:$G$40),NPF!$H$4:$H$40,"¿CAT?"),_xlpm.comb,_xlfn.XLOOKUP(UPPER(TRIM(G71)),UPPER(NPF!$A$4:$A$30),NPF!$B$4:$B$30,"¿COMB?"),_xlpm.txt,NPF!$V$4:$V$33,_xlpm.abr,NPF!$W$4:$W$33,_xlpm.modAbrev,_xlfn.REDUCE(UPPER(TRIM(E71)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1" s="22" t="str">
        <f t="shared" si="4"/>
        <v/>
      </c>
      <c r="N71" s="22" t="str">
        <f t="shared" si="5"/>
        <v/>
      </c>
    </row>
    <row r="72" spans="3:14" x14ac:dyDescent="0.25">
      <c r="C72" s="22" t="str">
        <f t="array" ref="C72">IF(E72="","",_xlfn.LET(_xlpm.modelo,UPPER(TRIM(E72)),_xlpm.comb,_xlfn.XLOOKUP(UPPER(TRIM(G72)),UPPER(NPF!$A$4:$A$30),NPF!$B$4:$B$30,"¿COMB?"),UPPER(TRIM(F72))&amp;" "&amp;_xlpm.modelo&amp;" "&amp;_xlpm.comb))</f>
        <v/>
      </c>
      <c r="D72" s="22" t="str" cm="1">
        <f t="array" ref="D72">IF(E72="","",_xlfn.LET(_xlpm.cat,_xlfn.XLOOKUP(UPPER(TRIM(F72)),UPPER(NPF!$G$4:$G$40),NPF!$H$4:$H$40,"¿CAT?"),_xlpm.comb,_xlfn.XLOOKUP(UPPER(TRIM(G72)),UPPER(NPF!$A$4:$A$30),NPF!$B$4:$B$30,"¿COMB?"),_xlpm.txt,NPF!$V$4:$V$33,_xlpm.abr,NPF!$W$4:$W$33,_xlpm.modAbrev,_xlfn.REDUCE(UPPER(TRIM(E72)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2" s="22" t="str">
        <f t="shared" si="4"/>
        <v/>
      </c>
      <c r="N72" s="22" t="str">
        <f t="shared" si="5"/>
        <v/>
      </c>
    </row>
    <row r="73" spans="3:14" x14ac:dyDescent="0.25">
      <c r="C73" s="22" t="str">
        <f t="array" ref="C73">IF(E73="","",_xlfn.LET(_xlpm.modelo,UPPER(TRIM(E73)),_xlpm.comb,_xlfn.XLOOKUP(UPPER(TRIM(G73)),UPPER(NPF!$A$4:$A$30),NPF!$B$4:$B$30,"¿COMB?"),UPPER(TRIM(F73))&amp;" "&amp;_xlpm.modelo&amp;" "&amp;_xlpm.comb))</f>
        <v/>
      </c>
      <c r="D73" s="22" t="str" cm="1">
        <f t="array" ref="D73">IF(E73="","",_xlfn.LET(_xlpm.cat,_xlfn.XLOOKUP(UPPER(TRIM(F73)),UPPER(NPF!$G$4:$G$40),NPF!$H$4:$H$40,"¿CAT?"),_xlpm.comb,_xlfn.XLOOKUP(UPPER(TRIM(G73)),UPPER(NPF!$A$4:$A$30),NPF!$B$4:$B$30,"¿COMB?"),_xlpm.txt,NPF!$V$4:$V$33,_xlpm.abr,NPF!$W$4:$W$33,_xlpm.modAbrev,_xlfn.REDUCE(UPPER(TRIM(E73)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3" s="22" t="str">
        <f t="shared" si="4"/>
        <v/>
      </c>
      <c r="N73" s="22" t="str">
        <f t="shared" si="5"/>
        <v/>
      </c>
    </row>
    <row r="74" spans="3:14" x14ac:dyDescent="0.25">
      <c r="C74" s="22" t="str">
        <f t="array" ref="C74">IF(E74="","",_xlfn.LET(_xlpm.modelo,UPPER(TRIM(E74)),_xlpm.comb,_xlfn.XLOOKUP(UPPER(TRIM(G74)),UPPER(NPF!$A$4:$A$30),NPF!$B$4:$B$30,"¿COMB?"),UPPER(TRIM(F74))&amp;" "&amp;_xlpm.modelo&amp;" "&amp;_xlpm.comb))</f>
        <v/>
      </c>
      <c r="D74" s="22" t="str" cm="1">
        <f t="array" ref="D74">IF(E74="","",_xlfn.LET(_xlpm.cat,_xlfn.XLOOKUP(UPPER(TRIM(F74)),UPPER(NPF!$G$4:$G$40),NPF!$H$4:$H$40,"¿CAT?"),_xlpm.comb,_xlfn.XLOOKUP(UPPER(TRIM(G74)),UPPER(NPF!$A$4:$A$30),NPF!$B$4:$B$30,"¿COMB?"),_xlpm.txt,NPF!$V$4:$V$33,_xlpm.abr,NPF!$W$4:$W$33,_xlpm.modAbrev,_xlfn.REDUCE(UPPER(TRIM(E74)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4" s="22" t="str">
        <f t="shared" si="4"/>
        <v/>
      </c>
      <c r="N74" s="22" t="str">
        <f t="shared" si="5"/>
        <v/>
      </c>
    </row>
    <row r="75" spans="3:14" x14ac:dyDescent="0.25">
      <c r="C75" s="22" t="str">
        <f t="array" ref="C75">IF(E75="","",_xlfn.LET(_xlpm.modelo,UPPER(TRIM(E75)),_xlpm.comb,_xlfn.XLOOKUP(UPPER(TRIM(G75)),UPPER(NPF!$A$4:$A$30),NPF!$B$4:$B$30,"¿COMB?"),UPPER(TRIM(F75))&amp;" "&amp;_xlpm.modelo&amp;" "&amp;_xlpm.comb))</f>
        <v/>
      </c>
      <c r="D75" s="22" t="str" cm="1">
        <f t="array" ref="D75">IF(E75="","",_xlfn.LET(_xlpm.cat,_xlfn.XLOOKUP(UPPER(TRIM(F75)),UPPER(NPF!$G$4:$G$40),NPF!$H$4:$H$40,"¿CAT?"),_xlpm.comb,_xlfn.XLOOKUP(UPPER(TRIM(G75)),UPPER(NPF!$A$4:$A$30),NPF!$B$4:$B$30,"¿COMB?"),_xlpm.txt,NPF!$V$4:$V$33,_xlpm.abr,NPF!$W$4:$W$33,_xlpm.modAbrev,_xlfn.REDUCE(UPPER(TRIM(E75)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5" s="22" t="str">
        <f t="shared" si="4"/>
        <v/>
      </c>
      <c r="N75" s="22" t="str">
        <f t="shared" si="5"/>
        <v/>
      </c>
    </row>
    <row r="76" spans="3:14" x14ac:dyDescent="0.25">
      <c r="C76" s="22" t="str">
        <f t="array" ref="C76">IF(E76="","",_xlfn.LET(_xlpm.modelo,UPPER(TRIM(E76)),_xlpm.comb,_xlfn.XLOOKUP(UPPER(TRIM(G76)),UPPER(NPF!$A$4:$A$30),NPF!$B$4:$B$30,"¿COMB?"),UPPER(TRIM(F76))&amp;" "&amp;_xlpm.modelo&amp;" "&amp;_xlpm.comb))</f>
        <v/>
      </c>
      <c r="D76" s="22" t="str" cm="1">
        <f t="array" ref="D76">IF(E76="","",_xlfn.LET(_xlpm.cat,_xlfn.XLOOKUP(UPPER(TRIM(F76)),UPPER(NPF!$G$4:$G$40),NPF!$H$4:$H$40,"¿CAT?"),_xlpm.comb,_xlfn.XLOOKUP(UPPER(TRIM(G76)),UPPER(NPF!$A$4:$A$30),NPF!$B$4:$B$30,"¿COMB?"),_xlpm.txt,NPF!$V$4:$V$33,_xlpm.abr,NPF!$W$4:$W$33,_xlpm.modAbrev,_xlfn.REDUCE(UPPER(TRIM(E76)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6" s="22" t="str">
        <f t="shared" si="4"/>
        <v/>
      </c>
      <c r="N76" s="22" t="str">
        <f t="shared" si="5"/>
        <v/>
      </c>
    </row>
    <row r="77" spans="3:14" x14ac:dyDescent="0.25">
      <c r="C77" s="22" t="str">
        <f t="array" ref="C77">IF(E77="","",_xlfn.LET(_xlpm.modelo,UPPER(TRIM(E77)),_xlpm.comb,_xlfn.XLOOKUP(UPPER(TRIM(G77)),UPPER(NPF!$A$4:$A$30),NPF!$B$4:$B$30,"¿COMB?"),UPPER(TRIM(F77))&amp;" "&amp;_xlpm.modelo&amp;" "&amp;_xlpm.comb))</f>
        <v/>
      </c>
      <c r="D77" s="22" t="str" cm="1">
        <f t="array" ref="D77">IF(E77="","",_xlfn.LET(_xlpm.cat,_xlfn.XLOOKUP(UPPER(TRIM(F77)),UPPER(NPF!$G$4:$G$40),NPF!$H$4:$H$40,"¿CAT?"),_xlpm.comb,_xlfn.XLOOKUP(UPPER(TRIM(G77)),UPPER(NPF!$A$4:$A$30),NPF!$B$4:$B$30,"¿COMB?"),_xlpm.txt,NPF!$V$4:$V$33,_xlpm.abr,NPF!$W$4:$W$33,_xlpm.modAbrev,_xlfn.REDUCE(UPPER(TRIM(E77)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7" s="22" t="str">
        <f t="shared" si="4"/>
        <v/>
      </c>
      <c r="N77" s="22" t="str">
        <f t="shared" si="5"/>
        <v/>
      </c>
    </row>
    <row r="78" spans="3:14" x14ac:dyDescent="0.25">
      <c r="C78" s="22" t="str">
        <f t="array" ref="C78">IF(E78="","",_xlfn.LET(_xlpm.modelo,UPPER(TRIM(E78)),_xlpm.comb,_xlfn.XLOOKUP(UPPER(TRIM(G78)),UPPER(NPF!$A$4:$A$30),NPF!$B$4:$B$30,"¿COMB?"),UPPER(TRIM(F78))&amp;" "&amp;_xlpm.modelo&amp;" "&amp;_xlpm.comb))</f>
        <v/>
      </c>
      <c r="D78" s="22" t="str" cm="1">
        <f t="array" ref="D78">IF(E78="","",_xlfn.LET(_xlpm.cat,_xlfn.XLOOKUP(UPPER(TRIM(F78)),UPPER(NPF!$G$4:$G$40),NPF!$H$4:$H$40,"¿CAT?"),_xlpm.comb,_xlfn.XLOOKUP(UPPER(TRIM(G78)),UPPER(NPF!$A$4:$A$30),NPF!$B$4:$B$30,"¿COMB?"),_xlpm.txt,NPF!$V$4:$V$33,_xlpm.abr,NPF!$W$4:$W$33,_xlpm.modAbrev,_xlfn.REDUCE(UPPER(TRIM(E78)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8" s="22" t="str">
        <f t="shared" si="4"/>
        <v/>
      </c>
      <c r="N78" s="22" t="str">
        <f t="shared" si="5"/>
        <v/>
      </c>
    </row>
    <row r="79" spans="3:14" x14ac:dyDescent="0.25">
      <c r="C79" s="22" t="str">
        <f t="array" ref="C79">IF(E79="","",_xlfn.LET(_xlpm.modelo,UPPER(TRIM(E79)),_xlpm.comb,_xlfn.XLOOKUP(UPPER(TRIM(G79)),UPPER(NPF!$A$4:$A$30),NPF!$B$4:$B$30,"¿COMB?"),UPPER(TRIM(F79))&amp;" "&amp;_xlpm.modelo&amp;" "&amp;_xlpm.comb))</f>
        <v/>
      </c>
      <c r="D79" s="22" t="str" cm="1">
        <f t="array" ref="D79">IF(E79="","",_xlfn.LET(_xlpm.cat,_xlfn.XLOOKUP(UPPER(TRIM(F79)),UPPER(NPF!$G$4:$G$40),NPF!$H$4:$H$40,"¿CAT?"),_xlpm.comb,_xlfn.XLOOKUP(UPPER(TRIM(G79)),UPPER(NPF!$A$4:$A$30),NPF!$B$4:$B$30,"¿COMB?"),_xlpm.txt,NPF!$V$4:$V$33,_xlpm.abr,NPF!$W$4:$W$33,_xlpm.modAbrev,_xlfn.REDUCE(UPPER(TRIM(E79)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79" s="22" t="str">
        <f t="shared" si="4"/>
        <v/>
      </c>
      <c r="N79" s="22" t="str">
        <f t="shared" si="5"/>
        <v/>
      </c>
    </row>
    <row r="80" spans="3:14" x14ac:dyDescent="0.25">
      <c r="C80" s="22" t="str">
        <f t="array" ref="C80">IF(E80="","",_xlfn.LET(_xlpm.modelo,UPPER(TRIM(E80)),_xlpm.comb,_xlfn.XLOOKUP(UPPER(TRIM(G80)),UPPER(NPF!$A$4:$A$30),NPF!$B$4:$B$30,"¿COMB?"),UPPER(TRIM(F80))&amp;" "&amp;_xlpm.modelo&amp;" "&amp;_xlpm.comb))</f>
        <v/>
      </c>
      <c r="D80" s="22" t="str" cm="1">
        <f t="array" ref="D80">IF(E80="","",_xlfn.LET(_xlpm.cat,_xlfn.XLOOKUP(UPPER(TRIM(F80)),UPPER(NPF!$G$4:$G$40),NPF!$H$4:$H$40,"¿CAT?"),_xlpm.comb,_xlfn.XLOOKUP(UPPER(TRIM(G80)),UPPER(NPF!$A$4:$A$30),NPF!$B$4:$B$30,"¿COMB?"),_xlpm.txt,NPF!$V$4:$V$33,_xlpm.abr,NPF!$W$4:$W$33,_xlpm.modAbrev,_xlfn.REDUCE(UPPER(TRIM(E80)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0" s="22" t="str">
        <f t="shared" si="4"/>
        <v/>
      </c>
      <c r="N80" s="22" t="str">
        <f t="shared" si="5"/>
        <v/>
      </c>
    </row>
    <row r="81" spans="3:14" x14ac:dyDescent="0.25">
      <c r="C81" s="22" t="str">
        <f t="array" ref="C81">IF(E81="","",_xlfn.LET(_xlpm.modelo,UPPER(TRIM(E81)),_xlpm.comb,_xlfn.XLOOKUP(UPPER(TRIM(G81)),UPPER(NPF!$A$4:$A$30),NPF!$B$4:$B$30,"¿COMB?"),UPPER(TRIM(F81))&amp;" "&amp;_xlpm.modelo&amp;" "&amp;_xlpm.comb))</f>
        <v/>
      </c>
      <c r="D81" s="22" t="str" cm="1">
        <f t="array" ref="D81">IF(E81="","",_xlfn.LET(_xlpm.cat,_xlfn.XLOOKUP(UPPER(TRIM(F81)),UPPER(NPF!$G$4:$G$40),NPF!$H$4:$H$40,"¿CAT?"),_xlpm.comb,_xlfn.XLOOKUP(UPPER(TRIM(G81)),UPPER(NPF!$A$4:$A$30),NPF!$B$4:$B$30,"¿COMB?"),_xlpm.txt,NPF!$V$4:$V$33,_xlpm.abr,NPF!$W$4:$W$33,_xlpm.modAbrev,_xlfn.REDUCE(UPPER(TRIM(E81)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1" s="22" t="str">
        <f t="shared" si="4"/>
        <v/>
      </c>
      <c r="N81" s="22" t="str">
        <f t="shared" si="5"/>
        <v/>
      </c>
    </row>
    <row r="82" spans="3:14" x14ac:dyDescent="0.25">
      <c r="C82" s="22" t="str">
        <f t="array" ref="C82">IF(E82="","",_xlfn.LET(_xlpm.modelo,UPPER(TRIM(E82)),_xlpm.comb,_xlfn.XLOOKUP(UPPER(TRIM(G82)),UPPER(NPF!$A$4:$A$30),NPF!$B$4:$B$30,"¿COMB?"),UPPER(TRIM(F82))&amp;" "&amp;_xlpm.modelo&amp;" "&amp;_xlpm.comb))</f>
        <v/>
      </c>
      <c r="D82" s="22" t="str" cm="1">
        <f t="array" ref="D82">IF(E82="","",_xlfn.LET(_xlpm.cat,_xlfn.XLOOKUP(UPPER(TRIM(F82)),UPPER(NPF!$G$4:$G$40),NPF!$H$4:$H$40,"¿CAT?"),_xlpm.comb,_xlfn.XLOOKUP(UPPER(TRIM(G82)),UPPER(NPF!$A$4:$A$30),NPF!$B$4:$B$30,"¿COMB?"),_xlpm.txt,NPF!$V$4:$V$33,_xlpm.abr,NPF!$W$4:$W$33,_xlpm.modAbrev,_xlfn.REDUCE(UPPER(TRIM(E82)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2" s="22" t="str">
        <f t="shared" si="4"/>
        <v/>
      </c>
      <c r="N82" s="22" t="str">
        <f t="shared" si="5"/>
        <v/>
      </c>
    </row>
    <row r="83" spans="3:14" x14ac:dyDescent="0.25">
      <c r="C83" s="22" t="str">
        <f t="array" ref="C83">IF(E83="","",_xlfn.LET(_xlpm.modelo,UPPER(TRIM(E83)),_xlpm.comb,_xlfn.XLOOKUP(UPPER(TRIM(G83)),UPPER(NPF!$A$4:$A$30),NPF!$B$4:$B$30,"¿COMB?"),UPPER(TRIM(F83))&amp;" "&amp;_xlpm.modelo&amp;" "&amp;_xlpm.comb))</f>
        <v/>
      </c>
      <c r="D83" s="22" t="str" cm="1">
        <f t="array" ref="D83">IF(E83="","",_xlfn.LET(_xlpm.cat,_xlfn.XLOOKUP(UPPER(TRIM(F83)),UPPER(NPF!$G$4:$G$40),NPF!$H$4:$H$40,"¿CAT?"),_xlpm.comb,_xlfn.XLOOKUP(UPPER(TRIM(G83)),UPPER(NPF!$A$4:$A$30),NPF!$B$4:$B$30,"¿COMB?"),_xlpm.txt,NPF!$V$4:$V$33,_xlpm.abr,NPF!$W$4:$W$33,_xlpm.modAbrev,_xlfn.REDUCE(UPPER(TRIM(E83)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3" s="22" t="str">
        <f t="shared" si="4"/>
        <v/>
      </c>
      <c r="N83" s="22" t="str">
        <f t="shared" si="5"/>
        <v/>
      </c>
    </row>
    <row r="84" spans="3:14" x14ac:dyDescent="0.25">
      <c r="C84" s="22" t="str">
        <f t="array" ref="C84">IF(E84="","",_xlfn.LET(_xlpm.modelo,UPPER(TRIM(E84)),_xlpm.comb,_xlfn.XLOOKUP(UPPER(TRIM(G84)),UPPER(NPF!$A$4:$A$30),NPF!$B$4:$B$30,"¿COMB?"),UPPER(TRIM(F84))&amp;" "&amp;_xlpm.modelo&amp;" "&amp;_xlpm.comb))</f>
        <v/>
      </c>
      <c r="D84" s="22" t="str" cm="1">
        <f t="array" ref="D84">IF(E84="","",_xlfn.LET(_xlpm.cat,_xlfn.XLOOKUP(UPPER(TRIM(F84)),UPPER(NPF!$G$4:$G$40),NPF!$H$4:$H$40,"¿CAT?"),_xlpm.comb,_xlfn.XLOOKUP(UPPER(TRIM(G84)),UPPER(NPF!$A$4:$A$30),NPF!$B$4:$B$30,"¿COMB?"),_xlpm.txt,NPF!$V$4:$V$33,_xlpm.abr,NPF!$W$4:$W$33,_xlpm.modAbrev,_xlfn.REDUCE(UPPER(TRIM(E84)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4" s="22" t="str">
        <f t="shared" si="4"/>
        <v/>
      </c>
      <c r="N84" s="22" t="str">
        <f t="shared" si="5"/>
        <v/>
      </c>
    </row>
    <row r="85" spans="3:14" x14ac:dyDescent="0.25">
      <c r="C85" s="22" t="str">
        <f t="array" ref="C85">IF(E85="","",_xlfn.LET(_xlpm.modelo,UPPER(TRIM(E85)),_xlpm.comb,_xlfn.XLOOKUP(UPPER(TRIM(G85)),UPPER(NPF!$A$4:$A$30),NPF!$B$4:$B$30,"¿COMB?"),UPPER(TRIM(F85))&amp;" "&amp;_xlpm.modelo&amp;" "&amp;_xlpm.comb))</f>
        <v/>
      </c>
      <c r="D85" s="22" t="str" cm="1">
        <f t="array" ref="D85">IF(E85="","",_xlfn.LET(_xlpm.cat,_xlfn.XLOOKUP(UPPER(TRIM(F85)),UPPER(NPF!$G$4:$G$40),NPF!$H$4:$H$40,"¿CAT?"),_xlpm.comb,_xlfn.XLOOKUP(UPPER(TRIM(G85)),UPPER(NPF!$A$4:$A$30),NPF!$B$4:$B$30,"¿COMB?"),_xlpm.txt,NPF!$V$4:$V$33,_xlpm.abr,NPF!$W$4:$W$33,_xlpm.modAbrev,_xlfn.REDUCE(UPPER(TRIM(E85)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5" s="22" t="str">
        <f t="shared" si="4"/>
        <v/>
      </c>
      <c r="N85" s="22" t="str">
        <f t="shared" si="5"/>
        <v/>
      </c>
    </row>
    <row r="86" spans="3:14" x14ac:dyDescent="0.25">
      <c r="C86" s="22" t="str">
        <f t="array" ref="C86">IF(E86="","",_xlfn.LET(_xlpm.modelo,UPPER(TRIM(E86)),_xlpm.comb,_xlfn.XLOOKUP(UPPER(TRIM(G86)),UPPER(NPF!$A$4:$A$30),NPF!$B$4:$B$30,"¿COMB?"),UPPER(TRIM(F86))&amp;" "&amp;_xlpm.modelo&amp;" "&amp;_xlpm.comb))</f>
        <v/>
      </c>
      <c r="D86" s="22" t="str" cm="1">
        <f t="array" ref="D86">IF(E86="","",_xlfn.LET(_xlpm.cat,_xlfn.XLOOKUP(UPPER(TRIM(F86)),UPPER(NPF!$G$4:$G$40),NPF!$H$4:$H$40,"¿CAT?"),_xlpm.comb,_xlfn.XLOOKUP(UPPER(TRIM(G86)),UPPER(NPF!$A$4:$A$30),NPF!$B$4:$B$30,"¿COMB?"),_xlpm.txt,NPF!$V$4:$V$33,_xlpm.abr,NPF!$W$4:$W$33,_xlpm.modAbrev,_xlfn.REDUCE(UPPER(TRIM(E86)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6" s="22" t="str">
        <f t="shared" si="4"/>
        <v/>
      </c>
      <c r="N86" s="22" t="str">
        <f t="shared" si="5"/>
        <v/>
      </c>
    </row>
    <row r="87" spans="3:14" x14ac:dyDescent="0.25">
      <c r="C87" s="22" t="str">
        <f t="array" ref="C87">IF(E87="","",_xlfn.LET(_xlpm.modelo,UPPER(TRIM(E87)),_xlpm.comb,_xlfn.XLOOKUP(UPPER(TRIM(G87)),UPPER(NPF!$A$4:$A$30),NPF!$B$4:$B$30,"¿COMB?"),UPPER(TRIM(F87))&amp;" "&amp;_xlpm.modelo&amp;" "&amp;_xlpm.comb))</f>
        <v/>
      </c>
      <c r="D87" s="22" t="str" cm="1">
        <f t="array" ref="D87">IF(E87="","",_xlfn.LET(_xlpm.cat,_xlfn.XLOOKUP(UPPER(TRIM(F87)),UPPER(NPF!$G$4:$G$40),NPF!$H$4:$H$40,"¿CAT?"),_xlpm.comb,_xlfn.XLOOKUP(UPPER(TRIM(G87)),UPPER(NPF!$A$4:$A$30),NPF!$B$4:$B$30,"¿COMB?"),_xlpm.txt,NPF!$V$4:$V$33,_xlpm.abr,NPF!$W$4:$W$33,_xlpm.modAbrev,_xlfn.REDUCE(UPPER(TRIM(E87)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7" s="22" t="str">
        <f t="shared" si="4"/>
        <v/>
      </c>
      <c r="N87" s="22" t="str">
        <f t="shared" si="5"/>
        <v/>
      </c>
    </row>
    <row r="88" spans="3:14" x14ac:dyDescent="0.25">
      <c r="C88" s="22" t="str">
        <f t="array" ref="C88">IF(E88="","",_xlfn.LET(_xlpm.modelo,UPPER(TRIM(E88)),_xlpm.comb,_xlfn.XLOOKUP(UPPER(TRIM(G88)),UPPER(NPF!$A$4:$A$30),NPF!$B$4:$B$30,"¿COMB?"),UPPER(TRIM(F88))&amp;" "&amp;_xlpm.modelo&amp;" "&amp;_xlpm.comb))</f>
        <v/>
      </c>
      <c r="D88" s="22" t="str" cm="1">
        <f t="array" ref="D88">IF(E88="","",_xlfn.LET(_xlpm.cat,_xlfn.XLOOKUP(UPPER(TRIM(F88)),UPPER(NPF!$G$4:$G$40),NPF!$H$4:$H$40,"¿CAT?"),_xlpm.comb,_xlfn.XLOOKUP(UPPER(TRIM(G88)),UPPER(NPF!$A$4:$A$30),NPF!$B$4:$B$30,"¿COMB?"),_xlpm.txt,NPF!$V$4:$V$33,_xlpm.abr,NPF!$W$4:$W$33,_xlpm.modAbrev,_xlfn.REDUCE(UPPER(TRIM(E88)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8" s="22" t="str">
        <f t="shared" si="4"/>
        <v/>
      </c>
      <c r="N88" s="22" t="str">
        <f t="shared" si="5"/>
        <v/>
      </c>
    </row>
    <row r="89" spans="3:14" x14ac:dyDescent="0.25">
      <c r="C89" s="22" t="str">
        <f t="array" ref="C89">IF(E89="","",_xlfn.LET(_xlpm.modelo,UPPER(TRIM(E89)),_xlpm.comb,_xlfn.XLOOKUP(UPPER(TRIM(G89)),UPPER(NPF!$A$4:$A$30),NPF!$B$4:$B$30,"¿COMB?"),UPPER(TRIM(F89))&amp;" "&amp;_xlpm.modelo&amp;" "&amp;_xlpm.comb))</f>
        <v/>
      </c>
      <c r="D89" s="22" t="str" cm="1">
        <f t="array" ref="D89">IF(E89="","",_xlfn.LET(_xlpm.cat,_xlfn.XLOOKUP(UPPER(TRIM(F89)),UPPER(NPF!$G$4:$G$40),NPF!$H$4:$H$40,"¿CAT?"),_xlpm.comb,_xlfn.XLOOKUP(UPPER(TRIM(G89)),UPPER(NPF!$A$4:$A$30),NPF!$B$4:$B$30,"¿COMB?"),_xlpm.txt,NPF!$V$4:$V$33,_xlpm.abr,NPF!$W$4:$W$33,_xlpm.modAbrev,_xlfn.REDUCE(UPPER(TRIM(E89)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89" s="22" t="str">
        <f t="shared" si="4"/>
        <v/>
      </c>
      <c r="N89" s="22" t="str">
        <f t="shared" si="5"/>
        <v/>
      </c>
    </row>
    <row r="90" spans="3:14" x14ac:dyDescent="0.25">
      <c r="C90" s="22" t="str">
        <f t="array" ref="C90">IF(E90="","",_xlfn.LET(_xlpm.modelo,UPPER(TRIM(E90)),_xlpm.comb,_xlfn.XLOOKUP(UPPER(TRIM(G90)),UPPER(NPF!$A$4:$A$30),NPF!$B$4:$B$30,"¿COMB?"),UPPER(TRIM(F90))&amp;" "&amp;_xlpm.modelo&amp;" "&amp;_xlpm.comb))</f>
        <v/>
      </c>
      <c r="D90" s="22" t="str" cm="1">
        <f t="array" ref="D90">IF(E90="","",_xlfn.LET(_xlpm.cat,_xlfn.XLOOKUP(UPPER(TRIM(F90)),UPPER(NPF!$G$4:$G$40),NPF!$H$4:$H$40,"¿CAT?"),_xlpm.comb,_xlfn.XLOOKUP(UPPER(TRIM(G90)),UPPER(NPF!$A$4:$A$30),NPF!$B$4:$B$30,"¿COMB?"),_xlpm.txt,NPF!$V$4:$V$33,_xlpm.abr,NPF!$W$4:$W$33,_xlpm.modAbrev,_xlfn.REDUCE(UPPER(TRIM(E90)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0" s="22" t="str">
        <f t="shared" si="4"/>
        <v/>
      </c>
      <c r="N90" s="22" t="str">
        <f t="shared" si="5"/>
        <v/>
      </c>
    </row>
    <row r="91" spans="3:14" x14ac:dyDescent="0.25">
      <c r="C91" s="22" t="str">
        <f t="array" ref="C91">IF(E91="","",_xlfn.LET(_xlpm.modelo,UPPER(TRIM(E91)),_xlpm.comb,_xlfn.XLOOKUP(UPPER(TRIM(G91)),UPPER(NPF!$A$4:$A$30),NPF!$B$4:$B$30,"¿COMB?"),UPPER(TRIM(F91))&amp;" "&amp;_xlpm.modelo&amp;" "&amp;_xlpm.comb))</f>
        <v/>
      </c>
      <c r="D91" s="22" t="str" cm="1">
        <f t="array" ref="D91">IF(E91="","",_xlfn.LET(_xlpm.cat,_xlfn.XLOOKUP(UPPER(TRIM(F91)),UPPER(NPF!$G$4:$G$40),NPF!$H$4:$H$40,"¿CAT?"),_xlpm.comb,_xlfn.XLOOKUP(UPPER(TRIM(G91)),UPPER(NPF!$A$4:$A$30),NPF!$B$4:$B$30,"¿COMB?"),_xlpm.txt,NPF!$V$4:$V$33,_xlpm.abr,NPF!$W$4:$W$33,_xlpm.modAbrev,_xlfn.REDUCE(UPPER(TRIM(E91)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1" s="22" t="str">
        <f t="shared" si="4"/>
        <v/>
      </c>
      <c r="N91" s="22" t="str">
        <f t="shared" si="5"/>
        <v/>
      </c>
    </row>
    <row r="92" spans="3:14" x14ac:dyDescent="0.25">
      <c r="C92" s="22" t="str">
        <f t="array" ref="C92">IF(E92="","",_xlfn.LET(_xlpm.modelo,UPPER(TRIM(E92)),_xlpm.comb,_xlfn.XLOOKUP(UPPER(TRIM(G92)),UPPER(NPF!$A$4:$A$30),NPF!$B$4:$B$30,"¿COMB?"),UPPER(TRIM(F92))&amp;" "&amp;_xlpm.modelo&amp;" "&amp;_xlpm.comb))</f>
        <v/>
      </c>
      <c r="D92" s="22" t="str" cm="1">
        <f t="array" ref="D92">IF(E92="","",_xlfn.LET(_xlpm.cat,_xlfn.XLOOKUP(UPPER(TRIM(F92)),UPPER(NPF!$G$4:$G$40),NPF!$H$4:$H$40,"¿CAT?"),_xlpm.comb,_xlfn.XLOOKUP(UPPER(TRIM(G92)),UPPER(NPF!$A$4:$A$30),NPF!$B$4:$B$30,"¿COMB?"),_xlpm.txt,NPF!$V$4:$V$33,_xlpm.abr,NPF!$W$4:$W$33,_xlpm.modAbrev,_xlfn.REDUCE(UPPER(TRIM(E92)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2" s="22" t="str">
        <f t="shared" si="4"/>
        <v/>
      </c>
      <c r="N92" s="22" t="str">
        <f t="shared" si="5"/>
        <v/>
      </c>
    </row>
    <row r="93" spans="3:14" x14ac:dyDescent="0.25">
      <c r="C93" s="22" t="str">
        <f t="array" ref="C93">IF(E93="","",_xlfn.LET(_xlpm.modelo,UPPER(TRIM(E93)),_xlpm.comb,_xlfn.XLOOKUP(UPPER(TRIM(G93)),UPPER(NPF!$A$4:$A$30),NPF!$B$4:$B$30,"¿COMB?"),UPPER(TRIM(F93))&amp;" "&amp;_xlpm.modelo&amp;" "&amp;_xlpm.comb))</f>
        <v/>
      </c>
      <c r="D93" s="22" t="str" cm="1">
        <f t="array" ref="D93">IF(E93="","",_xlfn.LET(_xlpm.cat,_xlfn.XLOOKUP(UPPER(TRIM(F93)),UPPER(NPF!$G$4:$G$40),NPF!$H$4:$H$40,"¿CAT?"),_xlpm.comb,_xlfn.XLOOKUP(UPPER(TRIM(G93)),UPPER(NPF!$A$4:$A$30),NPF!$B$4:$B$30,"¿COMB?"),_xlpm.txt,NPF!$V$4:$V$33,_xlpm.abr,NPF!$W$4:$W$33,_xlpm.modAbrev,_xlfn.REDUCE(UPPER(TRIM(E93)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3" s="22" t="str">
        <f t="shared" si="4"/>
        <v/>
      </c>
      <c r="N93" s="22" t="str">
        <f t="shared" si="5"/>
        <v/>
      </c>
    </row>
    <row r="94" spans="3:14" x14ac:dyDescent="0.25">
      <c r="C94" s="22" t="str">
        <f t="array" ref="C94">IF(E94="","",_xlfn.LET(_xlpm.modelo,UPPER(TRIM(E94)),_xlpm.comb,_xlfn.XLOOKUP(UPPER(TRIM(G94)),UPPER(NPF!$A$4:$A$30),NPF!$B$4:$B$30,"¿COMB?"),UPPER(TRIM(F94))&amp;" "&amp;_xlpm.modelo&amp;" "&amp;_xlpm.comb))</f>
        <v/>
      </c>
      <c r="D94" s="22" t="str" cm="1">
        <f t="array" ref="D94">IF(E94="","",_xlfn.LET(_xlpm.cat,_xlfn.XLOOKUP(UPPER(TRIM(F94)),UPPER(NPF!$G$4:$G$40),NPF!$H$4:$H$40,"¿CAT?"),_xlpm.comb,_xlfn.XLOOKUP(UPPER(TRIM(G94)),UPPER(NPF!$A$4:$A$30),NPF!$B$4:$B$30,"¿COMB?"),_xlpm.txt,NPF!$V$4:$V$33,_xlpm.abr,NPF!$W$4:$W$33,_xlpm.modAbrev,_xlfn.REDUCE(UPPER(TRIM(E94)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4" s="22" t="str">
        <f t="shared" si="4"/>
        <v/>
      </c>
      <c r="N94" s="22" t="str">
        <f t="shared" si="5"/>
        <v/>
      </c>
    </row>
    <row r="95" spans="3:14" x14ac:dyDescent="0.25">
      <c r="C95" s="22" t="str">
        <f t="array" ref="C95">IF(E95="","",_xlfn.LET(_xlpm.modelo,UPPER(TRIM(E95)),_xlpm.comb,_xlfn.XLOOKUP(UPPER(TRIM(G95)),UPPER(NPF!$A$4:$A$30),NPF!$B$4:$B$30,"¿COMB?"),UPPER(TRIM(F95))&amp;" "&amp;_xlpm.modelo&amp;" "&amp;_xlpm.comb))</f>
        <v/>
      </c>
      <c r="D95" s="22" t="str" cm="1">
        <f t="array" ref="D95">IF(E95="","",_xlfn.LET(_xlpm.cat,_xlfn.XLOOKUP(UPPER(TRIM(F95)),UPPER(NPF!$G$4:$G$40),NPF!$H$4:$H$40,"¿CAT?"),_xlpm.comb,_xlfn.XLOOKUP(UPPER(TRIM(G95)),UPPER(NPF!$A$4:$A$30),NPF!$B$4:$B$30,"¿COMB?"),_xlpm.txt,NPF!$V$4:$V$33,_xlpm.abr,NPF!$W$4:$W$33,_xlpm.modAbrev,_xlfn.REDUCE(UPPER(TRIM(E95)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5" s="22" t="str">
        <f t="shared" si="4"/>
        <v/>
      </c>
      <c r="N95" s="22" t="str">
        <f t="shared" si="5"/>
        <v/>
      </c>
    </row>
    <row r="96" spans="3:14" x14ac:dyDescent="0.25">
      <c r="C96" s="22" t="str">
        <f t="array" ref="C96">IF(E96="","",_xlfn.LET(_xlpm.modelo,UPPER(TRIM(E96)),_xlpm.comb,_xlfn.XLOOKUP(UPPER(TRIM(G96)),UPPER(NPF!$A$4:$A$30),NPF!$B$4:$B$30,"¿COMB?"),UPPER(TRIM(F96))&amp;" "&amp;_xlpm.modelo&amp;" "&amp;_xlpm.comb))</f>
        <v/>
      </c>
      <c r="D96" s="22" t="str" cm="1">
        <f t="array" ref="D96">IF(E96="","",_xlfn.LET(_xlpm.cat,_xlfn.XLOOKUP(UPPER(TRIM(F96)),UPPER(NPF!$G$4:$G$40),NPF!$H$4:$H$40,"¿CAT?"),_xlpm.comb,_xlfn.XLOOKUP(UPPER(TRIM(G96)),UPPER(NPF!$A$4:$A$30),NPF!$B$4:$B$30,"¿COMB?"),_xlpm.txt,NPF!$V$4:$V$33,_xlpm.abr,NPF!$W$4:$W$33,_xlpm.modAbrev,_xlfn.REDUCE(UPPER(TRIM(E96)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6" s="22" t="str">
        <f t="shared" si="4"/>
        <v/>
      </c>
      <c r="N96" s="22" t="str">
        <f t="shared" si="5"/>
        <v/>
      </c>
    </row>
    <row r="97" spans="3:14" x14ac:dyDescent="0.25">
      <c r="C97" s="22" t="str">
        <f t="array" ref="C97">IF(E97="","",_xlfn.LET(_xlpm.modelo,UPPER(TRIM(E97)),_xlpm.comb,_xlfn.XLOOKUP(UPPER(TRIM(G97)),UPPER(NPF!$A$4:$A$30),NPF!$B$4:$B$30,"¿COMB?"),UPPER(TRIM(F97))&amp;" "&amp;_xlpm.modelo&amp;" "&amp;_xlpm.comb))</f>
        <v/>
      </c>
      <c r="D97" s="22" t="str" cm="1">
        <f t="array" ref="D97">IF(E97="","",_xlfn.LET(_xlpm.cat,_xlfn.XLOOKUP(UPPER(TRIM(F97)),UPPER(NPF!$G$4:$G$40),NPF!$H$4:$H$40,"¿CAT?"),_xlpm.comb,_xlfn.XLOOKUP(UPPER(TRIM(G97)),UPPER(NPF!$A$4:$A$30),NPF!$B$4:$B$30,"¿COMB?"),_xlpm.txt,NPF!$V$4:$V$33,_xlpm.abr,NPF!$W$4:$W$33,_xlpm.modAbrev,_xlfn.REDUCE(UPPER(TRIM(E97)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7" s="22" t="str">
        <f t="shared" si="4"/>
        <v/>
      </c>
      <c r="N97" s="22" t="str">
        <f t="shared" si="5"/>
        <v/>
      </c>
    </row>
    <row r="98" spans="3:14" x14ac:dyDescent="0.25">
      <c r="C98" s="22" t="str">
        <f t="array" ref="C98">IF(E98="","",_xlfn.LET(_xlpm.modelo,UPPER(TRIM(E98)),_xlpm.comb,_xlfn.XLOOKUP(UPPER(TRIM(G98)),UPPER(NPF!$A$4:$A$30),NPF!$B$4:$B$30,"¿COMB?"),UPPER(TRIM(F98))&amp;" "&amp;_xlpm.modelo&amp;" "&amp;_xlpm.comb))</f>
        <v/>
      </c>
      <c r="D98" s="22" t="str" cm="1">
        <f t="array" ref="D98">IF(E98="","",_xlfn.LET(_xlpm.cat,_xlfn.XLOOKUP(UPPER(TRIM(F98)),UPPER(NPF!$G$4:$G$40),NPF!$H$4:$H$40,"¿CAT?"),_xlpm.comb,_xlfn.XLOOKUP(UPPER(TRIM(G98)),UPPER(NPF!$A$4:$A$30),NPF!$B$4:$B$30,"¿COMB?"),_xlpm.txt,NPF!$V$4:$V$33,_xlpm.abr,NPF!$W$4:$W$33,_xlpm.modAbrev,_xlfn.REDUCE(UPPER(TRIM(E98)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8" s="22" t="str">
        <f t="shared" si="4"/>
        <v/>
      </c>
      <c r="N98" s="22" t="str">
        <f t="shared" si="5"/>
        <v/>
      </c>
    </row>
    <row r="99" spans="3:14" x14ac:dyDescent="0.25">
      <c r="C99" s="22" t="str">
        <f t="array" ref="C99">IF(E99="","",_xlfn.LET(_xlpm.modelo,UPPER(TRIM(E99)),_xlpm.comb,_xlfn.XLOOKUP(UPPER(TRIM(G99)),UPPER(NPF!$A$4:$A$30),NPF!$B$4:$B$30,"¿COMB?"),UPPER(TRIM(F99))&amp;" "&amp;_xlpm.modelo&amp;" "&amp;_xlpm.comb))</f>
        <v/>
      </c>
      <c r="D99" s="22" t="str" cm="1">
        <f t="array" ref="D99">IF(E99="","",_xlfn.LET(_xlpm.cat,_xlfn.XLOOKUP(UPPER(TRIM(F99)),UPPER(NPF!$G$4:$G$40),NPF!$H$4:$H$40,"¿CAT?"),_xlpm.comb,_xlfn.XLOOKUP(UPPER(TRIM(G99)),UPPER(NPF!$A$4:$A$30),NPF!$B$4:$B$30,"¿COMB?"),_xlpm.txt,NPF!$V$4:$V$33,_xlpm.abr,NPF!$W$4:$W$33,_xlpm.modAbrev,_xlfn.REDUCE(UPPER(TRIM(E99)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99" s="22" t="str">
        <f t="shared" si="4"/>
        <v/>
      </c>
      <c r="N99" s="22" t="str">
        <f t="shared" si="5"/>
        <v/>
      </c>
    </row>
    <row r="100" spans="3:14" x14ac:dyDescent="0.25">
      <c r="C100" s="22" t="str">
        <f t="array" ref="C100">IF(E100="","",_xlfn.LET(_xlpm.modelo,UPPER(TRIM(E100)),_xlpm.comb,_xlfn.XLOOKUP(UPPER(TRIM(G100)),UPPER(NPF!$A$4:$A$30),NPF!$B$4:$B$30,"¿COMB?"),UPPER(TRIM(F100))&amp;" "&amp;_xlpm.modelo&amp;" "&amp;_xlpm.comb))</f>
        <v/>
      </c>
      <c r="D100" s="22" t="str" cm="1">
        <f t="array" ref="D100">IF(E100="","",_xlfn.LET(_xlpm.cat,_xlfn.XLOOKUP(UPPER(TRIM(F100)),UPPER(NPF!$G$4:$G$40),NPF!$H$4:$H$40,"¿CAT?"),_xlpm.comb,_xlfn.XLOOKUP(UPPER(TRIM(G100)),UPPER(NPF!$A$4:$A$30),NPF!$B$4:$B$30,"¿COMB?"),_xlpm.txt,NPF!$V$4:$V$33,_xlpm.abr,NPF!$W$4:$W$33,_xlpm.modAbrev,_xlfn.REDUCE(UPPER(TRIM(E100)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0" s="22" t="str">
        <f t="shared" si="4"/>
        <v/>
      </c>
      <c r="N100" s="22" t="str">
        <f t="shared" si="5"/>
        <v/>
      </c>
    </row>
    <row r="101" spans="3:14" x14ac:dyDescent="0.25">
      <c r="C101" s="22" t="str">
        <f t="array" ref="C101">IF(E101="","",_xlfn.LET(_xlpm.modelo,UPPER(TRIM(E101)),_xlpm.comb,_xlfn.XLOOKUP(UPPER(TRIM(G101)),UPPER(NPF!$A$4:$A$30),NPF!$B$4:$B$30,"¿COMB?"),UPPER(TRIM(F101))&amp;" "&amp;_xlpm.modelo&amp;" "&amp;_xlpm.comb))</f>
        <v/>
      </c>
      <c r="D101" s="22" t="str" cm="1">
        <f t="array" ref="D101">IF(E101="","",_xlfn.LET(_xlpm.cat,_xlfn.XLOOKUP(UPPER(TRIM(F101)),UPPER(NPF!$G$4:$G$40),NPF!$H$4:$H$40,"¿CAT?"),_xlpm.comb,_xlfn.XLOOKUP(UPPER(TRIM(G101)),UPPER(NPF!$A$4:$A$30),NPF!$B$4:$B$30,"¿COMB?"),_xlpm.txt,NPF!$V$4:$V$33,_xlpm.abr,NPF!$W$4:$W$33,_xlpm.modAbrev,_xlfn.REDUCE(UPPER(TRIM(E101)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1" s="22" t="str">
        <f t="shared" si="4"/>
        <v/>
      </c>
      <c r="N101" s="22" t="str">
        <f t="shared" si="5"/>
        <v/>
      </c>
    </row>
    <row r="102" spans="3:14" x14ac:dyDescent="0.25">
      <c r="C102" s="22" t="str">
        <f t="array" ref="C102">IF(E102="","",_xlfn.LET(_xlpm.modelo,UPPER(TRIM(E102)),_xlpm.comb,_xlfn.XLOOKUP(UPPER(TRIM(G102)),UPPER(NPF!$A$4:$A$30),NPF!$B$4:$B$30,"¿COMB?"),UPPER(TRIM(F102))&amp;" "&amp;_xlpm.modelo&amp;" "&amp;_xlpm.comb))</f>
        <v/>
      </c>
      <c r="D102" s="22" t="str" cm="1">
        <f t="array" ref="D102">IF(E102="","",_xlfn.LET(_xlpm.cat,_xlfn.XLOOKUP(UPPER(TRIM(F102)),UPPER(NPF!$G$4:$G$40),NPF!$H$4:$H$40,"¿CAT?"),_xlpm.comb,_xlfn.XLOOKUP(UPPER(TRIM(G102)),UPPER(NPF!$A$4:$A$30),NPF!$B$4:$B$30,"¿COMB?"),_xlpm.txt,NPF!$V$4:$V$33,_xlpm.abr,NPF!$W$4:$W$33,_xlpm.modAbrev,_xlfn.REDUCE(UPPER(TRIM(E102)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2" s="22" t="str">
        <f t="shared" si="4"/>
        <v/>
      </c>
      <c r="N102" s="22" t="str">
        <f t="shared" si="5"/>
        <v/>
      </c>
    </row>
    <row r="103" spans="3:14" x14ac:dyDescent="0.25">
      <c r="C103" s="22" t="str">
        <f t="array" ref="C103">IF(E103="","",_xlfn.LET(_xlpm.modelo,UPPER(TRIM(E103)),_xlpm.comb,_xlfn.XLOOKUP(UPPER(TRIM(G103)),UPPER(NPF!$A$4:$A$30),NPF!$B$4:$B$30,"¿COMB?"),UPPER(TRIM(F103))&amp;" "&amp;_xlpm.modelo&amp;" "&amp;_xlpm.comb))</f>
        <v/>
      </c>
      <c r="D103" s="22" t="str" cm="1">
        <f t="array" ref="D103">IF(E103="","",_xlfn.LET(_xlpm.cat,_xlfn.XLOOKUP(UPPER(TRIM(F103)),UPPER(NPF!$G$4:$G$40),NPF!$H$4:$H$40,"¿CAT?"),_xlpm.comb,_xlfn.XLOOKUP(UPPER(TRIM(G103)),UPPER(NPF!$A$4:$A$30),NPF!$B$4:$B$30,"¿COMB?"),_xlpm.txt,NPF!$V$4:$V$33,_xlpm.abr,NPF!$W$4:$W$33,_xlpm.modAbrev,_xlfn.REDUCE(UPPER(TRIM(E103)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3" s="22" t="str">
        <f t="shared" si="4"/>
        <v/>
      </c>
      <c r="N103" s="22" t="str">
        <f t="shared" si="5"/>
        <v/>
      </c>
    </row>
    <row r="104" spans="3:14" x14ac:dyDescent="0.25">
      <c r="C104" s="22" t="str">
        <f t="array" ref="C104">IF(E104="","",_xlfn.LET(_xlpm.modelo,UPPER(TRIM(E104)),_xlpm.comb,_xlfn.XLOOKUP(UPPER(TRIM(G104)),UPPER(NPF!$A$4:$A$30),NPF!$B$4:$B$30,"¿COMB?"),UPPER(TRIM(F104))&amp;" "&amp;_xlpm.modelo&amp;" "&amp;_xlpm.comb))</f>
        <v/>
      </c>
      <c r="D104" s="22" t="str" cm="1">
        <f t="array" ref="D104">IF(E104="","",_xlfn.LET(_xlpm.cat,_xlfn.XLOOKUP(UPPER(TRIM(F104)),UPPER(NPF!$G$4:$G$40),NPF!$H$4:$H$40,"¿CAT?"),_xlpm.comb,_xlfn.XLOOKUP(UPPER(TRIM(G104)),UPPER(NPF!$A$4:$A$30),NPF!$B$4:$B$30,"¿COMB?"),_xlpm.txt,NPF!$V$4:$V$33,_xlpm.abr,NPF!$W$4:$W$33,_xlpm.modAbrev,_xlfn.REDUCE(UPPER(TRIM(E104)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4" s="22" t="str">
        <f t="shared" si="4"/>
        <v/>
      </c>
      <c r="N104" s="22" t="str">
        <f t="shared" si="5"/>
        <v/>
      </c>
    </row>
    <row r="105" spans="3:14" x14ac:dyDescent="0.25">
      <c r="C105" s="22" t="str">
        <f t="array" ref="C105">IF(E105="","",_xlfn.LET(_xlpm.modelo,UPPER(TRIM(E105)),_xlpm.comb,_xlfn.XLOOKUP(UPPER(TRIM(G105)),UPPER(NPF!$A$4:$A$30),NPF!$B$4:$B$30,"¿COMB?"),UPPER(TRIM(F105))&amp;" "&amp;_xlpm.modelo&amp;" "&amp;_xlpm.comb))</f>
        <v/>
      </c>
      <c r="D105" s="22" t="str" cm="1">
        <f t="array" ref="D105">IF(E105="","",_xlfn.LET(_xlpm.cat,_xlfn.XLOOKUP(UPPER(TRIM(F105)),UPPER(NPF!$G$4:$G$40),NPF!$H$4:$H$40,"¿CAT?"),_xlpm.comb,_xlfn.XLOOKUP(UPPER(TRIM(G105)),UPPER(NPF!$A$4:$A$30),NPF!$B$4:$B$30,"¿COMB?"),_xlpm.txt,NPF!$V$4:$V$33,_xlpm.abr,NPF!$W$4:$W$33,_xlpm.modAbrev,_xlfn.REDUCE(UPPER(TRIM(E105)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5" s="22" t="str">
        <f t="shared" si="4"/>
        <v/>
      </c>
      <c r="N105" s="22" t="str">
        <f t="shared" si="5"/>
        <v/>
      </c>
    </row>
    <row r="106" spans="3:14" x14ac:dyDescent="0.25">
      <c r="C106" s="22" t="str">
        <f t="array" ref="C106">IF(E106="","",_xlfn.LET(_xlpm.modelo,UPPER(TRIM(E106)),_xlpm.comb,_xlfn.XLOOKUP(UPPER(TRIM(G106)),UPPER(NPF!$A$4:$A$30),NPF!$B$4:$B$30,"¿COMB?"),UPPER(TRIM(F106))&amp;" "&amp;_xlpm.modelo&amp;" "&amp;_xlpm.comb))</f>
        <v/>
      </c>
      <c r="D106" s="22" t="str" cm="1">
        <f t="array" ref="D106">IF(E106="","",_xlfn.LET(_xlpm.cat,_xlfn.XLOOKUP(UPPER(TRIM(F106)),UPPER(NPF!$G$4:$G$40),NPF!$H$4:$H$40,"¿CAT?"),_xlpm.comb,_xlfn.XLOOKUP(UPPER(TRIM(G106)),UPPER(NPF!$A$4:$A$30),NPF!$B$4:$B$30,"¿COMB?"),_xlpm.txt,NPF!$V$4:$V$33,_xlpm.abr,NPF!$W$4:$W$33,_xlpm.modAbrev,_xlfn.REDUCE(UPPER(TRIM(E106)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6" s="22" t="str">
        <f t="shared" si="4"/>
        <v/>
      </c>
      <c r="N106" s="22" t="str">
        <f t="shared" si="5"/>
        <v/>
      </c>
    </row>
    <row r="107" spans="3:14" x14ac:dyDescent="0.25">
      <c r="C107" s="22" t="str">
        <f t="array" ref="C107">IF(E107="","",_xlfn.LET(_xlpm.modelo,UPPER(TRIM(E107)),_xlpm.comb,_xlfn.XLOOKUP(UPPER(TRIM(G107)),UPPER(NPF!$A$4:$A$30),NPF!$B$4:$B$30,"¿COMB?"),UPPER(TRIM(F107))&amp;" "&amp;_xlpm.modelo&amp;" "&amp;_xlpm.comb))</f>
        <v/>
      </c>
      <c r="D107" s="22" t="str" cm="1">
        <f t="array" ref="D107">IF(E107="","",_xlfn.LET(_xlpm.cat,_xlfn.XLOOKUP(UPPER(TRIM(F107)),UPPER(NPF!$G$4:$G$40),NPF!$H$4:$H$40,"¿CAT?"),_xlpm.comb,_xlfn.XLOOKUP(UPPER(TRIM(G107)),UPPER(NPF!$A$4:$A$30),NPF!$B$4:$B$30,"¿COMB?"),_xlpm.txt,NPF!$V$4:$V$33,_xlpm.abr,NPF!$W$4:$W$33,_xlpm.modAbrev,_xlfn.REDUCE(UPPER(TRIM(E107)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7" s="22" t="str">
        <f t="shared" si="4"/>
        <v/>
      </c>
      <c r="N107" s="22" t="str">
        <f t="shared" si="5"/>
        <v/>
      </c>
    </row>
    <row r="108" spans="3:14" x14ac:dyDescent="0.25">
      <c r="C108" s="22" t="str">
        <f t="array" ref="C108">IF(E108="","",_xlfn.LET(_xlpm.modelo,UPPER(TRIM(E108)),_xlpm.comb,_xlfn.XLOOKUP(UPPER(TRIM(G108)),UPPER(NPF!$A$4:$A$30),NPF!$B$4:$B$30,"¿COMB?"),UPPER(TRIM(F108))&amp;" "&amp;_xlpm.modelo&amp;" "&amp;_xlpm.comb))</f>
        <v/>
      </c>
      <c r="D108" s="22" t="str" cm="1">
        <f t="array" ref="D108">IF(E108="","",_xlfn.LET(_xlpm.cat,_xlfn.XLOOKUP(UPPER(TRIM(F108)),UPPER(NPF!$G$4:$G$40),NPF!$H$4:$H$40,"¿CAT?"),_xlpm.comb,_xlfn.XLOOKUP(UPPER(TRIM(G108)),UPPER(NPF!$A$4:$A$30),NPF!$B$4:$B$30,"¿COMB?"),_xlpm.txt,NPF!$V$4:$V$33,_xlpm.abr,NPF!$W$4:$W$33,_xlpm.modAbrev,_xlfn.REDUCE(UPPER(TRIM(E108)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8" s="22" t="str">
        <f t="shared" si="4"/>
        <v/>
      </c>
      <c r="N108" s="22" t="str">
        <f t="shared" si="5"/>
        <v/>
      </c>
    </row>
    <row r="109" spans="3:14" x14ac:dyDescent="0.25">
      <c r="C109" s="22" t="str">
        <f t="array" ref="C109">IF(E109="","",_xlfn.LET(_xlpm.modelo,UPPER(TRIM(E109)),_xlpm.comb,_xlfn.XLOOKUP(UPPER(TRIM(G109)),UPPER(NPF!$A$4:$A$30),NPF!$B$4:$B$30,"¿COMB?"),UPPER(TRIM(F109))&amp;" "&amp;_xlpm.modelo&amp;" "&amp;_xlpm.comb))</f>
        <v/>
      </c>
      <c r="D109" s="22" t="str" cm="1">
        <f t="array" ref="D109">IF(E109="","",_xlfn.LET(_xlpm.cat,_xlfn.XLOOKUP(UPPER(TRIM(F109)),UPPER(NPF!$G$4:$G$40),NPF!$H$4:$H$40,"¿CAT?"),_xlpm.comb,_xlfn.XLOOKUP(UPPER(TRIM(G109)),UPPER(NPF!$A$4:$A$30),NPF!$B$4:$B$30,"¿COMB?"),_xlpm.txt,NPF!$V$4:$V$33,_xlpm.abr,NPF!$W$4:$W$33,_xlpm.modAbrev,_xlfn.REDUCE(UPPER(TRIM(E109)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09" s="22" t="str">
        <f t="shared" si="4"/>
        <v/>
      </c>
      <c r="N109" s="22" t="str">
        <f t="shared" si="5"/>
        <v/>
      </c>
    </row>
    <row r="110" spans="3:14" x14ac:dyDescent="0.25">
      <c r="C110" s="22" t="str">
        <f t="array" ref="C110">IF(E110="","",_xlfn.LET(_xlpm.modelo,UPPER(TRIM(E110)),_xlpm.comb,_xlfn.XLOOKUP(UPPER(TRIM(G110)),UPPER(NPF!$A$4:$A$30),NPF!$B$4:$B$30,"¿COMB?"),UPPER(TRIM(F110))&amp;" "&amp;_xlpm.modelo&amp;" "&amp;_xlpm.comb))</f>
        <v/>
      </c>
      <c r="D110" s="22" t="str" cm="1">
        <f t="array" ref="D110">IF(E110="","",_xlfn.LET(_xlpm.cat,_xlfn.XLOOKUP(UPPER(TRIM(F110)),UPPER(NPF!$G$4:$G$40),NPF!$H$4:$H$40,"¿CAT?"),_xlpm.comb,_xlfn.XLOOKUP(UPPER(TRIM(G110)),UPPER(NPF!$A$4:$A$30),NPF!$B$4:$B$30,"¿COMB?"),_xlpm.txt,NPF!$V$4:$V$33,_xlpm.abr,NPF!$W$4:$W$33,_xlpm.modAbrev,_xlfn.REDUCE(UPPER(TRIM(E110)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0" s="22" t="str">
        <f t="shared" si="4"/>
        <v/>
      </c>
      <c r="N110" s="22" t="str">
        <f t="shared" si="5"/>
        <v/>
      </c>
    </row>
    <row r="111" spans="3:14" x14ac:dyDescent="0.25">
      <c r="C111" s="22" t="str">
        <f t="array" ref="C111">IF(E111="","",_xlfn.LET(_xlpm.modelo,UPPER(TRIM(E111)),_xlpm.comb,_xlfn.XLOOKUP(UPPER(TRIM(G111)),UPPER(NPF!$A$4:$A$30),NPF!$B$4:$B$30,"¿COMB?"),UPPER(TRIM(F111))&amp;" "&amp;_xlpm.modelo&amp;" "&amp;_xlpm.comb))</f>
        <v/>
      </c>
      <c r="D111" s="22" t="str" cm="1">
        <f t="array" ref="D111">IF(E111="","",_xlfn.LET(_xlpm.cat,_xlfn.XLOOKUP(UPPER(TRIM(F111)),UPPER(NPF!$G$4:$G$40),NPF!$H$4:$H$40,"¿CAT?"),_xlpm.comb,_xlfn.XLOOKUP(UPPER(TRIM(G111)),UPPER(NPF!$A$4:$A$30),NPF!$B$4:$B$30,"¿COMB?"),_xlpm.txt,NPF!$V$4:$V$33,_xlpm.abr,NPF!$W$4:$W$33,_xlpm.modAbrev,_xlfn.REDUCE(UPPER(TRIM(E111)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1" s="22" t="str">
        <f t="shared" si="4"/>
        <v/>
      </c>
      <c r="N111" s="22" t="str">
        <f t="shared" si="5"/>
        <v/>
      </c>
    </row>
    <row r="112" spans="3:14" x14ac:dyDescent="0.25">
      <c r="C112" s="22" t="str">
        <f t="array" ref="C112">IF(E112="","",_xlfn.LET(_xlpm.modelo,UPPER(TRIM(E112)),_xlpm.comb,_xlfn.XLOOKUP(UPPER(TRIM(G112)),UPPER(NPF!$A$4:$A$30),NPF!$B$4:$B$30,"¿COMB?"),UPPER(TRIM(F112))&amp;" "&amp;_xlpm.modelo&amp;" "&amp;_xlpm.comb))</f>
        <v/>
      </c>
      <c r="D112" s="22" t="str" cm="1">
        <f t="array" ref="D112">IF(E112="","",_xlfn.LET(_xlpm.cat,_xlfn.XLOOKUP(UPPER(TRIM(F112)),UPPER(NPF!$G$4:$G$40),NPF!$H$4:$H$40,"¿CAT?"),_xlpm.comb,_xlfn.XLOOKUP(UPPER(TRIM(G112)),UPPER(NPF!$A$4:$A$30),NPF!$B$4:$B$30,"¿COMB?"),_xlpm.txt,NPF!$V$4:$V$33,_xlpm.abr,NPF!$W$4:$W$33,_xlpm.modAbrev,_xlfn.REDUCE(UPPER(TRIM(E112)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2" s="22" t="str">
        <f t="shared" si="4"/>
        <v/>
      </c>
      <c r="N112" s="22" t="str">
        <f t="shared" si="5"/>
        <v/>
      </c>
    </row>
    <row r="113" spans="3:14" x14ac:dyDescent="0.25">
      <c r="C113" s="22" t="str">
        <f t="array" ref="C113">IF(E113="","",_xlfn.LET(_xlpm.modelo,UPPER(TRIM(E113)),_xlpm.comb,_xlfn.XLOOKUP(UPPER(TRIM(G113)),UPPER(NPF!$A$4:$A$30),NPF!$B$4:$B$30,"¿COMB?"),UPPER(TRIM(F113))&amp;" "&amp;_xlpm.modelo&amp;" "&amp;_xlpm.comb))</f>
        <v/>
      </c>
      <c r="D113" s="22" t="str" cm="1">
        <f t="array" ref="D113">IF(E113="","",_xlfn.LET(_xlpm.cat,_xlfn.XLOOKUP(UPPER(TRIM(F113)),UPPER(NPF!$G$4:$G$40),NPF!$H$4:$H$40,"¿CAT?"),_xlpm.comb,_xlfn.XLOOKUP(UPPER(TRIM(G113)),UPPER(NPF!$A$4:$A$30),NPF!$B$4:$B$30,"¿COMB?"),_xlpm.txt,NPF!$V$4:$V$33,_xlpm.abr,NPF!$W$4:$W$33,_xlpm.modAbrev,_xlfn.REDUCE(UPPER(TRIM(E113)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3" s="22" t="str">
        <f t="shared" si="4"/>
        <v/>
      </c>
      <c r="N113" s="22" t="str">
        <f t="shared" si="5"/>
        <v/>
      </c>
    </row>
    <row r="114" spans="3:14" x14ac:dyDescent="0.25">
      <c r="C114" s="22" t="str">
        <f t="array" ref="C114">IF(E114="","",_xlfn.LET(_xlpm.modelo,UPPER(TRIM(E114)),_xlpm.comb,_xlfn.XLOOKUP(UPPER(TRIM(G114)),UPPER(NPF!$A$4:$A$30),NPF!$B$4:$B$30,"¿COMB?"),UPPER(TRIM(F114))&amp;" "&amp;_xlpm.modelo&amp;" "&amp;_xlpm.comb))</f>
        <v/>
      </c>
      <c r="D114" s="22" t="str" cm="1">
        <f t="array" ref="D114">IF(E114="","",_xlfn.LET(_xlpm.cat,_xlfn.XLOOKUP(UPPER(TRIM(F114)),UPPER(NPF!$G$4:$G$40),NPF!$H$4:$H$40,"¿CAT?"),_xlpm.comb,_xlfn.XLOOKUP(UPPER(TRIM(G114)),UPPER(NPF!$A$4:$A$30),NPF!$B$4:$B$30,"¿COMB?"),_xlpm.txt,NPF!$V$4:$V$33,_xlpm.abr,NPF!$W$4:$W$33,_xlpm.modAbrev,_xlfn.REDUCE(UPPER(TRIM(E114)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4" s="22" t="str">
        <f t="shared" si="4"/>
        <v/>
      </c>
      <c r="N114" s="22" t="str">
        <f t="shared" si="5"/>
        <v/>
      </c>
    </row>
    <row r="115" spans="3:14" x14ac:dyDescent="0.25">
      <c r="C115" s="22" t="str">
        <f t="array" ref="C115">IF(E115="","",_xlfn.LET(_xlpm.modelo,UPPER(TRIM(E115)),_xlpm.comb,_xlfn.XLOOKUP(UPPER(TRIM(G115)),UPPER(NPF!$A$4:$A$30),NPF!$B$4:$B$30,"¿COMB?"),UPPER(TRIM(F115))&amp;" "&amp;_xlpm.modelo&amp;" "&amp;_xlpm.comb))</f>
        <v/>
      </c>
      <c r="D115" s="22" t="str" cm="1">
        <f t="array" ref="D115">IF(E115="","",_xlfn.LET(_xlpm.cat,_xlfn.XLOOKUP(UPPER(TRIM(F115)),UPPER(NPF!$G$4:$G$40),NPF!$H$4:$H$40,"¿CAT?"),_xlpm.comb,_xlfn.XLOOKUP(UPPER(TRIM(G115)),UPPER(NPF!$A$4:$A$30),NPF!$B$4:$B$30,"¿COMB?"),_xlpm.txt,NPF!$V$4:$V$33,_xlpm.abr,NPF!$W$4:$W$33,_xlpm.modAbrev,_xlfn.REDUCE(UPPER(TRIM(E115)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5" s="22" t="str">
        <f t="shared" si="4"/>
        <v/>
      </c>
      <c r="N115" s="22" t="str">
        <f t="shared" si="5"/>
        <v/>
      </c>
    </row>
    <row r="116" spans="3:14" x14ac:dyDescent="0.25">
      <c r="C116" s="22" t="str">
        <f t="array" ref="C116">IF(E116="","",_xlfn.LET(_xlpm.modelo,UPPER(TRIM(E116)),_xlpm.comb,_xlfn.XLOOKUP(UPPER(TRIM(G116)),UPPER(NPF!$A$4:$A$30),NPF!$B$4:$B$30,"¿COMB?"),UPPER(TRIM(F116))&amp;" "&amp;_xlpm.modelo&amp;" "&amp;_xlpm.comb))</f>
        <v/>
      </c>
      <c r="D116" s="22" t="str" cm="1">
        <f t="array" ref="D116">IF(E116="","",_xlfn.LET(_xlpm.cat,_xlfn.XLOOKUP(UPPER(TRIM(F116)),UPPER(NPF!$G$4:$G$40),NPF!$H$4:$H$40,"¿CAT?"),_xlpm.comb,_xlfn.XLOOKUP(UPPER(TRIM(G116)),UPPER(NPF!$A$4:$A$30),NPF!$B$4:$B$30,"¿COMB?"),_xlpm.txt,NPF!$V$4:$V$33,_xlpm.abr,NPF!$W$4:$W$33,_xlpm.modAbrev,_xlfn.REDUCE(UPPER(TRIM(E116)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6" s="22" t="str">
        <f t="shared" si="4"/>
        <v/>
      </c>
      <c r="N116" s="22" t="str">
        <f t="shared" si="5"/>
        <v/>
      </c>
    </row>
    <row r="117" spans="3:14" x14ac:dyDescent="0.25">
      <c r="C117" s="22" t="str">
        <f t="array" ref="C117">IF(E117="","",_xlfn.LET(_xlpm.modelo,UPPER(TRIM(E117)),_xlpm.comb,_xlfn.XLOOKUP(UPPER(TRIM(G117)),UPPER(NPF!$A$4:$A$30),NPF!$B$4:$B$30,"¿COMB?"),UPPER(TRIM(F117))&amp;" "&amp;_xlpm.modelo&amp;" "&amp;_xlpm.comb))</f>
        <v/>
      </c>
      <c r="D117" s="22" t="str" cm="1">
        <f t="array" ref="D117">IF(E117="","",_xlfn.LET(_xlpm.cat,_xlfn.XLOOKUP(UPPER(TRIM(F117)),UPPER(NPF!$G$4:$G$40),NPF!$H$4:$H$40,"¿CAT?"),_xlpm.comb,_xlfn.XLOOKUP(UPPER(TRIM(G117)),UPPER(NPF!$A$4:$A$30),NPF!$B$4:$B$30,"¿COMB?"),_xlpm.txt,NPF!$V$4:$V$33,_xlpm.abr,NPF!$W$4:$W$33,_xlpm.modAbrev,_xlfn.REDUCE(UPPER(TRIM(E117)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7" s="22" t="str">
        <f t="shared" si="4"/>
        <v/>
      </c>
      <c r="N117" s="22" t="str">
        <f t="shared" si="5"/>
        <v/>
      </c>
    </row>
    <row r="118" spans="3:14" x14ac:dyDescent="0.25">
      <c r="C118" s="22" t="str">
        <f t="array" ref="C118">IF(E118="","",_xlfn.LET(_xlpm.modelo,UPPER(TRIM(E118)),_xlpm.comb,_xlfn.XLOOKUP(UPPER(TRIM(G118)),UPPER(NPF!$A$4:$A$30),NPF!$B$4:$B$30,"¿COMB?"),UPPER(TRIM(F118))&amp;" "&amp;_xlpm.modelo&amp;" "&amp;_xlpm.comb))</f>
        <v/>
      </c>
      <c r="D118" s="22" t="str" cm="1">
        <f t="array" ref="D118">IF(E118="","",_xlfn.LET(_xlpm.cat,_xlfn.XLOOKUP(UPPER(TRIM(F118)),UPPER(NPF!$G$4:$G$40),NPF!$H$4:$H$40,"¿CAT?"),_xlpm.comb,_xlfn.XLOOKUP(UPPER(TRIM(G118)),UPPER(NPF!$A$4:$A$30),NPF!$B$4:$B$30,"¿COMB?"),_xlpm.txt,NPF!$V$4:$V$33,_xlpm.abr,NPF!$W$4:$W$33,_xlpm.modAbrev,_xlfn.REDUCE(UPPER(TRIM(E118)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8" s="22" t="str">
        <f t="shared" si="4"/>
        <v/>
      </c>
      <c r="N118" s="22" t="str">
        <f t="shared" si="5"/>
        <v/>
      </c>
    </row>
    <row r="119" spans="3:14" x14ac:dyDescent="0.25">
      <c r="C119" s="22" t="str">
        <f t="array" ref="C119">IF(E119="","",_xlfn.LET(_xlpm.modelo,UPPER(TRIM(E119)),_xlpm.comb,_xlfn.XLOOKUP(UPPER(TRIM(G119)),UPPER(NPF!$A$4:$A$30),NPF!$B$4:$B$30,"¿COMB?"),UPPER(TRIM(F119))&amp;" "&amp;_xlpm.modelo&amp;" "&amp;_xlpm.comb))</f>
        <v/>
      </c>
      <c r="D119" s="22" t="str" cm="1">
        <f t="array" ref="D119">IF(E119="","",_xlfn.LET(_xlpm.cat,_xlfn.XLOOKUP(UPPER(TRIM(F119)),UPPER(NPF!$G$4:$G$40),NPF!$H$4:$H$40,"¿CAT?"),_xlpm.comb,_xlfn.XLOOKUP(UPPER(TRIM(G119)),UPPER(NPF!$A$4:$A$30),NPF!$B$4:$B$30,"¿COMB?"),_xlpm.txt,NPF!$V$4:$V$33,_xlpm.abr,NPF!$W$4:$W$33,_xlpm.modAbrev,_xlfn.REDUCE(UPPER(TRIM(E119)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19" s="22" t="str">
        <f t="shared" si="4"/>
        <v/>
      </c>
      <c r="N119" s="22" t="str">
        <f t="shared" si="5"/>
        <v/>
      </c>
    </row>
    <row r="120" spans="3:14" x14ac:dyDescent="0.25">
      <c r="C120" s="22" t="str">
        <f t="array" ref="C120">IF(E120="","",_xlfn.LET(_xlpm.modelo,UPPER(TRIM(E120)),_xlpm.comb,_xlfn.XLOOKUP(UPPER(TRIM(G120)),UPPER(NPF!$A$4:$A$30),NPF!$B$4:$B$30,"¿COMB?"),UPPER(TRIM(F120))&amp;" "&amp;_xlpm.modelo&amp;" "&amp;_xlpm.comb))</f>
        <v/>
      </c>
      <c r="D120" s="22" t="str" cm="1">
        <f t="array" ref="D120">IF(E120="","",_xlfn.LET(_xlpm.cat,_xlfn.XLOOKUP(UPPER(TRIM(F120)),UPPER(NPF!$G$4:$G$40),NPF!$H$4:$H$40,"¿CAT?"),_xlpm.comb,_xlfn.XLOOKUP(UPPER(TRIM(G120)),UPPER(NPF!$A$4:$A$30),NPF!$B$4:$B$30,"¿COMB?"),_xlpm.txt,NPF!$V$4:$V$33,_xlpm.abr,NPF!$W$4:$W$33,_xlpm.modAbrev,_xlfn.REDUCE(UPPER(TRIM(E120)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0" s="22" t="str">
        <f t="shared" si="4"/>
        <v/>
      </c>
      <c r="N120" s="22" t="str">
        <f t="shared" si="5"/>
        <v/>
      </c>
    </row>
    <row r="121" spans="3:14" x14ac:dyDescent="0.25">
      <c r="C121" s="22" t="str">
        <f t="array" ref="C121">IF(E121="","",_xlfn.LET(_xlpm.modelo,UPPER(TRIM(E121)),_xlpm.comb,_xlfn.XLOOKUP(UPPER(TRIM(G121)),UPPER(NPF!$A$4:$A$30),NPF!$B$4:$B$30,"¿COMB?"),UPPER(TRIM(F121))&amp;" "&amp;_xlpm.modelo&amp;" "&amp;_xlpm.comb))</f>
        <v/>
      </c>
      <c r="D121" s="22" t="str" cm="1">
        <f t="array" ref="D121">IF(E121="","",_xlfn.LET(_xlpm.cat,_xlfn.XLOOKUP(UPPER(TRIM(F121)),UPPER(NPF!$G$4:$G$40),NPF!$H$4:$H$40,"¿CAT?"),_xlpm.comb,_xlfn.XLOOKUP(UPPER(TRIM(G121)),UPPER(NPF!$A$4:$A$30),NPF!$B$4:$B$30,"¿COMB?"),_xlpm.txt,NPF!$V$4:$V$33,_xlpm.abr,NPF!$W$4:$W$33,_xlpm.modAbrev,_xlfn.REDUCE(UPPER(TRIM(E121)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1" s="22" t="str">
        <f t="shared" si="4"/>
        <v/>
      </c>
      <c r="N121" s="22" t="str">
        <f t="shared" si="5"/>
        <v/>
      </c>
    </row>
    <row r="122" spans="3:14" x14ac:dyDescent="0.25">
      <c r="C122" s="22" t="str">
        <f t="array" ref="C122">IF(E122="","",_xlfn.LET(_xlpm.modelo,UPPER(TRIM(E122)),_xlpm.comb,_xlfn.XLOOKUP(UPPER(TRIM(G122)),UPPER(NPF!$A$4:$A$30),NPF!$B$4:$B$30,"¿COMB?"),UPPER(TRIM(F122))&amp;" "&amp;_xlpm.modelo&amp;" "&amp;_xlpm.comb))</f>
        <v/>
      </c>
      <c r="D122" s="22" t="str" cm="1">
        <f t="array" ref="D122">IF(E122="","",_xlfn.LET(_xlpm.cat,_xlfn.XLOOKUP(UPPER(TRIM(F122)),UPPER(NPF!$G$4:$G$40),NPF!$H$4:$H$40,"¿CAT?"),_xlpm.comb,_xlfn.XLOOKUP(UPPER(TRIM(G122)),UPPER(NPF!$A$4:$A$30),NPF!$B$4:$B$30,"¿COMB?"),_xlpm.txt,NPF!$V$4:$V$33,_xlpm.abr,NPF!$W$4:$W$33,_xlpm.modAbrev,_xlfn.REDUCE(UPPER(TRIM(E122)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2" s="22" t="str">
        <f t="shared" si="4"/>
        <v/>
      </c>
      <c r="N122" s="22" t="str">
        <f t="shared" si="5"/>
        <v/>
      </c>
    </row>
    <row r="123" spans="3:14" x14ac:dyDescent="0.25">
      <c r="C123" s="22" t="str">
        <f t="array" ref="C123">IF(E123="","",_xlfn.LET(_xlpm.modelo,UPPER(TRIM(E123)),_xlpm.comb,_xlfn.XLOOKUP(UPPER(TRIM(G123)),UPPER(NPF!$A$4:$A$30),NPF!$B$4:$B$30,"¿COMB?"),UPPER(TRIM(F123))&amp;" "&amp;_xlpm.modelo&amp;" "&amp;_xlpm.comb))</f>
        <v/>
      </c>
      <c r="D123" s="22" t="str" cm="1">
        <f t="array" ref="D123">IF(E123="","",_xlfn.LET(_xlpm.cat,_xlfn.XLOOKUP(UPPER(TRIM(F123)),UPPER(NPF!$G$4:$G$40),NPF!$H$4:$H$40,"¿CAT?"),_xlpm.comb,_xlfn.XLOOKUP(UPPER(TRIM(G123)),UPPER(NPF!$A$4:$A$30),NPF!$B$4:$B$30,"¿COMB?"),_xlpm.txt,NPF!$V$4:$V$33,_xlpm.abr,NPF!$W$4:$W$33,_xlpm.modAbrev,_xlfn.REDUCE(UPPER(TRIM(E123)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3" s="22" t="str">
        <f t="shared" si="4"/>
        <v/>
      </c>
      <c r="N123" s="22" t="str">
        <f t="shared" si="5"/>
        <v/>
      </c>
    </row>
    <row r="124" spans="3:14" x14ac:dyDescent="0.25">
      <c r="C124" s="22" t="str">
        <f t="array" ref="C124">IF(E124="","",_xlfn.LET(_xlpm.modelo,UPPER(TRIM(E124)),_xlpm.comb,_xlfn.XLOOKUP(UPPER(TRIM(G124)),UPPER(NPF!$A$4:$A$30),NPF!$B$4:$B$30,"¿COMB?"),UPPER(TRIM(F124))&amp;" "&amp;_xlpm.modelo&amp;" "&amp;_xlpm.comb))</f>
        <v/>
      </c>
      <c r="D124" s="22" t="str" cm="1">
        <f t="array" ref="D124">IF(E124="","",_xlfn.LET(_xlpm.cat,_xlfn.XLOOKUP(UPPER(TRIM(F124)),UPPER(NPF!$G$4:$G$40),NPF!$H$4:$H$40,"¿CAT?"),_xlpm.comb,_xlfn.XLOOKUP(UPPER(TRIM(G124)),UPPER(NPF!$A$4:$A$30),NPF!$B$4:$B$30,"¿COMB?"),_xlpm.txt,NPF!$V$4:$V$33,_xlpm.abr,NPF!$W$4:$W$33,_xlpm.modAbrev,_xlfn.REDUCE(UPPER(TRIM(E124)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4" s="22" t="str">
        <f t="shared" si="4"/>
        <v/>
      </c>
      <c r="N124" s="22" t="str">
        <f t="shared" si="5"/>
        <v/>
      </c>
    </row>
    <row r="125" spans="3:14" x14ac:dyDescent="0.25">
      <c r="C125" s="22" t="str">
        <f t="array" ref="C125">IF(E125="","",_xlfn.LET(_xlpm.modelo,UPPER(TRIM(E125)),_xlpm.comb,_xlfn.XLOOKUP(UPPER(TRIM(G125)),UPPER(NPF!$A$4:$A$30),NPF!$B$4:$B$30,"¿COMB?"),UPPER(TRIM(F125))&amp;" "&amp;_xlpm.modelo&amp;" "&amp;_xlpm.comb))</f>
        <v/>
      </c>
      <c r="D125" s="22" t="str" cm="1">
        <f t="array" ref="D125">IF(E125="","",_xlfn.LET(_xlpm.cat,_xlfn.XLOOKUP(UPPER(TRIM(F125)),UPPER(NPF!$G$4:$G$40),NPF!$H$4:$H$40,"¿CAT?"),_xlpm.comb,_xlfn.XLOOKUP(UPPER(TRIM(G125)),UPPER(NPF!$A$4:$A$30),NPF!$B$4:$B$30,"¿COMB?"),_xlpm.txt,NPF!$V$4:$V$33,_xlpm.abr,NPF!$W$4:$W$33,_xlpm.modAbrev,_xlfn.REDUCE(UPPER(TRIM(E125)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5" s="22" t="str">
        <f t="shared" si="4"/>
        <v/>
      </c>
      <c r="N125" s="22" t="str">
        <f t="shared" si="5"/>
        <v/>
      </c>
    </row>
    <row r="126" spans="3:14" x14ac:dyDescent="0.25">
      <c r="C126" s="22" t="str">
        <f t="array" ref="C126">IF(E126="","",_xlfn.LET(_xlpm.modelo,UPPER(TRIM(E126)),_xlpm.comb,_xlfn.XLOOKUP(UPPER(TRIM(G126)),UPPER(NPF!$A$4:$A$30),NPF!$B$4:$B$30,"¿COMB?"),UPPER(TRIM(F126))&amp;" "&amp;_xlpm.modelo&amp;" "&amp;_xlpm.comb))</f>
        <v/>
      </c>
      <c r="D126" s="22" t="str" cm="1">
        <f t="array" ref="D126">IF(E126="","",_xlfn.LET(_xlpm.cat,_xlfn.XLOOKUP(UPPER(TRIM(F126)),UPPER(NPF!$G$4:$G$40),NPF!$H$4:$H$40,"¿CAT?"),_xlpm.comb,_xlfn.XLOOKUP(UPPER(TRIM(G126)),UPPER(NPF!$A$4:$A$30),NPF!$B$4:$B$30,"¿COMB?"),_xlpm.txt,NPF!$V$4:$V$33,_xlpm.abr,NPF!$W$4:$W$33,_xlpm.modAbrev,_xlfn.REDUCE(UPPER(TRIM(E126)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6" s="22" t="str">
        <f t="shared" si="4"/>
        <v/>
      </c>
      <c r="N126" s="22" t="str">
        <f t="shared" si="5"/>
        <v/>
      </c>
    </row>
    <row r="127" spans="3:14" x14ac:dyDescent="0.25">
      <c r="C127" s="22" t="str">
        <f t="array" ref="C127">IF(E127="","",_xlfn.LET(_xlpm.modelo,UPPER(TRIM(E127)),_xlpm.comb,_xlfn.XLOOKUP(UPPER(TRIM(G127)),UPPER(NPF!$A$4:$A$30),NPF!$B$4:$B$30,"¿COMB?"),UPPER(TRIM(F127))&amp;" "&amp;_xlpm.modelo&amp;" "&amp;_xlpm.comb))</f>
        <v/>
      </c>
      <c r="D127" s="22" t="str" cm="1">
        <f t="array" ref="D127">IF(E127="","",_xlfn.LET(_xlpm.cat,_xlfn.XLOOKUP(UPPER(TRIM(F127)),UPPER(NPF!$G$4:$G$40),NPF!$H$4:$H$40,"¿CAT?"),_xlpm.comb,_xlfn.XLOOKUP(UPPER(TRIM(G127)),UPPER(NPF!$A$4:$A$30),NPF!$B$4:$B$30,"¿COMB?"),_xlpm.txt,NPF!$V$4:$V$33,_xlpm.abr,NPF!$W$4:$W$33,_xlpm.modAbrev,_xlfn.REDUCE(UPPER(TRIM(E127)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7" s="22" t="str">
        <f t="shared" si="4"/>
        <v/>
      </c>
      <c r="N127" s="22" t="str">
        <f t="shared" si="5"/>
        <v/>
      </c>
    </row>
    <row r="128" spans="3:14" x14ac:dyDescent="0.25">
      <c r="C128" s="22" t="str">
        <f t="array" ref="C128">IF(E128="","",_xlfn.LET(_xlpm.modelo,UPPER(TRIM(E128)),_xlpm.comb,_xlfn.XLOOKUP(UPPER(TRIM(G128)),UPPER(NPF!$A$4:$A$30),NPF!$B$4:$B$30,"¿COMB?"),UPPER(TRIM(F128))&amp;" "&amp;_xlpm.modelo&amp;" "&amp;_xlpm.comb))</f>
        <v/>
      </c>
      <c r="D128" s="22" t="str" cm="1">
        <f t="array" ref="D128">IF(E128="","",_xlfn.LET(_xlpm.cat,_xlfn.XLOOKUP(UPPER(TRIM(F128)),UPPER(NPF!$G$4:$G$40),NPF!$H$4:$H$40,"¿CAT?"),_xlpm.comb,_xlfn.XLOOKUP(UPPER(TRIM(G128)),UPPER(NPF!$A$4:$A$30),NPF!$B$4:$B$30,"¿COMB?"),_xlpm.txt,NPF!$V$4:$V$33,_xlpm.abr,NPF!$W$4:$W$33,_xlpm.modAbrev,_xlfn.REDUCE(UPPER(TRIM(E128)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8" s="22" t="str">
        <f t="shared" si="4"/>
        <v/>
      </c>
      <c r="N128" s="22" t="str">
        <f t="shared" si="5"/>
        <v/>
      </c>
    </row>
    <row r="129" spans="3:14" x14ac:dyDescent="0.25">
      <c r="C129" s="22" t="str">
        <f t="array" ref="C129">IF(E129="","",_xlfn.LET(_xlpm.modelo,UPPER(TRIM(E129)),_xlpm.comb,_xlfn.XLOOKUP(UPPER(TRIM(G129)),UPPER(NPF!$A$4:$A$30),NPF!$B$4:$B$30,"¿COMB?"),UPPER(TRIM(F129))&amp;" "&amp;_xlpm.modelo&amp;" "&amp;_xlpm.comb))</f>
        <v/>
      </c>
      <c r="D129" s="22" t="str" cm="1">
        <f t="array" ref="D129">IF(E129="","",_xlfn.LET(_xlpm.cat,_xlfn.XLOOKUP(UPPER(TRIM(F129)),UPPER(NPF!$G$4:$G$40),NPF!$H$4:$H$40,"¿CAT?"),_xlpm.comb,_xlfn.XLOOKUP(UPPER(TRIM(G129)),UPPER(NPF!$A$4:$A$30),NPF!$B$4:$B$30,"¿COMB?"),_xlpm.txt,NPF!$V$4:$V$33,_xlpm.abr,NPF!$W$4:$W$33,_xlpm.modAbrev,_xlfn.REDUCE(UPPER(TRIM(E129)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29" s="22" t="str">
        <f t="shared" si="4"/>
        <v/>
      </c>
      <c r="N129" s="22" t="str">
        <f t="shared" si="5"/>
        <v/>
      </c>
    </row>
    <row r="130" spans="3:14" x14ac:dyDescent="0.25">
      <c r="C130" s="22" t="str">
        <f t="array" ref="C130">IF(E130="","",_xlfn.LET(_xlpm.modelo,UPPER(TRIM(E130)),_xlpm.comb,_xlfn.XLOOKUP(UPPER(TRIM(G130)),UPPER(NPF!$A$4:$A$30),NPF!$B$4:$B$30,"¿COMB?"),UPPER(TRIM(F130))&amp;" "&amp;_xlpm.modelo&amp;" "&amp;_xlpm.comb))</f>
        <v/>
      </c>
      <c r="D130" s="22" t="str" cm="1">
        <f t="array" ref="D130">IF(E130="","",_xlfn.LET(_xlpm.cat,_xlfn.XLOOKUP(UPPER(TRIM(F130)),UPPER(NPF!$G$4:$G$40),NPF!$H$4:$H$40,"¿CAT?"),_xlpm.comb,_xlfn.XLOOKUP(UPPER(TRIM(G130)),UPPER(NPF!$A$4:$A$30),NPF!$B$4:$B$30,"¿COMB?"),_xlpm.txt,NPF!$V$4:$V$33,_xlpm.abr,NPF!$W$4:$W$33,_xlpm.modAbrev,_xlfn.REDUCE(UPPER(TRIM(E130)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0" s="22" t="str">
        <f t="shared" si="4"/>
        <v/>
      </c>
      <c r="N130" s="22" t="str">
        <f t="shared" si="5"/>
        <v/>
      </c>
    </row>
    <row r="131" spans="3:14" x14ac:dyDescent="0.25">
      <c r="C131" s="22" t="str">
        <f t="array" ref="C131">IF(E131="","",_xlfn.LET(_xlpm.modelo,UPPER(TRIM(E131)),_xlpm.comb,_xlfn.XLOOKUP(UPPER(TRIM(G131)),UPPER(NPF!$A$4:$A$30),NPF!$B$4:$B$30,"¿COMB?"),UPPER(TRIM(F131))&amp;" "&amp;_xlpm.modelo&amp;" "&amp;_xlpm.comb))</f>
        <v/>
      </c>
      <c r="D131" s="22" t="str" cm="1">
        <f t="array" ref="D131">IF(E131="","",_xlfn.LET(_xlpm.cat,_xlfn.XLOOKUP(UPPER(TRIM(F131)),UPPER(NPF!$G$4:$G$40),NPF!$H$4:$H$40,"¿CAT?"),_xlpm.comb,_xlfn.XLOOKUP(UPPER(TRIM(G131)),UPPER(NPF!$A$4:$A$30),NPF!$B$4:$B$30,"¿COMB?"),_xlpm.txt,NPF!$V$4:$V$33,_xlpm.abr,NPF!$W$4:$W$33,_xlpm.modAbrev,_xlfn.REDUCE(UPPER(TRIM(E131)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1" s="22" t="str">
        <f t="shared" ref="M131:M194" si="6">IF(C131="","",LEN(C131))</f>
        <v/>
      </c>
      <c r="N131" s="22" t="str">
        <f t="shared" ref="N131:N194" si="7">IF(D131="","",LEN(D131))</f>
        <v/>
      </c>
    </row>
    <row r="132" spans="3:14" x14ac:dyDescent="0.25">
      <c r="C132" s="22" t="str">
        <f t="array" ref="C132">IF(E132="","",_xlfn.LET(_xlpm.modelo,UPPER(TRIM(E132)),_xlpm.comb,_xlfn.XLOOKUP(UPPER(TRIM(G132)),UPPER(NPF!$A$4:$A$30),NPF!$B$4:$B$30,"¿COMB?"),UPPER(TRIM(F132))&amp;" "&amp;_xlpm.modelo&amp;" "&amp;_xlpm.comb))</f>
        <v/>
      </c>
      <c r="D132" s="22" t="str" cm="1">
        <f t="array" ref="D132">IF(E132="","",_xlfn.LET(_xlpm.cat,_xlfn.XLOOKUP(UPPER(TRIM(F132)),UPPER(NPF!$G$4:$G$40),NPF!$H$4:$H$40,"¿CAT?"),_xlpm.comb,_xlfn.XLOOKUP(UPPER(TRIM(G132)),UPPER(NPF!$A$4:$A$30),NPF!$B$4:$B$30,"¿COMB?"),_xlpm.txt,NPF!$V$4:$V$33,_xlpm.abr,NPF!$W$4:$W$33,_xlpm.modAbrev,_xlfn.REDUCE(UPPER(TRIM(E132)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2" s="22" t="str">
        <f t="shared" si="6"/>
        <v/>
      </c>
      <c r="N132" s="22" t="str">
        <f t="shared" si="7"/>
        <v/>
      </c>
    </row>
    <row r="133" spans="3:14" x14ac:dyDescent="0.25">
      <c r="C133" s="22" t="str">
        <f t="array" ref="C133">IF(E133="","",_xlfn.LET(_xlpm.modelo,UPPER(TRIM(E133)),_xlpm.comb,_xlfn.XLOOKUP(UPPER(TRIM(G133)),UPPER(NPF!$A$4:$A$30),NPF!$B$4:$B$30,"¿COMB?"),UPPER(TRIM(F133))&amp;" "&amp;_xlpm.modelo&amp;" "&amp;_xlpm.comb))</f>
        <v/>
      </c>
      <c r="D133" s="22" t="str" cm="1">
        <f t="array" ref="D133">IF(E133="","",_xlfn.LET(_xlpm.cat,_xlfn.XLOOKUP(UPPER(TRIM(F133)),UPPER(NPF!$G$4:$G$40),NPF!$H$4:$H$40,"¿CAT?"),_xlpm.comb,_xlfn.XLOOKUP(UPPER(TRIM(G133)),UPPER(NPF!$A$4:$A$30),NPF!$B$4:$B$30,"¿COMB?"),_xlpm.txt,NPF!$V$4:$V$33,_xlpm.abr,NPF!$W$4:$W$33,_xlpm.modAbrev,_xlfn.REDUCE(UPPER(TRIM(E133)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3" s="22" t="str">
        <f t="shared" si="6"/>
        <v/>
      </c>
      <c r="N133" s="22" t="str">
        <f t="shared" si="7"/>
        <v/>
      </c>
    </row>
    <row r="134" spans="3:14" x14ac:dyDescent="0.25">
      <c r="C134" s="22" t="str">
        <f t="array" ref="C134">IF(E134="","",_xlfn.LET(_xlpm.modelo,UPPER(TRIM(E134)),_xlpm.comb,_xlfn.XLOOKUP(UPPER(TRIM(G134)),UPPER(NPF!$A$4:$A$30),NPF!$B$4:$B$30,"¿COMB?"),UPPER(TRIM(F134))&amp;" "&amp;_xlpm.modelo&amp;" "&amp;_xlpm.comb))</f>
        <v/>
      </c>
      <c r="D134" s="22" t="str" cm="1">
        <f t="array" ref="D134">IF(E134="","",_xlfn.LET(_xlpm.cat,_xlfn.XLOOKUP(UPPER(TRIM(F134)),UPPER(NPF!$G$4:$G$40),NPF!$H$4:$H$40,"¿CAT?"),_xlpm.comb,_xlfn.XLOOKUP(UPPER(TRIM(G134)),UPPER(NPF!$A$4:$A$30),NPF!$B$4:$B$30,"¿COMB?"),_xlpm.txt,NPF!$V$4:$V$33,_xlpm.abr,NPF!$W$4:$W$33,_xlpm.modAbrev,_xlfn.REDUCE(UPPER(TRIM(E134)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4" s="22" t="str">
        <f t="shared" si="6"/>
        <v/>
      </c>
      <c r="N134" s="22" t="str">
        <f t="shared" si="7"/>
        <v/>
      </c>
    </row>
    <row r="135" spans="3:14" x14ac:dyDescent="0.25">
      <c r="C135" s="22" t="str">
        <f t="array" ref="C135">IF(E135="","",_xlfn.LET(_xlpm.modelo,UPPER(TRIM(E135)),_xlpm.comb,_xlfn.XLOOKUP(UPPER(TRIM(G135)),UPPER(NPF!$A$4:$A$30),NPF!$B$4:$B$30,"¿COMB?"),UPPER(TRIM(F135))&amp;" "&amp;_xlpm.modelo&amp;" "&amp;_xlpm.comb))</f>
        <v/>
      </c>
      <c r="D135" s="22" t="str" cm="1">
        <f t="array" ref="D135">IF(E135="","",_xlfn.LET(_xlpm.cat,_xlfn.XLOOKUP(UPPER(TRIM(F135)),UPPER(NPF!$G$4:$G$40),NPF!$H$4:$H$40,"¿CAT?"),_xlpm.comb,_xlfn.XLOOKUP(UPPER(TRIM(G135)),UPPER(NPF!$A$4:$A$30),NPF!$B$4:$B$30,"¿COMB?"),_xlpm.txt,NPF!$V$4:$V$33,_xlpm.abr,NPF!$W$4:$W$33,_xlpm.modAbrev,_xlfn.REDUCE(UPPER(TRIM(E135)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5" s="22" t="str">
        <f t="shared" si="6"/>
        <v/>
      </c>
      <c r="N135" s="22" t="str">
        <f t="shared" si="7"/>
        <v/>
      </c>
    </row>
    <row r="136" spans="3:14" x14ac:dyDescent="0.25">
      <c r="C136" s="22" t="str">
        <f t="array" ref="C136">IF(E136="","",_xlfn.LET(_xlpm.modelo,UPPER(TRIM(E136)),_xlpm.comb,_xlfn.XLOOKUP(UPPER(TRIM(G136)),UPPER(NPF!$A$4:$A$30),NPF!$B$4:$B$30,"¿COMB?"),UPPER(TRIM(F136))&amp;" "&amp;_xlpm.modelo&amp;" "&amp;_xlpm.comb))</f>
        <v/>
      </c>
      <c r="D136" s="22" t="str" cm="1">
        <f t="array" ref="D136">IF(E136="","",_xlfn.LET(_xlpm.cat,_xlfn.XLOOKUP(UPPER(TRIM(F136)),UPPER(NPF!$G$4:$G$40),NPF!$H$4:$H$40,"¿CAT?"),_xlpm.comb,_xlfn.XLOOKUP(UPPER(TRIM(G136)),UPPER(NPF!$A$4:$A$30),NPF!$B$4:$B$30,"¿COMB?"),_xlpm.txt,NPF!$V$4:$V$33,_xlpm.abr,NPF!$W$4:$W$33,_xlpm.modAbrev,_xlfn.REDUCE(UPPER(TRIM(E136)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6" s="22" t="str">
        <f t="shared" si="6"/>
        <v/>
      </c>
      <c r="N136" s="22" t="str">
        <f t="shared" si="7"/>
        <v/>
      </c>
    </row>
    <row r="137" spans="3:14" x14ac:dyDescent="0.25">
      <c r="C137" s="22" t="str">
        <f t="array" ref="C137">IF(E137="","",_xlfn.LET(_xlpm.modelo,UPPER(TRIM(E137)),_xlpm.comb,_xlfn.XLOOKUP(UPPER(TRIM(G137)),UPPER(NPF!$A$4:$A$30),NPF!$B$4:$B$30,"¿COMB?"),UPPER(TRIM(F137))&amp;" "&amp;_xlpm.modelo&amp;" "&amp;_xlpm.comb))</f>
        <v/>
      </c>
      <c r="D137" s="22" t="str" cm="1">
        <f t="array" ref="D137">IF(E137="","",_xlfn.LET(_xlpm.cat,_xlfn.XLOOKUP(UPPER(TRIM(F137)),UPPER(NPF!$G$4:$G$40),NPF!$H$4:$H$40,"¿CAT?"),_xlpm.comb,_xlfn.XLOOKUP(UPPER(TRIM(G137)),UPPER(NPF!$A$4:$A$30),NPF!$B$4:$B$30,"¿COMB?"),_xlpm.txt,NPF!$V$4:$V$33,_xlpm.abr,NPF!$W$4:$W$33,_xlpm.modAbrev,_xlfn.REDUCE(UPPER(TRIM(E137)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7" s="22" t="str">
        <f t="shared" si="6"/>
        <v/>
      </c>
      <c r="N137" s="22" t="str">
        <f t="shared" si="7"/>
        <v/>
      </c>
    </row>
    <row r="138" spans="3:14" x14ac:dyDescent="0.25">
      <c r="C138" s="22" t="str">
        <f t="array" ref="C138">IF(E138="","",_xlfn.LET(_xlpm.modelo,UPPER(TRIM(E138)),_xlpm.comb,_xlfn.XLOOKUP(UPPER(TRIM(G138)),UPPER(NPF!$A$4:$A$30),NPF!$B$4:$B$30,"¿COMB?"),UPPER(TRIM(F138))&amp;" "&amp;_xlpm.modelo&amp;" "&amp;_xlpm.comb))</f>
        <v/>
      </c>
      <c r="D138" s="22" t="str" cm="1">
        <f t="array" ref="D138">IF(E138="","",_xlfn.LET(_xlpm.cat,_xlfn.XLOOKUP(UPPER(TRIM(F138)),UPPER(NPF!$G$4:$G$40),NPF!$H$4:$H$40,"¿CAT?"),_xlpm.comb,_xlfn.XLOOKUP(UPPER(TRIM(G138)),UPPER(NPF!$A$4:$A$30),NPF!$B$4:$B$30,"¿COMB?"),_xlpm.txt,NPF!$V$4:$V$33,_xlpm.abr,NPF!$W$4:$W$33,_xlpm.modAbrev,_xlfn.REDUCE(UPPER(TRIM(E138)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8" s="22" t="str">
        <f t="shared" si="6"/>
        <v/>
      </c>
      <c r="N138" s="22" t="str">
        <f t="shared" si="7"/>
        <v/>
      </c>
    </row>
    <row r="139" spans="3:14" x14ac:dyDescent="0.25">
      <c r="C139" s="22" t="str">
        <f t="array" ref="C139">IF(E139="","",_xlfn.LET(_xlpm.modelo,UPPER(TRIM(E139)),_xlpm.comb,_xlfn.XLOOKUP(UPPER(TRIM(G139)),UPPER(NPF!$A$4:$A$30),NPF!$B$4:$B$30,"¿COMB?"),UPPER(TRIM(F139))&amp;" "&amp;_xlpm.modelo&amp;" "&amp;_xlpm.comb))</f>
        <v/>
      </c>
      <c r="D139" s="22" t="str" cm="1">
        <f t="array" ref="D139">IF(E139="","",_xlfn.LET(_xlpm.cat,_xlfn.XLOOKUP(UPPER(TRIM(F139)),UPPER(NPF!$G$4:$G$40),NPF!$H$4:$H$40,"¿CAT?"),_xlpm.comb,_xlfn.XLOOKUP(UPPER(TRIM(G139)),UPPER(NPF!$A$4:$A$30),NPF!$B$4:$B$30,"¿COMB?"),_xlpm.txt,NPF!$V$4:$V$33,_xlpm.abr,NPF!$W$4:$W$33,_xlpm.modAbrev,_xlfn.REDUCE(UPPER(TRIM(E139)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39" s="22" t="str">
        <f t="shared" si="6"/>
        <v/>
      </c>
      <c r="N139" s="22" t="str">
        <f t="shared" si="7"/>
        <v/>
      </c>
    </row>
    <row r="140" spans="3:14" x14ac:dyDescent="0.25">
      <c r="C140" s="22" t="str">
        <f t="array" ref="C140">IF(E140="","",_xlfn.LET(_xlpm.modelo,UPPER(TRIM(E140)),_xlpm.comb,_xlfn.XLOOKUP(UPPER(TRIM(G140)),UPPER(NPF!$A$4:$A$30),NPF!$B$4:$B$30,"¿COMB?"),UPPER(TRIM(F140))&amp;" "&amp;_xlpm.modelo&amp;" "&amp;_xlpm.comb))</f>
        <v/>
      </c>
      <c r="D140" s="22" t="str" cm="1">
        <f t="array" ref="D140">IF(E140="","",_xlfn.LET(_xlpm.cat,_xlfn.XLOOKUP(UPPER(TRIM(F140)),UPPER(NPF!$G$4:$G$40),NPF!$H$4:$H$40,"¿CAT?"),_xlpm.comb,_xlfn.XLOOKUP(UPPER(TRIM(G140)),UPPER(NPF!$A$4:$A$30),NPF!$B$4:$B$30,"¿COMB?"),_xlpm.txt,NPF!$V$4:$V$33,_xlpm.abr,NPF!$W$4:$W$33,_xlpm.modAbrev,_xlfn.REDUCE(UPPER(TRIM(E140)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0" s="22" t="str">
        <f t="shared" si="6"/>
        <v/>
      </c>
      <c r="N140" s="22" t="str">
        <f t="shared" si="7"/>
        <v/>
      </c>
    </row>
    <row r="141" spans="3:14" x14ac:dyDescent="0.25">
      <c r="C141" s="22" t="str">
        <f t="array" ref="C141">IF(E141="","",_xlfn.LET(_xlpm.modelo,UPPER(TRIM(E141)),_xlpm.comb,_xlfn.XLOOKUP(UPPER(TRIM(G141)),UPPER(NPF!$A$4:$A$30),NPF!$B$4:$B$30,"¿COMB?"),UPPER(TRIM(F141))&amp;" "&amp;_xlpm.modelo&amp;" "&amp;_xlpm.comb))</f>
        <v/>
      </c>
      <c r="D141" s="22" t="str" cm="1">
        <f t="array" ref="D141">IF(E141="","",_xlfn.LET(_xlpm.cat,_xlfn.XLOOKUP(UPPER(TRIM(F141)),UPPER(NPF!$G$4:$G$40),NPF!$H$4:$H$40,"¿CAT?"),_xlpm.comb,_xlfn.XLOOKUP(UPPER(TRIM(G141)),UPPER(NPF!$A$4:$A$30),NPF!$B$4:$B$30,"¿COMB?"),_xlpm.txt,NPF!$V$4:$V$33,_xlpm.abr,NPF!$W$4:$W$33,_xlpm.modAbrev,_xlfn.REDUCE(UPPER(TRIM(E141)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1" s="22" t="str">
        <f t="shared" si="6"/>
        <v/>
      </c>
      <c r="N141" s="22" t="str">
        <f t="shared" si="7"/>
        <v/>
      </c>
    </row>
    <row r="142" spans="3:14" x14ac:dyDescent="0.25">
      <c r="C142" s="22" t="str">
        <f t="array" ref="C142">IF(E142="","",_xlfn.LET(_xlpm.modelo,UPPER(TRIM(E142)),_xlpm.comb,_xlfn.XLOOKUP(UPPER(TRIM(G142)),UPPER(NPF!$A$4:$A$30),NPF!$B$4:$B$30,"¿COMB?"),UPPER(TRIM(F142))&amp;" "&amp;_xlpm.modelo&amp;" "&amp;_xlpm.comb))</f>
        <v/>
      </c>
      <c r="D142" s="22" t="str" cm="1">
        <f t="array" ref="D142">IF(E142="","",_xlfn.LET(_xlpm.cat,_xlfn.XLOOKUP(UPPER(TRIM(F142)),UPPER(NPF!$G$4:$G$40),NPF!$H$4:$H$40,"¿CAT?"),_xlpm.comb,_xlfn.XLOOKUP(UPPER(TRIM(G142)),UPPER(NPF!$A$4:$A$30),NPF!$B$4:$B$30,"¿COMB?"),_xlpm.txt,NPF!$V$4:$V$33,_xlpm.abr,NPF!$W$4:$W$33,_xlpm.modAbrev,_xlfn.REDUCE(UPPER(TRIM(E142)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2" s="22" t="str">
        <f t="shared" si="6"/>
        <v/>
      </c>
      <c r="N142" s="22" t="str">
        <f t="shared" si="7"/>
        <v/>
      </c>
    </row>
    <row r="143" spans="3:14" x14ac:dyDescent="0.25">
      <c r="C143" s="22" t="str">
        <f t="array" ref="C143">IF(E143="","",_xlfn.LET(_xlpm.modelo,UPPER(TRIM(E143)),_xlpm.comb,_xlfn.XLOOKUP(UPPER(TRIM(G143)),UPPER(NPF!$A$4:$A$30),NPF!$B$4:$B$30,"¿COMB?"),UPPER(TRIM(F143))&amp;" "&amp;_xlpm.modelo&amp;" "&amp;_xlpm.comb))</f>
        <v/>
      </c>
      <c r="D143" s="22" t="str" cm="1">
        <f t="array" ref="D143">IF(E143="","",_xlfn.LET(_xlpm.cat,_xlfn.XLOOKUP(UPPER(TRIM(F143)),UPPER(NPF!$G$4:$G$40),NPF!$H$4:$H$40,"¿CAT?"),_xlpm.comb,_xlfn.XLOOKUP(UPPER(TRIM(G143)),UPPER(NPF!$A$4:$A$30),NPF!$B$4:$B$30,"¿COMB?"),_xlpm.txt,NPF!$V$4:$V$33,_xlpm.abr,NPF!$W$4:$W$33,_xlpm.modAbrev,_xlfn.REDUCE(UPPER(TRIM(E143)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3" s="22" t="str">
        <f t="shared" si="6"/>
        <v/>
      </c>
      <c r="N143" s="22" t="str">
        <f t="shared" si="7"/>
        <v/>
      </c>
    </row>
    <row r="144" spans="3:14" x14ac:dyDescent="0.25">
      <c r="C144" s="22" t="str">
        <f t="array" ref="C144">IF(E144="","",_xlfn.LET(_xlpm.modelo,UPPER(TRIM(E144)),_xlpm.comb,_xlfn.XLOOKUP(UPPER(TRIM(G144)),UPPER(NPF!$A$4:$A$30),NPF!$B$4:$B$30,"¿COMB?"),UPPER(TRIM(F144))&amp;" "&amp;_xlpm.modelo&amp;" "&amp;_xlpm.comb))</f>
        <v/>
      </c>
      <c r="D144" s="22" t="str" cm="1">
        <f t="array" ref="D144">IF(E144="","",_xlfn.LET(_xlpm.cat,_xlfn.XLOOKUP(UPPER(TRIM(F144)),UPPER(NPF!$G$4:$G$40),NPF!$H$4:$H$40,"¿CAT?"),_xlpm.comb,_xlfn.XLOOKUP(UPPER(TRIM(G144)),UPPER(NPF!$A$4:$A$30),NPF!$B$4:$B$30,"¿COMB?"),_xlpm.txt,NPF!$V$4:$V$33,_xlpm.abr,NPF!$W$4:$W$33,_xlpm.modAbrev,_xlfn.REDUCE(UPPER(TRIM(E144)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4" s="22" t="str">
        <f t="shared" si="6"/>
        <v/>
      </c>
      <c r="N144" s="22" t="str">
        <f t="shared" si="7"/>
        <v/>
      </c>
    </row>
    <row r="145" spans="3:14" x14ac:dyDescent="0.25">
      <c r="C145" s="22" t="str">
        <f t="array" ref="C145">IF(E145="","",_xlfn.LET(_xlpm.modelo,UPPER(TRIM(E145)),_xlpm.comb,_xlfn.XLOOKUP(UPPER(TRIM(G145)),UPPER(NPF!$A$4:$A$30),NPF!$B$4:$B$30,"¿COMB?"),UPPER(TRIM(F145))&amp;" "&amp;_xlpm.modelo&amp;" "&amp;_xlpm.comb))</f>
        <v/>
      </c>
      <c r="D145" s="22" t="str" cm="1">
        <f t="array" ref="D145">IF(E145="","",_xlfn.LET(_xlpm.cat,_xlfn.XLOOKUP(UPPER(TRIM(F145)),UPPER(NPF!$G$4:$G$40),NPF!$H$4:$H$40,"¿CAT?"),_xlpm.comb,_xlfn.XLOOKUP(UPPER(TRIM(G145)),UPPER(NPF!$A$4:$A$30),NPF!$B$4:$B$30,"¿COMB?"),_xlpm.txt,NPF!$V$4:$V$33,_xlpm.abr,NPF!$W$4:$W$33,_xlpm.modAbrev,_xlfn.REDUCE(UPPER(TRIM(E145)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5" s="22" t="str">
        <f t="shared" si="6"/>
        <v/>
      </c>
      <c r="N145" s="22" t="str">
        <f t="shared" si="7"/>
        <v/>
      </c>
    </row>
    <row r="146" spans="3:14" x14ac:dyDescent="0.25">
      <c r="C146" s="22" t="str">
        <f t="array" ref="C146">IF(E146="","",_xlfn.LET(_xlpm.modelo,UPPER(TRIM(E146)),_xlpm.comb,_xlfn.XLOOKUP(UPPER(TRIM(G146)),UPPER(NPF!$A$4:$A$30),NPF!$B$4:$B$30,"¿COMB?"),UPPER(TRIM(F146))&amp;" "&amp;_xlpm.modelo&amp;" "&amp;_xlpm.comb))</f>
        <v/>
      </c>
      <c r="D146" s="22" t="str" cm="1">
        <f t="array" ref="D146">IF(E146="","",_xlfn.LET(_xlpm.cat,_xlfn.XLOOKUP(UPPER(TRIM(F146)),UPPER(NPF!$G$4:$G$40),NPF!$H$4:$H$40,"¿CAT?"),_xlpm.comb,_xlfn.XLOOKUP(UPPER(TRIM(G146)),UPPER(NPF!$A$4:$A$30),NPF!$B$4:$B$30,"¿COMB?"),_xlpm.txt,NPF!$V$4:$V$33,_xlpm.abr,NPF!$W$4:$W$33,_xlpm.modAbrev,_xlfn.REDUCE(UPPER(TRIM(E146)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6" s="22" t="str">
        <f t="shared" si="6"/>
        <v/>
      </c>
      <c r="N146" s="22" t="str">
        <f t="shared" si="7"/>
        <v/>
      </c>
    </row>
    <row r="147" spans="3:14" x14ac:dyDescent="0.25">
      <c r="C147" s="22" t="str">
        <f t="array" ref="C147">IF(E147="","",_xlfn.LET(_xlpm.modelo,UPPER(TRIM(E147)),_xlpm.comb,_xlfn.XLOOKUP(UPPER(TRIM(G147)),UPPER(NPF!$A$4:$A$30),NPF!$B$4:$B$30,"¿COMB?"),UPPER(TRIM(F147))&amp;" "&amp;_xlpm.modelo&amp;" "&amp;_xlpm.comb))</f>
        <v/>
      </c>
      <c r="D147" s="22" t="str" cm="1">
        <f t="array" ref="D147">IF(E147="","",_xlfn.LET(_xlpm.cat,_xlfn.XLOOKUP(UPPER(TRIM(F147)),UPPER(NPF!$G$4:$G$40),NPF!$H$4:$H$40,"¿CAT?"),_xlpm.comb,_xlfn.XLOOKUP(UPPER(TRIM(G147)),UPPER(NPF!$A$4:$A$30),NPF!$B$4:$B$30,"¿COMB?"),_xlpm.txt,NPF!$V$4:$V$33,_xlpm.abr,NPF!$W$4:$W$33,_xlpm.modAbrev,_xlfn.REDUCE(UPPER(TRIM(E147)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7" s="22" t="str">
        <f t="shared" si="6"/>
        <v/>
      </c>
      <c r="N147" s="22" t="str">
        <f t="shared" si="7"/>
        <v/>
      </c>
    </row>
    <row r="148" spans="3:14" x14ac:dyDescent="0.25">
      <c r="C148" s="22" t="str">
        <f t="array" ref="C148">IF(E148="","",_xlfn.LET(_xlpm.modelo,UPPER(TRIM(E148)),_xlpm.comb,_xlfn.XLOOKUP(UPPER(TRIM(G148)),UPPER(NPF!$A$4:$A$30),NPF!$B$4:$B$30,"¿COMB?"),UPPER(TRIM(F148))&amp;" "&amp;_xlpm.modelo&amp;" "&amp;_xlpm.comb))</f>
        <v/>
      </c>
      <c r="D148" s="22" t="str" cm="1">
        <f t="array" ref="D148">IF(E148="","",_xlfn.LET(_xlpm.cat,_xlfn.XLOOKUP(UPPER(TRIM(F148)),UPPER(NPF!$G$4:$G$40),NPF!$H$4:$H$40,"¿CAT?"),_xlpm.comb,_xlfn.XLOOKUP(UPPER(TRIM(G148)),UPPER(NPF!$A$4:$A$30),NPF!$B$4:$B$30,"¿COMB?"),_xlpm.txt,NPF!$V$4:$V$33,_xlpm.abr,NPF!$W$4:$W$33,_xlpm.modAbrev,_xlfn.REDUCE(UPPER(TRIM(E148)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8" s="22" t="str">
        <f t="shared" si="6"/>
        <v/>
      </c>
      <c r="N148" s="22" t="str">
        <f t="shared" si="7"/>
        <v/>
      </c>
    </row>
    <row r="149" spans="3:14" x14ac:dyDescent="0.25">
      <c r="C149" s="22" t="str">
        <f t="array" ref="C149">IF(E149="","",_xlfn.LET(_xlpm.modelo,UPPER(TRIM(E149)),_xlpm.comb,_xlfn.XLOOKUP(UPPER(TRIM(G149)),UPPER(NPF!$A$4:$A$30),NPF!$B$4:$B$30,"¿COMB?"),UPPER(TRIM(F149))&amp;" "&amp;_xlpm.modelo&amp;" "&amp;_xlpm.comb))</f>
        <v/>
      </c>
      <c r="D149" s="22" t="str" cm="1">
        <f t="array" ref="D149">IF(E149="","",_xlfn.LET(_xlpm.cat,_xlfn.XLOOKUP(UPPER(TRIM(F149)),UPPER(NPF!$G$4:$G$40),NPF!$H$4:$H$40,"¿CAT?"),_xlpm.comb,_xlfn.XLOOKUP(UPPER(TRIM(G149)),UPPER(NPF!$A$4:$A$30),NPF!$B$4:$B$30,"¿COMB?"),_xlpm.txt,NPF!$V$4:$V$33,_xlpm.abr,NPF!$W$4:$W$33,_xlpm.modAbrev,_xlfn.REDUCE(UPPER(TRIM(E149)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49" s="22" t="str">
        <f t="shared" si="6"/>
        <v/>
      </c>
      <c r="N149" s="22" t="str">
        <f t="shared" si="7"/>
        <v/>
      </c>
    </row>
    <row r="150" spans="3:14" x14ac:dyDescent="0.25">
      <c r="C150" s="22" t="str">
        <f t="array" ref="C150">IF(E150="","",_xlfn.LET(_xlpm.modelo,UPPER(TRIM(E150)),_xlpm.comb,_xlfn.XLOOKUP(UPPER(TRIM(G150)),UPPER(NPF!$A$4:$A$30),NPF!$B$4:$B$30,"¿COMB?"),UPPER(TRIM(F150))&amp;" "&amp;_xlpm.modelo&amp;" "&amp;_xlpm.comb))</f>
        <v/>
      </c>
      <c r="D150" s="22" t="str" cm="1">
        <f t="array" ref="D150">IF(E150="","",_xlfn.LET(_xlpm.cat,_xlfn.XLOOKUP(UPPER(TRIM(F150)),UPPER(NPF!$G$4:$G$40),NPF!$H$4:$H$40,"¿CAT?"),_xlpm.comb,_xlfn.XLOOKUP(UPPER(TRIM(G150)),UPPER(NPF!$A$4:$A$30),NPF!$B$4:$B$30,"¿COMB?"),_xlpm.txt,NPF!$V$4:$V$33,_xlpm.abr,NPF!$W$4:$W$33,_xlpm.modAbrev,_xlfn.REDUCE(UPPER(TRIM(E150)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0" s="22" t="str">
        <f t="shared" si="6"/>
        <v/>
      </c>
      <c r="N150" s="22" t="str">
        <f t="shared" si="7"/>
        <v/>
      </c>
    </row>
    <row r="151" spans="3:14" x14ac:dyDescent="0.25">
      <c r="C151" s="22" t="str">
        <f t="array" ref="C151">IF(E151="","",_xlfn.LET(_xlpm.modelo,UPPER(TRIM(E151)),_xlpm.comb,_xlfn.XLOOKUP(UPPER(TRIM(G151)),UPPER(NPF!$A$4:$A$30),NPF!$B$4:$B$30,"¿COMB?"),UPPER(TRIM(F151))&amp;" "&amp;_xlpm.modelo&amp;" "&amp;_xlpm.comb))</f>
        <v/>
      </c>
      <c r="D151" s="22" t="str" cm="1">
        <f t="array" ref="D151">IF(E151="","",_xlfn.LET(_xlpm.cat,_xlfn.XLOOKUP(UPPER(TRIM(F151)),UPPER(NPF!$G$4:$G$40),NPF!$H$4:$H$40,"¿CAT?"),_xlpm.comb,_xlfn.XLOOKUP(UPPER(TRIM(G151)),UPPER(NPF!$A$4:$A$30),NPF!$B$4:$B$30,"¿COMB?"),_xlpm.txt,NPF!$V$4:$V$33,_xlpm.abr,NPF!$W$4:$W$33,_xlpm.modAbrev,_xlfn.REDUCE(UPPER(TRIM(E151)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1" s="22" t="str">
        <f t="shared" si="6"/>
        <v/>
      </c>
      <c r="N151" s="22" t="str">
        <f t="shared" si="7"/>
        <v/>
      </c>
    </row>
    <row r="152" spans="3:14" x14ac:dyDescent="0.25">
      <c r="C152" s="22" t="str">
        <f t="array" ref="C152">IF(E152="","",_xlfn.LET(_xlpm.modelo,UPPER(TRIM(E152)),_xlpm.comb,_xlfn.XLOOKUP(UPPER(TRIM(G152)),UPPER(NPF!$A$4:$A$30),NPF!$B$4:$B$30,"¿COMB?"),UPPER(TRIM(F152))&amp;" "&amp;_xlpm.modelo&amp;" "&amp;_xlpm.comb))</f>
        <v/>
      </c>
      <c r="D152" s="22" t="str" cm="1">
        <f t="array" ref="D152">IF(E152="","",_xlfn.LET(_xlpm.cat,_xlfn.XLOOKUP(UPPER(TRIM(F152)),UPPER(NPF!$G$4:$G$40),NPF!$H$4:$H$40,"¿CAT?"),_xlpm.comb,_xlfn.XLOOKUP(UPPER(TRIM(G152)),UPPER(NPF!$A$4:$A$30),NPF!$B$4:$B$30,"¿COMB?"),_xlpm.txt,NPF!$V$4:$V$33,_xlpm.abr,NPF!$W$4:$W$33,_xlpm.modAbrev,_xlfn.REDUCE(UPPER(TRIM(E152)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2" s="22" t="str">
        <f t="shared" si="6"/>
        <v/>
      </c>
      <c r="N152" s="22" t="str">
        <f t="shared" si="7"/>
        <v/>
      </c>
    </row>
    <row r="153" spans="3:14" x14ac:dyDescent="0.25">
      <c r="C153" s="22" t="str">
        <f t="array" ref="C153">IF(E153="","",_xlfn.LET(_xlpm.modelo,UPPER(TRIM(E153)),_xlpm.comb,_xlfn.XLOOKUP(UPPER(TRIM(G153)),UPPER(NPF!$A$4:$A$30),NPF!$B$4:$B$30,"¿COMB?"),UPPER(TRIM(F153))&amp;" "&amp;_xlpm.modelo&amp;" "&amp;_xlpm.comb))</f>
        <v/>
      </c>
      <c r="D153" s="22" t="str" cm="1">
        <f t="array" ref="D153">IF(E153="","",_xlfn.LET(_xlpm.cat,_xlfn.XLOOKUP(UPPER(TRIM(F153)),UPPER(NPF!$G$4:$G$40),NPF!$H$4:$H$40,"¿CAT?"),_xlpm.comb,_xlfn.XLOOKUP(UPPER(TRIM(G153)),UPPER(NPF!$A$4:$A$30),NPF!$B$4:$B$30,"¿COMB?"),_xlpm.txt,NPF!$V$4:$V$33,_xlpm.abr,NPF!$W$4:$W$33,_xlpm.modAbrev,_xlfn.REDUCE(UPPER(TRIM(E153)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3" s="22" t="str">
        <f t="shared" si="6"/>
        <v/>
      </c>
      <c r="N153" s="22" t="str">
        <f t="shared" si="7"/>
        <v/>
      </c>
    </row>
    <row r="154" spans="3:14" x14ac:dyDescent="0.25">
      <c r="C154" s="22" t="str">
        <f t="array" ref="C154">IF(E154="","",_xlfn.LET(_xlpm.modelo,UPPER(TRIM(E154)),_xlpm.comb,_xlfn.XLOOKUP(UPPER(TRIM(G154)),UPPER(NPF!$A$4:$A$30),NPF!$B$4:$B$30,"¿COMB?"),UPPER(TRIM(F154))&amp;" "&amp;_xlpm.modelo&amp;" "&amp;_xlpm.comb))</f>
        <v/>
      </c>
      <c r="D154" s="22" t="str" cm="1">
        <f t="array" ref="D154">IF(E154="","",_xlfn.LET(_xlpm.cat,_xlfn.XLOOKUP(UPPER(TRIM(F154)),UPPER(NPF!$G$4:$G$40),NPF!$H$4:$H$40,"¿CAT?"),_xlpm.comb,_xlfn.XLOOKUP(UPPER(TRIM(G154)),UPPER(NPF!$A$4:$A$30),NPF!$B$4:$B$30,"¿COMB?"),_xlpm.txt,NPF!$V$4:$V$33,_xlpm.abr,NPF!$W$4:$W$33,_xlpm.modAbrev,_xlfn.REDUCE(UPPER(TRIM(E154)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4" s="22" t="str">
        <f t="shared" si="6"/>
        <v/>
      </c>
      <c r="N154" s="22" t="str">
        <f t="shared" si="7"/>
        <v/>
      </c>
    </row>
    <row r="155" spans="3:14" x14ac:dyDescent="0.25">
      <c r="C155" s="22" t="str">
        <f t="array" ref="C155">IF(E155="","",_xlfn.LET(_xlpm.modelo,UPPER(TRIM(E155)),_xlpm.comb,_xlfn.XLOOKUP(UPPER(TRIM(G155)),UPPER(NPF!$A$4:$A$30),NPF!$B$4:$B$30,"¿COMB?"),UPPER(TRIM(F155))&amp;" "&amp;_xlpm.modelo&amp;" "&amp;_xlpm.comb))</f>
        <v/>
      </c>
      <c r="D155" s="22" t="str" cm="1">
        <f t="array" ref="D155">IF(E155="","",_xlfn.LET(_xlpm.cat,_xlfn.XLOOKUP(UPPER(TRIM(F155)),UPPER(NPF!$G$4:$G$40),NPF!$H$4:$H$40,"¿CAT?"),_xlpm.comb,_xlfn.XLOOKUP(UPPER(TRIM(G155)),UPPER(NPF!$A$4:$A$30),NPF!$B$4:$B$30,"¿COMB?"),_xlpm.txt,NPF!$V$4:$V$33,_xlpm.abr,NPF!$W$4:$W$33,_xlpm.modAbrev,_xlfn.REDUCE(UPPER(TRIM(E155)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5" s="22" t="str">
        <f t="shared" si="6"/>
        <v/>
      </c>
      <c r="N155" s="22" t="str">
        <f t="shared" si="7"/>
        <v/>
      </c>
    </row>
    <row r="156" spans="3:14" x14ac:dyDescent="0.25">
      <c r="C156" s="22" t="str">
        <f t="array" ref="C156">IF(E156="","",_xlfn.LET(_xlpm.modelo,UPPER(TRIM(E156)),_xlpm.comb,_xlfn.XLOOKUP(UPPER(TRIM(G156)),UPPER(NPF!$A$4:$A$30),NPF!$B$4:$B$30,"¿COMB?"),UPPER(TRIM(F156))&amp;" "&amp;_xlpm.modelo&amp;" "&amp;_xlpm.comb))</f>
        <v/>
      </c>
      <c r="D156" s="22" t="str" cm="1">
        <f t="array" ref="D156">IF(E156="","",_xlfn.LET(_xlpm.cat,_xlfn.XLOOKUP(UPPER(TRIM(F156)),UPPER(NPF!$G$4:$G$40),NPF!$H$4:$H$40,"¿CAT?"),_xlpm.comb,_xlfn.XLOOKUP(UPPER(TRIM(G156)),UPPER(NPF!$A$4:$A$30),NPF!$B$4:$B$30,"¿COMB?"),_xlpm.txt,NPF!$V$4:$V$33,_xlpm.abr,NPF!$W$4:$W$33,_xlpm.modAbrev,_xlfn.REDUCE(UPPER(TRIM(E156)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6" s="22" t="str">
        <f t="shared" si="6"/>
        <v/>
      </c>
      <c r="N156" s="22" t="str">
        <f t="shared" si="7"/>
        <v/>
      </c>
    </row>
    <row r="157" spans="3:14" x14ac:dyDescent="0.25">
      <c r="C157" s="22" t="str">
        <f t="array" ref="C157">IF(E157="","",_xlfn.LET(_xlpm.modelo,UPPER(TRIM(E157)),_xlpm.comb,_xlfn.XLOOKUP(UPPER(TRIM(G157)),UPPER(NPF!$A$4:$A$30),NPF!$B$4:$B$30,"¿COMB?"),UPPER(TRIM(F157))&amp;" "&amp;_xlpm.modelo&amp;" "&amp;_xlpm.comb))</f>
        <v/>
      </c>
      <c r="D157" s="22" t="str" cm="1">
        <f t="array" ref="D157">IF(E157="","",_xlfn.LET(_xlpm.cat,_xlfn.XLOOKUP(UPPER(TRIM(F157)),UPPER(NPF!$G$4:$G$40),NPF!$H$4:$H$40,"¿CAT?"),_xlpm.comb,_xlfn.XLOOKUP(UPPER(TRIM(G157)),UPPER(NPF!$A$4:$A$30),NPF!$B$4:$B$30,"¿COMB?"),_xlpm.txt,NPF!$V$4:$V$33,_xlpm.abr,NPF!$W$4:$W$33,_xlpm.modAbrev,_xlfn.REDUCE(UPPER(TRIM(E157)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7" s="22" t="str">
        <f t="shared" si="6"/>
        <v/>
      </c>
      <c r="N157" s="22" t="str">
        <f t="shared" si="7"/>
        <v/>
      </c>
    </row>
    <row r="158" spans="3:14" x14ac:dyDescent="0.25">
      <c r="C158" s="22" t="str">
        <f t="array" ref="C158">IF(E158="","",_xlfn.LET(_xlpm.modelo,UPPER(TRIM(E158)),_xlpm.comb,_xlfn.XLOOKUP(UPPER(TRIM(G158)),UPPER(NPF!$A$4:$A$30),NPF!$B$4:$B$30,"¿COMB?"),UPPER(TRIM(F158))&amp;" "&amp;_xlpm.modelo&amp;" "&amp;_xlpm.comb))</f>
        <v/>
      </c>
      <c r="D158" s="22" t="str" cm="1">
        <f t="array" ref="D158">IF(E158="","",_xlfn.LET(_xlpm.cat,_xlfn.XLOOKUP(UPPER(TRIM(F158)),UPPER(NPF!$G$4:$G$40),NPF!$H$4:$H$40,"¿CAT?"),_xlpm.comb,_xlfn.XLOOKUP(UPPER(TRIM(G158)),UPPER(NPF!$A$4:$A$30),NPF!$B$4:$B$30,"¿COMB?"),_xlpm.txt,NPF!$V$4:$V$33,_xlpm.abr,NPF!$W$4:$W$33,_xlpm.modAbrev,_xlfn.REDUCE(UPPER(TRIM(E158)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8" s="22" t="str">
        <f t="shared" si="6"/>
        <v/>
      </c>
      <c r="N158" s="22" t="str">
        <f t="shared" si="7"/>
        <v/>
      </c>
    </row>
    <row r="159" spans="3:14" x14ac:dyDescent="0.25">
      <c r="C159" s="22" t="str">
        <f t="array" ref="C159">IF(E159="","",_xlfn.LET(_xlpm.modelo,UPPER(TRIM(E159)),_xlpm.comb,_xlfn.XLOOKUP(UPPER(TRIM(G159)),UPPER(NPF!$A$4:$A$30),NPF!$B$4:$B$30,"¿COMB?"),UPPER(TRIM(F159))&amp;" "&amp;_xlpm.modelo&amp;" "&amp;_xlpm.comb))</f>
        <v/>
      </c>
      <c r="D159" s="22" t="str" cm="1">
        <f t="array" ref="D159">IF(E159="","",_xlfn.LET(_xlpm.cat,_xlfn.XLOOKUP(UPPER(TRIM(F159)),UPPER(NPF!$G$4:$G$40),NPF!$H$4:$H$40,"¿CAT?"),_xlpm.comb,_xlfn.XLOOKUP(UPPER(TRIM(G159)),UPPER(NPF!$A$4:$A$30),NPF!$B$4:$B$30,"¿COMB?"),_xlpm.txt,NPF!$V$4:$V$33,_xlpm.abr,NPF!$W$4:$W$33,_xlpm.modAbrev,_xlfn.REDUCE(UPPER(TRIM(E159)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59" s="22" t="str">
        <f t="shared" si="6"/>
        <v/>
      </c>
      <c r="N159" s="22" t="str">
        <f t="shared" si="7"/>
        <v/>
      </c>
    </row>
    <row r="160" spans="3:14" x14ac:dyDescent="0.25">
      <c r="C160" s="22" t="str">
        <f t="array" ref="C160">IF(E160="","",_xlfn.LET(_xlpm.modelo,UPPER(TRIM(E160)),_xlpm.comb,_xlfn.XLOOKUP(UPPER(TRIM(G160)),UPPER(NPF!$A$4:$A$30),NPF!$B$4:$B$30,"¿COMB?"),UPPER(TRIM(F160))&amp;" "&amp;_xlpm.modelo&amp;" "&amp;_xlpm.comb))</f>
        <v/>
      </c>
      <c r="D160" s="22" t="str" cm="1">
        <f t="array" ref="D160">IF(E160="","",_xlfn.LET(_xlpm.cat,_xlfn.XLOOKUP(UPPER(TRIM(F160)),UPPER(NPF!$G$4:$G$40),NPF!$H$4:$H$40,"¿CAT?"),_xlpm.comb,_xlfn.XLOOKUP(UPPER(TRIM(G160)),UPPER(NPF!$A$4:$A$30),NPF!$B$4:$B$30,"¿COMB?"),_xlpm.txt,NPF!$V$4:$V$33,_xlpm.abr,NPF!$W$4:$W$33,_xlpm.modAbrev,_xlfn.REDUCE(UPPER(TRIM(E160)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0" s="22" t="str">
        <f t="shared" si="6"/>
        <v/>
      </c>
      <c r="N160" s="22" t="str">
        <f t="shared" si="7"/>
        <v/>
      </c>
    </row>
    <row r="161" spans="3:14" x14ac:dyDescent="0.25">
      <c r="C161" s="22" t="str">
        <f t="array" ref="C161">IF(E161="","",_xlfn.LET(_xlpm.modelo,UPPER(TRIM(E161)),_xlpm.comb,_xlfn.XLOOKUP(UPPER(TRIM(G161)),UPPER(NPF!$A$4:$A$30),NPF!$B$4:$B$30,"¿COMB?"),UPPER(TRIM(F161))&amp;" "&amp;_xlpm.modelo&amp;" "&amp;_xlpm.comb))</f>
        <v/>
      </c>
      <c r="D161" s="22" t="str" cm="1">
        <f t="array" ref="D161">IF(E161="","",_xlfn.LET(_xlpm.cat,_xlfn.XLOOKUP(UPPER(TRIM(F161)),UPPER(NPF!$G$4:$G$40),NPF!$H$4:$H$40,"¿CAT?"),_xlpm.comb,_xlfn.XLOOKUP(UPPER(TRIM(G161)),UPPER(NPF!$A$4:$A$30),NPF!$B$4:$B$30,"¿COMB?"),_xlpm.txt,NPF!$V$4:$V$33,_xlpm.abr,NPF!$W$4:$W$33,_xlpm.modAbrev,_xlfn.REDUCE(UPPER(TRIM(E161)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1" s="22" t="str">
        <f t="shared" si="6"/>
        <v/>
      </c>
      <c r="N161" s="22" t="str">
        <f t="shared" si="7"/>
        <v/>
      </c>
    </row>
    <row r="162" spans="3:14" x14ac:dyDescent="0.25">
      <c r="C162" s="22" t="str">
        <f t="array" ref="C162">IF(E162="","",_xlfn.LET(_xlpm.modelo,UPPER(TRIM(E162)),_xlpm.comb,_xlfn.XLOOKUP(UPPER(TRIM(G162)),UPPER(NPF!$A$4:$A$30),NPF!$B$4:$B$30,"¿COMB?"),UPPER(TRIM(F162))&amp;" "&amp;_xlpm.modelo&amp;" "&amp;_xlpm.comb))</f>
        <v/>
      </c>
      <c r="D162" s="22" t="str" cm="1">
        <f t="array" ref="D162">IF(E162="","",_xlfn.LET(_xlpm.cat,_xlfn.XLOOKUP(UPPER(TRIM(F162)),UPPER(NPF!$G$4:$G$40),NPF!$H$4:$H$40,"¿CAT?"),_xlpm.comb,_xlfn.XLOOKUP(UPPER(TRIM(G162)),UPPER(NPF!$A$4:$A$30),NPF!$B$4:$B$30,"¿COMB?"),_xlpm.txt,NPF!$V$4:$V$33,_xlpm.abr,NPF!$W$4:$W$33,_xlpm.modAbrev,_xlfn.REDUCE(UPPER(TRIM(E162)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2" s="22" t="str">
        <f t="shared" si="6"/>
        <v/>
      </c>
      <c r="N162" s="22" t="str">
        <f t="shared" si="7"/>
        <v/>
      </c>
    </row>
    <row r="163" spans="3:14" x14ac:dyDescent="0.25">
      <c r="C163" s="22" t="str">
        <f t="array" ref="C163">IF(E163="","",_xlfn.LET(_xlpm.modelo,UPPER(TRIM(E163)),_xlpm.comb,_xlfn.XLOOKUP(UPPER(TRIM(G163)),UPPER(NPF!$A$4:$A$30),NPF!$B$4:$B$30,"¿COMB?"),UPPER(TRIM(F163))&amp;" "&amp;_xlpm.modelo&amp;" "&amp;_xlpm.comb))</f>
        <v/>
      </c>
      <c r="D163" s="22" t="str" cm="1">
        <f t="array" ref="D163">IF(E163="","",_xlfn.LET(_xlpm.cat,_xlfn.XLOOKUP(UPPER(TRIM(F163)),UPPER(NPF!$G$4:$G$40),NPF!$H$4:$H$40,"¿CAT?"),_xlpm.comb,_xlfn.XLOOKUP(UPPER(TRIM(G163)),UPPER(NPF!$A$4:$A$30),NPF!$B$4:$B$30,"¿COMB?"),_xlpm.txt,NPF!$V$4:$V$33,_xlpm.abr,NPF!$W$4:$W$33,_xlpm.modAbrev,_xlfn.REDUCE(UPPER(TRIM(E163)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3" s="22" t="str">
        <f t="shared" si="6"/>
        <v/>
      </c>
      <c r="N163" s="22" t="str">
        <f t="shared" si="7"/>
        <v/>
      </c>
    </row>
    <row r="164" spans="3:14" x14ac:dyDescent="0.25">
      <c r="C164" s="22" t="str">
        <f t="array" ref="C164">IF(E164="","",_xlfn.LET(_xlpm.modelo,UPPER(TRIM(E164)),_xlpm.comb,_xlfn.XLOOKUP(UPPER(TRIM(G164)),UPPER(NPF!$A$4:$A$30),NPF!$B$4:$B$30,"¿COMB?"),UPPER(TRIM(F164))&amp;" "&amp;_xlpm.modelo&amp;" "&amp;_xlpm.comb))</f>
        <v/>
      </c>
      <c r="D164" s="22" t="str" cm="1">
        <f t="array" ref="D164">IF(E164="","",_xlfn.LET(_xlpm.cat,_xlfn.XLOOKUP(UPPER(TRIM(F164)),UPPER(NPF!$G$4:$G$40),NPF!$H$4:$H$40,"¿CAT?"),_xlpm.comb,_xlfn.XLOOKUP(UPPER(TRIM(G164)),UPPER(NPF!$A$4:$A$30),NPF!$B$4:$B$30,"¿COMB?"),_xlpm.txt,NPF!$V$4:$V$33,_xlpm.abr,NPF!$W$4:$W$33,_xlpm.modAbrev,_xlfn.REDUCE(UPPER(TRIM(E164)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4" s="22" t="str">
        <f t="shared" si="6"/>
        <v/>
      </c>
      <c r="N164" s="22" t="str">
        <f t="shared" si="7"/>
        <v/>
      </c>
    </row>
    <row r="165" spans="3:14" x14ac:dyDescent="0.25">
      <c r="C165" s="22" t="str">
        <f t="array" ref="C165">IF(E165="","",_xlfn.LET(_xlpm.modelo,UPPER(TRIM(E165)),_xlpm.comb,_xlfn.XLOOKUP(UPPER(TRIM(G165)),UPPER(NPF!$A$4:$A$30),NPF!$B$4:$B$30,"¿COMB?"),UPPER(TRIM(F165))&amp;" "&amp;_xlpm.modelo&amp;" "&amp;_xlpm.comb))</f>
        <v/>
      </c>
      <c r="D165" s="22" t="str" cm="1">
        <f t="array" ref="D165">IF(E165="","",_xlfn.LET(_xlpm.cat,_xlfn.XLOOKUP(UPPER(TRIM(F165)),UPPER(NPF!$G$4:$G$40),NPF!$H$4:$H$40,"¿CAT?"),_xlpm.comb,_xlfn.XLOOKUP(UPPER(TRIM(G165)),UPPER(NPF!$A$4:$A$30),NPF!$B$4:$B$30,"¿COMB?"),_xlpm.txt,NPF!$V$4:$V$33,_xlpm.abr,NPF!$W$4:$W$33,_xlpm.modAbrev,_xlfn.REDUCE(UPPER(TRIM(E165)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5" s="22" t="str">
        <f t="shared" si="6"/>
        <v/>
      </c>
      <c r="N165" s="22" t="str">
        <f t="shared" si="7"/>
        <v/>
      </c>
    </row>
    <row r="166" spans="3:14" x14ac:dyDescent="0.25">
      <c r="C166" s="22" t="str">
        <f t="array" ref="C166">IF(E166="","",_xlfn.LET(_xlpm.modelo,UPPER(TRIM(E166)),_xlpm.comb,_xlfn.XLOOKUP(UPPER(TRIM(G166)),UPPER(NPF!$A$4:$A$30),NPF!$B$4:$B$30,"¿COMB?"),UPPER(TRIM(F166))&amp;" "&amp;_xlpm.modelo&amp;" "&amp;_xlpm.comb))</f>
        <v/>
      </c>
      <c r="D166" s="22" t="str" cm="1">
        <f t="array" ref="D166">IF(E166="","",_xlfn.LET(_xlpm.cat,_xlfn.XLOOKUP(UPPER(TRIM(F166)),UPPER(NPF!$G$4:$G$40),NPF!$H$4:$H$40,"¿CAT?"),_xlpm.comb,_xlfn.XLOOKUP(UPPER(TRIM(G166)),UPPER(NPF!$A$4:$A$30),NPF!$B$4:$B$30,"¿COMB?"),_xlpm.txt,NPF!$V$4:$V$33,_xlpm.abr,NPF!$W$4:$W$33,_xlpm.modAbrev,_xlfn.REDUCE(UPPER(TRIM(E166)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6" s="22" t="str">
        <f t="shared" si="6"/>
        <v/>
      </c>
      <c r="N166" s="22" t="str">
        <f t="shared" si="7"/>
        <v/>
      </c>
    </row>
    <row r="167" spans="3:14" x14ac:dyDescent="0.25">
      <c r="C167" s="22" t="str">
        <f t="array" ref="C167">IF(E167="","",_xlfn.LET(_xlpm.modelo,UPPER(TRIM(E167)),_xlpm.comb,_xlfn.XLOOKUP(UPPER(TRIM(G167)),UPPER(NPF!$A$4:$A$30),NPF!$B$4:$B$30,"¿COMB?"),UPPER(TRIM(F167))&amp;" "&amp;_xlpm.modelo&amp;" "&amp;_xlpm.comb))</f>
        <v/>
      </c>
      <c r="D167" s="22" t="str" cm="1">
        <f t="array" ref="D167">IF(E167="","",_xlfn.LET(_xlpm.cat,_xlfn.XLOOKUP(UPPER(TRIM(F167)),UPPER(NPF!$G$4:$G$40),NPF!$H$4:$H$40,"¿CAT?"),_xlpm.comb,_xlfn.XLOOKUP(UPPER(TRIM(G167)),UPPER(NPF!$A$4:$A$30),NPF!$B$4:$B$30,"¿COMB?"),_xlpm.txt,NPF!$V$4:$V$33,_xlpm.abr,NPF!$W$4:$W$33,_xlpm.modAbrev,_xlfn.REDUCE(UPPER(TRIM(E167)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7" s="22" t="str">
        <f t="shared" si="6"/>
        <v/>
      </c>
      <c r="N167" s="22" t="str">
        <f t="shared" si="7"/>
        <v/>
      </c>
    </row>
    <row r="168" spans="3:14" x14ac:dyDescent="0.25">
      <c r="C168" s="22" t="str">
        <f t="array" ref="C168">IF(E168="","",_xlfn.LET(_xlpm.modelo,UPPER(TRIM(E168)),_xlpm.comb,_xlfn.XLOOKUP(UPPER(TRIM(G168)),UPPER(NPF!$A$4:$A$30),NPF!$B$4:$B$30,"¿COMB?"),UPPER(TRIM(F168))&amp;" "&amp;_xlpm.modelo&amp;" "&amp;_xlpm.comb))</f>
        <v/>
      </c>
      <c r="D168" s="22" t="str" cm="1">
        <f t="array" ref="D168">IF(E168="","",_xlfn.LET(_xlpm.cat,_xlfn.XLOOKUP(UPPER(TRIM(F168)),UPPER(NPF!$G$4:$G$40),NPF!$H$4:$H$40,"¿CAT?"),_xlpm.comb,_xlfn.XLOOKUP(UPPER(TRIM(G168)),UPPER(NPF!$A$4:$A$30),NPF!$B$4:$B$30,"¿COMB?"),_xlpm.txt,NPF!$V$4:$V$33,_xlpm.abr,NPF!$W$4:$W$33,_xlpm.modAbrev,_xlfn.REDUCE(UPPER(TRIM(E168)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8" s="22" t="str">
        <f t="shared" si="6"/>
        <v/>
      </c>
      <c r="N168" s="22" t="str">
        <f t="shared" si="7"/>
        <v/>
      </c>
    </row>
    <row r="169" spans="3:14" x14ac:dyDescent="0.25">
      <c r="C169" s="22" t="str">
        <f t="array" ref="C169">IF(E169="","",_xlfn.LET(_xlpm.modelo,UPPER(TRIM(E169)),_xlpm.comb,_xlfn.XLOOKUP(UPPER(TRIM(G169)),UPPER(NPF!$A$4:$A$30),NPF!$B$4:$B$30,"¿COMB?"),UPPER(TRIM(F169))&amp;" "&amp;_xlpm.modelo&amp;" "&amp;_xlpm.comb))</f>
        <v/>
      </c>
      <c r="D169" s="22" t="str" cm="1">
        <f t="array" ref="D169">IF(E169="","",_xlfn.LET(_xlpm.cat,_xlfn.XLOOKUP(UPPER(TRIM(F169)),UPPER(NPF!$G$4:$G$40),NPF!$H$4:$H$40,"¿CAT?"),_xlpm.comb,_xlfn.XLOOKUP(UPPER(TRIM(G169)),UPPER(NPF!$A$4:$A$30),NPF!$B$4:$B$30,"¿COMB?"),_xlpm.txt,NPF!$V$4:$V$33,_xlpm.abr,NPF!$W$4:$W$33,_xlpm.modAbrev,_xlfn.REDUCE(UPPER(TRIM(E169)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69" s="22" t="str">
        <f t="shared" si="6"/>
        <v/>
      </c>
      <c r="N169" s="22" t="str">
        <f t="shared" si="7"/>
        <v/>
      </c>
    </row>
    <row r="170" spans="3:14" x14ac:dyDescent="0.25">
      <c r="C170" s="22" t="str">
        <f t="array" ref="C170">IF(E170="","",_xlfn.LET(_xlpm.modelo,UPPER(TRIM(E170)),_xlpm.comb,_xlfn.XLOOKUP(UPPER(TRIM(G170)),UPPER(NPF!$A$4:$A$30),NPF!$B$4:$B$30,"¿COMB?"),UPPER(TRIM(F170))&amp;" "&amp;_xlpm.modelo&amp;" "&amp;_xlpm.comb))</f>
        <v/>
      </c>
      <c r="D170" s="22" t="str" cm="1">
        <f t="array" ref="D170">IF(E170="","",_xlfn.LET(_xlpm.cat,_xlfn.XLOOKUP(UPPER(TRIM(F170)),UPPER(NPF!$G$4:$G$40),NPF!$H$4:$H$40,"¿CAT?"),_xlpm.comb,_xlfn.XLOOKUP(UPPER(TRIM(G170)),UPPER(NPF!$A$4:$A$30),NPF!$B$4:$B$30,"¿COMB?"),_xlpm.txt,NPF!$V$4:$V$33,_xlpm.abr,NPF!$W$4:$W$33,_xlpm.modAbrev,_xlfn.REDUCE(UPPER(TRIM(E170)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0" s="22" t="str">
        <f t="shared" si="6"/>
        <v/>
      </c>
      <c r="N170" s="22" t="str">
        <f t="shared" si="7"/>
        <v/>
      </c>
    </row>
    <row r="171" spans="3:14" x14ac:dyDescent="0.25">
      <c r="C171" s="22" t="str">
        <f t="array" ref="C171">IF(E171="","",_xlfn.LET(_xlpm.modelo,UPPER(TRIM(E171)),_xlpm.comb,_xlfn.XLOOKUP(UPPER(TRIM(G171)),UPPER(NPF!$A$4:$A$30),NPF!$B$4:$B$30,"¿COMB?"),UPPER(TRIM(F171))&amp;" "&amp;_xlpm.modelo&amp;" "&amp;_xlpm.comb))</f>
        <v/>
      </c>
      <c r="D171" s="22" t="str" cm="1">
        <f t="array" ref="D171">IF(E171="","",_xlfn.LET(_xlpm.cat,_xlfn.XLOOKUP(UPPER(TRIM(F171)),UPPER(NPF!$G$4:$G$40),NPF!$H$4:$H$40,"¿CAT?"),_xlpm.comb,_xlfn.XLOOKUP(UPPER(TRIM(G171)),UPPER(NPF!$A$4:$A$30),NPF!$B$4:$B$30,"¿COMB?"),_xlpm.txt,NPF!$V$4:$V$33,_xlpm.abr,NPF!$W$4:$W$33,_xlpm.modAbrev,_xlfn.REDUCE(UPPER(TRIM(E171)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1" s="22" t="str">
        <f t="shared" si="6"/>
        <v/>
      </c>
      <c r="N171" s="22" t="str">
        <f t="shared" si="7"/>
        <v/>
      </c>
    </row>
    <row r="172" spans="3:14" x14ac:dyDescent="0.25">
      <c r="C172" s="22" t="str">
        <f t="array" ref="C172">IF(E172="","",_xlfn.LET(_xlpm.modelo,UPPER(TRIM(E172)),_xlpm.comb,_xlfn.XLOOKUP(UPPER(TRIM(G172)),UPPER(NPF!$A$4:$A$30),NPF!$B$4:$B$30,"¿COMB?"),UPPER(TRIM(F172))&amp;" "&amp;_xlpm.modelo&amp;" "&amp;_xlpm.comb))</f>
        <v/>
      </c>
      <c r="D172" s="22" t="str" cm="1">
        <f t="array" ref="D172">IF(E172="","",_xlfn.LET(_xlpm.cat,_xlfn.XLOOKUP(UPPER(TRIM(F172)),UPPER(NPF!$G$4:$G$40),NPF!$H$4:$H$40,"¿CAT?"),_xlpm.comb,_xlfn.XLOOKUP(UPPER(TRIM(G172)),UPPER(NPF!$A$4:$A$30),NPF!$B$4:$B$30,"¿COMB?"),_xlpm.txt,NPF!$V$4:$V$33,_xlpm.abr,NPF!$W$4:$W$33,_xlpm.modAbrev,_xlfn.REDUCE(UPPER(TRIM(E172)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2" s="22" t="str">
        <f t="shared" si="6"/>
        <v/>
      </c>
      <c r="N172" s="22" t="str">
        <f t="shared" si="7"/>
        <v/>
      </c>
    </row>
    <row r="173" spans="3:14" x14ac:dyDescent="0.25">
      <c r="C173" s="22" t="str">
        <f t="array" ref="C173">IF(E173="","",_xlfn.LET(_xlpm.modelo,UPPER(TRIM(E173)),_xlpm.comb,_xlfn.XLOOKUP(UPPER(TRIM(G173)),UPPER(NPF!$A$4:$A$30),NPF!$B$4:$B$30,"¿COMB?"),UPPER(TRIM(F173))&amp;" "&amp;_xlpm.modelo&amp;" "&amp;_xlpm.comb))</f>
        <v/>
      </c>
      <c r="D173" s="22" t="str" cm="1">
        <f t="array" ref="D173">IF(E173="","",_xlfn.LET(_xlpm.cat,_xlfn.XLOOKUP(UPPER(TRIM(F173)),UPPER(NPF!$G$4:$G$40),NPF!$H$4:$H$40,"¿CAT?"),_xlpm.comb,_xlfn.XLOOKUP(UPPER(TRIM(G173)),UPPER(NPF!$A$4:$A$30),NPF!$B$4:$B$30,"¿COMB?"),_xlpm.txt,NPF!$V$4:$V$33,_xlpm.abr,NPF!$W$4:$W$33,_xlpm.modAbrev,_xlfn.REDUCE(UPPER(TRIM(E173)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3" s="22" t="str">
        <f t="shared" si="6"/>
        <v/>
      </c>
      <c r="N173" s="22" t="str">
        <f t="shared" si="7"/>
        <v/>
      </c>
    </row>
    <row r="174" spans="3:14" x14ac:dyDescent="0.25">
      <c r="C174" s="22" t="str">
        <f t="array" ref="C174">IF(E174="","",_xlfn.LET(_xlpm.modelo,UPPER(TRIM(E174)),_xlpm.comb,_xlfn.XLOOKUP(UPPER(TRIM(G174)),UPPER(NPF!$A$4:$A$30),NPF!$B$4:$B$30,"¿COMB?"),UPPER(TRIM(F174))&amp;" "&amp;_xlpm.modelo&amp;" "&amp;_xlpm.comb))</f>
        <v/>
      </c>
      <c r="D174" s="22" t="str" cm="1">
        <f t="array" ref="D174">IF(E174="","",_xlfn.LET(_xlpm.cat,_xlfn.XLOOKUP(UPPER(TRIM(F174)),UPPER(NPF!$G$4:$G$40),NPF!$H$4:$H$40,"¿CAT?"),_xlpm.comb,_xlfn.XLOOKUP(UPPER(TRIM(G174)),UPPER(NPF!$A$4:$A$30),NPF!$B$4:$B$30,"¿COMB?"),_xlpm.txt,NPF!$V$4:$V$33,_xlpm.abr,NPF!$W$4:$W$33,_xlpm.modAbrev,_xlfn.REDUCE(UPPER(TRIM(E174)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4" s="22" t="str">
        <f t="shared" si="6"/>
        <v/>
      </c>
      <c r="N174" s="22" t="str">
        <f t="shared" si="7"/>
        <v/>
      </c>
    </row>
    <row r="175" spans="3:14" x14ac:dyDescent="0.25">
      <c r="C175" s="22" t="str">
        <f t="array" ref="C175">IF(E175="","",_xlfn.LET(_xlpm.modelo,UPPER(TRIM(E175)),_xlpm.comb,_xlfn.XLOOKUP(UPPER(TRIM(G175)),UPPER(NPF!$A$4:$A$30),NPF!$B$4:$B$30,"¿COMB?"),UPPER(TRIM(F175))&amp;" "&amp;_xlpm.modelo&amp;" "&amp;_xlpm.comb))</f>
        <v/>
      </c>
      <c r="D175" s="22" t="str" cm="1">
        <f t="array" ref="D175">IF(E175="","",_xlfn.LET(_xlpm.cat,_xlfn.XLOOKUP(UPPER(TRIM(F175)),UPPER(NPF!$G$4:$G$40),NPF!$H$4:$H$40,"¿CAT?"),_xlpm.comb,_xlfn.XLOOKUP(UPPER(TRIM(G175)),UPPER(NPF!$A$4:$A$30),NPF!$B$4:$B$30,"¿COMB?"),_xlpm.txt,NPF!$V$4:$V$33,_xlpm.abr,NPF!$W$4:$W$33,_xlpm.modAbrev,_xlfn.REDUCE(UPPER(TRIM(E175)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5" s="22" t="str">
        <f t="shared" si="6"/>
        <v/>
      </c>
      <c r="N175" s="22" t="str">
        <f t="shared" si="7"/>
        <v/>
      </c>
    </row>
    <row r="176" spans="3:14" x14ac:dyDescent="0.25">
      <c r="C176" s="22" t="str">
        <f t="array" ref="C176">IF(E176="","",_xlfn.LET(_xlpm.modelo,UPPER(TRIM(E176)),_xlpm.comb,_xlfn.XLOOKUP(UPPER(TRIM(G176)),UPPER(NPF!$A$4:$A$30),NPF!$B$4:$B$30,"¿COMB?"),UPPER(TRIM(F176))&amp;" "&amp;_xlpm.modelo&amp;" "&amp;_xlpm.comb))</f>
        <v/>
      </c>
      <c r="D176" s="22" t="str" cm="1">
        <f t="array" ref="D176">IF(E176="","",_xlfn.LET(_xlpm.cat,_xlfn.XLOOKUP(UPPER(TRIM(F176)),UPPER(NPF!$G$4:$G$40),NPF!$H$4:$H$40,"¿CAT?"),_xlpm.comb,_xlfn.XLOOKUP(UPPER(TRIM(G176)),UPPER(NPF!$A$4:$A$30),NPF!$B$4:$B$30,"¿COMB?"),_xlpm.txt,NPF!$V$4:$V$33,_xlpm.abr,NPF!$W$4:$W$33,_xlpm.modAbrev,_xlfn.REDUCE(UPPER(TRIM(E176)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6" s="22" t="str">
        <f t="shared" si="6"/>
        <v/>
      </c>
      <c r="N176" s="22" t="str">
        <f t="shared" si="7"/>
        <v/>
      </c>
    </row>
    <row r="177" spans="3:14" x14ac:dyDescent="0.25">
      <c r="C177" s="22" t="str">
        <f t="array" ref="C177">IF(E177="","",_xlfn.LET(_xlpm.modelo,UPPER(TRIM(E177)),_xlpm.comb,_xlfn.XLOOKUP(UPPER(TRIM(G177)),UPPER(NPF!$A$4:$A$30),NPF!$B$4:$B$30,"¿COMB?"),UPPER(TRIM(F177))&amp;" "&amp;_xlpm.modelo&amp;" "&amp;_xlpm.comb))</f>
        <v/>
      </c>
      <c r="D177" s="22" t="str" cm="1">
        <f t="array" ref="D177">IF(E177="","",_xlfn.LET(_xlpm.cat,_xlfn.XLOOKUP(UPPER(TRIM(F177)),UPPER(NPF!$G$4:$G$40),NPF!$H$4:$H$40,"¿CAT?"),_xlpm.comb,_xlfn.XLOOKUP(UPPER(TRIM(G177)),UPPER(NPF!$A$4:$A$30),NPF!$B$4:$B$30,"¿COMB?"),_xlpm.txt,NPF!$V$4:$V$33,_xlpm.abr,NPF!$W$4:$W$33,_xlpm.modAbrev,_xlfn.REDUCE(UPPER(TRIM(E177)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7" s="22" t="str">
        <f t="shared" si="6"/>
        <v/>
      </c>
      <c r="N177" s="22" t="str">
        <f t="shared" si="7"/>
        <v/>
      </c>
    </row>
    <row r="178" spans="3:14" x14ac:dyDescent="0.25">
      <c r="C178" s="22" t="str">
        <f t="array" ref="C178">IF(E178="","",_xlfn.LET(_xlpm.modelo,UPPER(TRIM(E178)),_xlpm.comb,_xlfn.XLOOKUP(UPPER(TRIM(G178)),UPPER(NPF!$A$4:$A$30),NPF!$B$4:$B$30,"¿COMB?"),UPPER(TRIM(F178))&amp;" "&amp;_xlpm.modelo&amp;" "&amp;_xlpm.comb))</f>
        <v/>
      </c>
      <c r="D178" s="22" t="str" cm="1">
        <f t="array" ref="D178">IF(E178="","",_xlfn.LET(_xlpm.cat,_xlfn.XLOOKUP(UPPER(TRIM(F178)),UPPER(NPF!$G$4:$G$40),NPF!$H$4:$H$40,"¿CAT?"),_xlpm.comb,_xlfn.XLOOKUP(UPPER(TRIM(G178)),UPPER(NPF!$A$4:$A$30),NPF!$B$4:$B$30,"¿COMB?"),_xlpm.txt,NPF!$V$4:$V$33,_xlpm.abr,NPF!$W$4:$W$33,_xlpm.modAbrev,_xlfn.REDUCE(UPPER(TRIM(E178)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8" s="22" t="str">
        <f t="shared" si="6"/>
        <v/>
      </c>
      <c r="N178" s="22" t="str">
        <f t="shared" si="7"/>
        <v/>
      </c>
    </row>
    <row r="179" spans="3:14" x14ac:dyDescent="0.25">
      <c r="C179" s="22" t="str">
        <f t="array" ref="C179">IF(E179="","",_xlfn.LET(_xlpm.modelo,UPPER(TRIM(E179)),_xlpm.comb,_xlfn.XLOOKUP(UPPER(TRIM(G179)),UPPER(NPF!$A$4:$A$30),NPF!$B$4:$B$30,"¿COMB?"),UPPER(TRIM(F179))&amp;" "&amp;_xlpm.modelo&amp;" "&amp;_xlpm.comb))</f>
        <v/>
      </c>
      <c r="D179" s="22" t="str" cm="1">
        <f t="array" ref="D179">IF(E179="","",_xlfn.LET(_xlpm.cat,_xlfn.XLOOKUP(UPPER(TRIM(F179)),UPPER(NPF!$G$4:$G$40),NPF!$H$4:$H$40,"¿CAT?"),_xlpm.comb,_xlfn.XLOOKUP(UPPER(TRIM(G179)),UPPER(NPF!$A$4:$A$30),NPF!$B$4:$B$30,"¿COMB?"),_xlpm.txt,NPF!$V$4:$V$33,_xlpm.abr,NPF!$W$4:$W$33,_xlpm.modAbrev,_xlfn.REDUCE(UPPER(TRIM(E179)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79" s="22" t="str">
        <f t="shared" si="6"/>
        <v/>
      </c>
      <c r="N179" s="22" t="str">
        <f t="shared" si="7"/>
        <v/>
      </c>
    </row>
    <row r="180" spans="3:14" x14ac:dyDescent="0.25">
      <c r="C180" s="22" t="str">
        <f t="array" ref="C180">IF(E180="","",_xlfn.LET(_xlpm.modelo,UPPER(TRIM(E180)),_xlpm.comb,_xlfn.XLOOKUP(UPPER(TRIM(G180)),UPPER(NPF!$A$4:$A$30),NPF!$B$4:$B$30,"¿COMB?"),UPPER(TRIM(F180))&amp;" "&amp;_xlpm.modelo&amp;" "&amp;_xlpm.comb))</f>
        <v/>
      </c>
      <c r="D180" s="22" t="str" cm="1">
        <f t="array" ref="D180">IF(E180="","",_xlfn.LET(_xlpm.cat,_xlfn.XLOOKUP(UPPER(TRIM(F180)),UPPER(NPF!$G$4:$G$40),NPF!$H$4:$H$40,"¿CAT?"),_xlpm.comb,_xlfn.XLOOKUP(UPPER(TRIM(G180)),UPPER(NPF!$A$4:$A$30),NPF!$B$4:$B$30,"¿COMB?"),_xlpm.txt,NPF!$V$4:$V$33,_xlpm.abr,NPF!$W$4:$W$33,_xlpm.modAbrev,_xlfn.REDUCE(UPPER(TRIM(E180)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0" s="22" t="str">
        <f t="shared" si="6"/>
        <v/>
      </c>
      <c r="N180" s="22" t="str">
        <f t="shared" si="7"/>
        <v/>
      </c>
    </row>
    <row r="181" spans="3:14" x14ac:dyDescent="0.25">
      <c r="C181" s="22" t="str">
        <f t="array" ref="C181">IF(E181="","",_xlfn.LET(_xlpm.modelo,UPPER(TRIM(E181)),_xlpm.comb,_xlfn.XLOOKUP(UPPER(TRIM(G181)),UPPER(NPF!$A$4:$A$30),NPF!$B$4:$B$30,"¿COMB?"),UPPER(TRIM(F181))&amp;" "&amp;_xlpm.modelo&amp;" "&amp;_xlpm.comb))</f>
        <v/>
      </c>
      <c r="D181" s="22" t="str" cm="1">
        <f t="array" ref="D181">IF(E181="","",_xlfn.LET(_xlpm.cat,_xlfn.XLOOKUP(UPPER(TRIM(F181)),UPPER(NPF!$G$4:$G$40),NPF!$H$4:$H$40,"¿CAT?"),_xlpm.comb,_xlfn.XLOOKUP(UPPER(TRIM(G181)),UPPER(NPF!$A$4:$A$30),NPF!$B$4:$B$30,"¿COMB?"),_xlpm.txt,NPF!$V$4:$V$33,_xlpm.abr,NPF!$W$4:$W$33,_xlpm.modAbrev,_xlfn.REDUCE(UPPER(TRIM(E181)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1" s="22" t="str">
        <f t="shared" si="6"/>
        <v/>
      </c>
      <c r="N181" s="22" t="str">
        <f t="shared" si="7"/>
        <v/>
      </c>
    </row>
    <row r="182" spans="3:14" x14ac:dyDescent="0.25">
      <c r="C182" s="22" t="str">
        <f t="array" ref="C182">IF(E182="","",_xlfn.LET(_xlpm.modelo,UPPER(TRIM(E182)),_xlpm.comb,_xlfn.XLOOKUP(UPPER(TRIM(G182)),UPPER(NPF!$A$4:$A$30),NPF!$B$4:$B$30,"¿COMB?"),UPPER(TRIM(F182))&amp;" "&amp;_xlpm.modelo&amp;" "&amp;_xlpm.comb))</f>
        <v/>
      </c>
      <c r="D182" s="22" t="str" cm="1">
        <f t="array" ref="D182">IF(E182="","",_xlfn.LET(_xlpm.cat,_xlfn.XLOOKUP(UPPER(TRIM(F182)),UPPER(NPF!$G$4:$G$40),NPF!$H$4:$H$40,"¿CAT?"),_xlpm.comb,_xlfn.XLOOKUP(UPPER(TRIM(G182)),UPPER(NPF!$A$4:$A$30),NPF!$B$4:$B$30,"¿COMB?"),_xlpm.txt,NPF!$V$4:$V$33,_xlpm.abr,NPF!$W$4:$W$33,_xlpm.modAbrev,_xlfn.REDUCE(UPPER(TRIM(E182)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2" s="22" t="str">
        <f t="shared" si="6"/>
        <v/>
      </c>
      <c r="N182" s="22" t="str">
        <f t="shared" si="7"/>
        <v/>
      </c>
    </row>
    <row r="183" spans="3:14" x14ac:dyDescent="0.25">
      <c r="C183" s="22" t="str">
        <f t="array" ref="C183">IF(E183="","",_xlfn.LET(_xlpm.modelo,UPPER(TRIM(E183)),_xlpm.comb,_xlfn.XLOOKUP(UPPER(TRIM(G183)),UPPER(NPF!$A$4:$A$30),NPF!$B$4:$B$30,"¿COMB?"),UPPER(TRIM(F183))&amp;" "&amp;_xlpm.modelo&amp;" "&amp;_xlpm.comb))</f>
        <v/>
      </c>
      <c r="D183" s="22" t="str" cm="1">
        <f t="array" ref="D183">IF(E183="","",_xlfn.LET(_xlpm.cat,_xlfn.XLOOKUP(UPPER(TRIM(F183)),UPPER(NPF!$G$4:$G$40),NPF!$H$4:$H$40,"¿CAT?"),_xlpm.comb,_xlfn.XLOOKUP(UPPER(TRIM(G183)),UPPER(NPF!$A$4:$A$30),NPF!$B$4:$B$30,"¿COMB?"),_xlpm.txt,NPF!$V$4:$V$33,_xlpm.abr,NPF!$W$4:$W$33,_xlpm.modAbrev,_xlfn.REDUCE(UPPER(TRIM(E183)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3" s="22" t="str">
        <f t="shared" si="6"/>
        <v/>
      </c>
      <c r="N183" s="22" t="str">
        <f t="shared" si="7"/>
        <v/>
      </c>
    </row>
    <row r="184" spans="3:14" x14ac:dyDescent="0.25">
      <c r="C184" s="22" t="str">
        <f t="array" ref="C184">IF(E184="","",_xlfn.LET(_xlpm.modelo,UPPER(TRIM(E184)),_xlpm.comb,_xlfn.XLOOKUP(UPPER(TRIM(G184)),UPPER(NPF!$A$4:$A$30),NPF!$B$4:$B$30,"¿COMB?"),UPPER(TRIM(F184))&amp;" "&amp;_xlpm.modelo&amp;" "&amp;_xlpm.comb))</f>
        <v/>
      </c>
      <c r="D184" s="22" t="str" cm="1">
        <f t="array" ref="D184">IF(E184="","",_xlfn.LET(_xlpm.cat,_xlfn.XLOOKUP(UPPER(TRIM(F184)),UPPER(NPF!$G$4:$G$40),NPF!$H$4:$H$40,"¿CAT?"),_xlpm.comb,_xlfn.XLOOKUP(UPPER(TRIM(G184)),UPPER(NPF!$A$4:$A$30),NPF!$B$4:$B$30,"¿COMB?"),_xlpm.txt,NPF!$V$4:$V$33,_xlpm.abr,NPF!$W$4:$W$33,_xlpm.modAbrev,_xlfn.REDUCE(UPPER(TRIM(E184)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4" s="22" t="str">
        <f t="shared" si="6"/>
        <v/>
      </c>
      <c r="N184" s="22" t="str">
        <f t="shared" si="7"/>
        <v/>
      </c>
    </row>
    <row r="185" spans="3:14" x14ac:dyDescent="0.25">
      <c r="C185" s="22" t="str">
        <f t="array" ref="C185">IF(E185="","",_xlfn.LET(_xlpm.modelo,UPPER(TRIM(E185)),_xlpm.comb,_xlfn.XLOOKUP(UPPER(TRIM(G185)),UPPER(NPF!$A$4:$A$30),NPF!$B$4:$B$30,"¿COMB?"),UPPER(TRIM(F185))&amp;" "&amp;_xlpm.modelo&amp;" "&amp;_xlpm.comb))</f>
        <v/>
      </c>
      <c r="D185" s="22" t="str" cm="1">
        <f t="array" ref="D185">IF(E185="","",_xlfn.LET(_xlpm.cat,_xlfn.XLOOKUP(UPPER(TRIM(F185)),UPPER(NPF!$G$4:$G$40),NPF!$H$4:$H$40,"¿CAT?"),_xlpm.comb,_xlfn.XLOOKUP(UPPER(TRIM(G185)),UPPER(NPF!$A$4:$A$30),NPF!$B$4:$B$30,"¿COMB?"),_xlpm.txt,NPF!$V$4:$V$33,_xlpm.abr,NPF!$W$4:$W$33,_xlpm.modAbrev,_xlfn.REDUCE(UPPER(TRIM(E185)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5" s="22" t="str">
        <f t="shared" si="6"/>
        <v/>
      </c>
      <c r="N185" s="22" t="str">
        <f t="shared" si="7"/>
        <v/>
      </c>
    </row>
    <row r="186" spans="3:14" x14ac:dyDescent="0.25">
      <c r="C186" s="22" t="str">
        <f t="array" ref="C186">IF(E186="","",_xlfn.LET(_xlpm.modelo,UPPER(TRIM(E186)),_xlpm.comb,_xlfn.XLOOKUP(UPPER(TRIM(G186)),UPPER(NPF!$A$4:$A$30),NPF!$B$4:$B$30,"¿COMB?"),UPPER(TRIM(F186))&amp;" "&amp;_xlpm.modelo&amp;" "&amp;_xlpm.comb))</f>
        <v/>
      </c>
      <c r="D186" s="22" t="str" cm="1">
        <f t="array" ref="D186">IF(E186="","",_xlfn.LET(_xlpm.cat,_xlfn.XLOOKUP(UPPER(TRIM(F186)),UPPER(NPF!$G$4:$G$40),NPF!$H$4:$H$40,"¿CAT?"),_xlpm.comb,_xlfn.XLOOKUP(UPPER(TRIM(G186)),UPPER(NPF!$A$4:$A$30),NPF!$B$4:$B$30,"¿COMB?"),_xlpm.txt,NPF!$V$4:$V$33,_xlpm.abr,NPF!$W$4:$W$33,_xlpm.modAbrev,_xlfn.REDUCE(UPPER(TRIM(E186)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6" s="22" t="str">
        <f t="shared" si="6"/>
        <v/>
      </c>
      <c r="N186" s="22" t="str">
        <f t="shared" si="7"/>
        <v/>
      </c>
    </row>
    <row r="187" spans="3:14" x14ac:dyDescent="0.25">
      <c r="C187" s="22" t="str">
        <f t="array" ref="C187">IF(E187="","",_xlfn.LET(_xlpm.modelo,UPPER(TRIM(E187)),_xlpm.comb,_xlfn.XLOOKUP(UPPER(TRIM(G187)),UPPER(NPF!$A$4:$A$30),NPF!$B$4:$B$30,"¿COMB?"),UPPER(TRIM(F187))&amp;" "&amp;_xlpm.modelo&amp;" "&amp;_xlpm.comb))</f>
        <v/>
      </c>
      <c r="D187" s="22" t="str" cm="1">
        <f t="array" ref="D187">IF(E187="","",_xlfn.LET(_xlpm.cat,_xlfn.XLOOKUP(UPPER(TRIM(F187)),UPPER(NPF!$G$4:$G$40),NPF!$H$4:$H$40,"¿CAT?"),_xlpm.comb,_xlfn.XLOOKUP(UPPER(TRIM(G187)),UPPER(NPF!$A$4:$A$30),NPF!$B$4:$B$30,"¿COMB?"),_xlpm.txt,NPF!$V$4:$V$33,_xlpm.abr,NPF!$W$4:$W$33,_xlpm.modAbrev,_xlfn.REDUCE(UPPER(TRIM(E187)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7" s="22" t="str">
        <f t="shared" si="6"/>
        <v/>
      </c>
      <c r="N187" s="22" t="str">
        <f t="shared" si="7"/>
        <v/>
      </c>
    </row>
    <row r="188" spans="3:14" x14ac:dyDescent="0.25">
      <c r="C188" s="22" t="str">
        <f t="array" ref="C188">IF(E188="","",_xlfn.LET(_xlpm.modelo,UPPER(TRIM(E188)),_xlpm.comb,_xlfn.XLOOKUP(UPPER(TRIM(G188)),UPPER(NPF!$A$4:$A$30),NPF!$B$4:$B$30,"¿COMB?"),UPPER(TRIM(F188))&amp;" "&amp;_xlpm.modelo&amp;" "&amp;_xlpm.comb))</f>
        <v/>
      </c>
      <c r="D188" s="22" t="str" cm="1">
        <f t="array" ref="D188">IF(E188="","",_xlfn.LET(_xlpm.cat,_xlfn.XLOOKUP(UPPER(TRIM(F188)),UPPER(NPF!$G$4:$G$40),NPF!$H$4:$H$40,"¿CAT?"),_xlpm.comb,_xlfn.XLOOKUP(UPPER(TRIM(G188)),UPPER(NPF!$A$4:$A$30),NPF!$B$4:$B$30,"¿COMB?"),_xlpm.txt,NPF!$V$4:$V$33,_xlpm.abr,NPF!$W$4:$W$33,_xlpm.modAbrev,_xlfn.REDUCE(UPPER(TRIM(E188)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8" s="22" t="str">
        <f t="shared" si="6"/>
        <v/>
      </c>
      <c r="N188" s="22" t="str">
        <f t="shared" si="7"/>
        <v/>
      </c>
    </row>
    <row r="189" spans="3:14" x14ac:dyDescent="0.25">
      <c r="C189" s="22" t="str">
        <f t="array" ref="C189">IF(E189="","",_xlfn.LET(_xlpm.modelo,UPPER(TRIM(E189)),_xlpm.comb,_xlfn.XLOOKUP(UPPER(TRIM(G189)),UPPER(NPF!$A$4:$A$30),NPF!$B$4:$B$30,"¿COMB?"),UPPER(TRIM(F189))&amp;" "&amp;_xlpm.modelo&amp;" "&amp;_xlpm.comb))</f>
        <v/>
      </c>
      <c r="D189" s="22" t="str" cm="1">
        <f t="array" ref="D189">IF(E189="","",_xlfn.LET(_xlpm.cat,_xlfn.XLOOKUP(UPPER(TRIM(F189)),UPPER(NPF!$G$4:$G$40),NPF!$H$4:$H$40,"¿CAT?"),_xlpm.comb,_xlfn.XLOOKUP(UPPER(TRIM(G189)),UPPER(NPF!$A$4:$A$30),NPF!$B$4:$B$30,"¿COMB?"),_xlpm.txt,NPF!$V$4:$V$33,_xlpm.abr,NPF!$W$4:$W$33,_xlpm.modAbrev,_xlfn.REDUCE(UPPER(TRIM(E189)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89" s="22" t="str">
        <f t="shared" si="6"/>
        <v/>
      </c>
      <c r="N189" s="22" t="str">
        <f t="shared" si="7"/>
        <v/>
      </c>
    </row>
    <row r="190" spans="3:14" x14ac:dyDescent="0.25">
      <c r="C190" s="22" t="str">
        <f t="array" ref="C190">IF(E190="","",_xlfn.LET(_xlpm.modelo,UPPER(TRIM(E190)),_xlpm.comb,_xlfn.XLOOKUP(UPPER(TRIM(G190)),UPPER(NPF!$A$4:$A$30),NPF!$B$4:$B$30,"¿COMB?"),UPPER(TRIM(F190))&amp;" "&amp;_xlpm.modelo&amp;" "&amp;_xlpm.comb))</f>
        <v/>
      </c>
      <c r="D190" s="22" t="str" cm="1">
        <f t="array" ref="D190">IF(E190="","",_xlfn.LET(_xlpm.cat,_xlfn.XLOOKUP(UPPER(TRIM(F190)),UPPER(NPF!$G$4:$G$40),NPF!$H$4:$H$40,"¿CAT?"),_xlpm.comb,_xlfn.XLOOKUP(UPPER(TRIM(G190)),UPPER(NPF!$A$4:$A$30),NPF!$B$4:$B$30,"¿COMB?"),_xlpm.txt,NPF!$V$4:$V$33,_xlpm.abr,NPF!$W$4:$W$33,_xlpm.modAbrev,_xlfn.REDUCE(UPPER(TRIM(E190)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0" s="22" t="str">
        <f t="shared" si="6"/>
        <v/>
      </c>
      <c r="N190" s="22" t="str">
        <f t="shared" si="7"/>
        <v/>
      </c>
    </row>
    <row r="191" spans="3:14" x14ac:dyDescent="0.25">
      <c r="C191" s="22" t="str">
        <f t="array" ref="C191">IF(E191="","",_xlfn.LET(_xlpm.modelo,UPPER(TRIM(E191)),_xlpm.comb,_xlfn.XLOOKUP(UPPER(TRIM(G191)),UPPER(NPF!$A$4:$A$30),NPF!$B$4:$B$30,"¿COMB?"),UPPER(TRIM(F191))&amp;" "&amp;_xlpm.modelo&amp;" "&amp;_xlpm.comb))</f>
        <v/>
      </c>
      <c r="D191" s="22" t="str" cm="1">
        <f t="array" ref="D191">IF(E191="","",_xlfn.LET(_xlpm.cat,_xlfn.XLOOKUP(UPPER(TRIM(F191)),UPPER(NPF!$G$4:$G$40),NPF!$H$4:$H$40,"¿CAT?"),_xlpm.comb,_xlfn.XLOOKUP(UPPER(TRIM(G191)),UPPER(NPF!$A$4:$A$30),NPF!$B$4:$B$30,"¿COMB?"),_xlpm.txt,NPF!$V$4:$V$33,_xlpm.abr,NPF!$W$4:$W$33,_xlpm.modAbrev,_xlfn.REDUCE(UPPER(TRIM(E191)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1" s="22" t="str">
        <f t="shared" si="6"/>
        <v/>
      </c>
      <c r="N191" s="22" t="str">
        <f t="shared" si="7"/>
        <v/>
      </c>
    </row>
    <row r="192" spans="3:14" x14ac:dyDescent="0.25">
      <c r="C192" s="22" t="str">
        <f t="array" ref="C192">IF(E192="","",_xlfn.LET(_xlpm.modelo,UPPER(TRIM(E192)),_xlpm.comb,_xlfn.XLOOKUP(UPPER(TRIM(G192)),UPPER(NPF!$A$4:$A$30),NPF!$B$4:$B$30,"¿COMB?"),UPPER(TRIM(F192))&amp;" "&amp;_xlpm.modelo&amp;" "&amp;_xlpm.comb))</f>
        <v/>
      </c>
      <c r="D192" s="22" t="str" cm="1">
        <f t="array" ref="D192">IF(E192="","",_xlfn.LET(_xlpm.cat,_xlfn.XLOOKUP(UPPER(TRIM(F192)),UPPER(NPF!$G$4:$G$40),NPF!$H$4:$H$40,"¿CAT?"),_xlpm.comb,_xlfn.XLOOKUP(UPPER(TRIM(G192)),UPPER(NPF!$A$4:$A$30),NPF!$B$4:$B$30,"¿COMB?"),_xlpm.txt,NPF!$V$4:$V$33,_xlpm.abr,NPF!$W$4:$W$33,_xlpm.modAbrev,_xlfn.REDUCE(UPPER(TRIM(E192)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2" s="22" t="str">
        <f t="shared" si="6"/>
        <v/>
      </c>
      <c r="N192" s="22" t="str">
        <f t="shared" si="7"/>
        <v/>
      </c>
    </row>
    <row r="193" spans="3:14" x14ac:dyDescent="0.25">
      <c r="C193" s="22" t="str">
        <f t="array" ref="C193">IF(E193="","",_xlfn.LET(_xlpm.modelo,UPPER(TRIM(E193)),_xlpm.comb,_xlfn.XLOOKUP(UPPER(TRIM(G193)),UPPER(NPF!$A$4:$A$30),NPF!$B$4:$B$30,"¿COMB?"),UPPER(TRIM(F193))&amp;" "&amp;_xlpm.modelo&amp;" "&amp;_xlpm.comb))</f>
        <v/>
      </c>
      <c r="D193" s="22" t="str" cm="1">
        <f t="array" ref="D193">IF(E193="","",_xlfn.LET(_xlpm.cat,_xlfn.XLOOKUP(UPPER(TRIM(F193)),UPPER(NPF!$G$4:$G$40),NPF!$H$4:$H$40,"¿CAT?"),_xlpm.comb,_xlfn.XLOOKUP(UPPER(TRIM(G193)),UPPER(NPF!$A$4:$A$30),NPF!$B$4:$B$30,"¿COMB?"),_xlpm.txt,NPF!$V$4:$V$33,_xlpm.abr,NPF!$W$4:$W$33,_xlpm.modAbrev,_xlfn.REDUCE(UPPER(TRIM(E193)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3" s="22" t="str">
        <f t="shared" si="6"/>
        <v/>
      </c>
      <c r="N193" s="22" t="str">
        <f t="shared" si="7"/>
        <v/>
      </c>
    </row>
    <row r="194" spans="3:14" x14ac:dyDescent="0.25">
      <c r="C194" s="22" t="str">
        <f t="array" ref="C194">IF(E194="","",_xlfn.LET(_xlpm.modelo,UPPER(TRIM(E194)),_xlpm.comb,_xlfn.XLOOKUP(UPPER(TRIM(G194)),UPPER(NPF!$A$4:$A$30),NPF!$B$4:$B$30,"¿COMB?"),UPPER(TRIM(F194))&amp;" "&amp;_xlpm.modelo&amp;" "&amp;_xlpm.comb))</f>
        <v/>
      </c>
      <c r="D194" s="22" t="str" cm="1">
        <f t="array" ref="D194">IF(E194="","",_xlfn.LET(_xlpm.cat,_xlfn.XLOOKUP(UPPER(TRIM(F194)),UPPER(NPF!$G$4:$G$40),NPF!$H$4:$H$40,"¿CAT?"),_xlpm.comb,_xlfn.XLOOKUP(UPPER(TRIM(G194)),UPPER(NPF!$A$4:$A$30),NPF!$B$4:$B$30,"¿COMB?"),_xlpm.txt,NPF!$V$4:$V$33,_xlpm.abr,NPF!$W$4:$W$33,_xlpm.modAbrev,_xlfn.REDUCE(UPPER(TRIM(E194)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4" s="22" t="str">
        <f t="shared" si="6"/>
        <v/>
      </c>
      <c r="N194" s="22" t="str">
        <f t="shared" si="7"/>
        <v/>
      </c>
    </row>
    <row r="195" spans="3:14" x14ac:dyDescent="0.25">
      <c r="C195" s="22" t="str">
        <f t="array" ref="C195">IF(E195="","",_xlfn.LET(_xlpm.modelo,UPPER(TRIM(E195)),_xlpm.comb,_xlfn.XLOOKUP(UPPER(TRIM(G195)),UPPER(NPF!$A$4:$A$30),NPF!$B$4:$B$30,"¿COMB?"),UPPER(TRIM(F195))&amp;" "&amp;_xlpm.modelo&amp;" "&amp;_xlpm.comb))</f>
        <v/>
      </c>
      <c r="D195" s="22" t="str" cm="1">
        <f t="array" ref="D195">IF(E195="","",_xlfn.LET(_xlpm.cat,_xlfn.XLOOKUP(UPPER(TRIM(F195)),UPPER(NPF!$G$4:$G$40),NPF!$H$4:$H$40,"¿CAT?"),_xlpm.comb,_xlfn.XLOOKUP(UPPER(TRIM(G195)),UPPER(NPF!$A$4:$A$30),NPF!$B$4:$B$30,"¿COMB?"),_xlpm.txt,NPF!$V$4:$V$33,_xlpm.abr,NPF!$W$4:$W$33,_xlpm.modAbrev,_xlfn.REDUCE(UPPER(TRIM(E195)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5" s="22" t="str">
        <f t="shared" ref="M195:M199" si="8">IF(C195="","",LEN(C195))</f>
        <v/>
      </c>
      <c r="N195" s="22" t="str">
        <f t="shared" ref="N195:N199" si="9">IF(D195="","",LEN(D195))</f>
        <v/>
      </c>
    </row>
    <row r="196" spans="3:14" x14ac:dyDescent="0.25">
      <c r="C196" s="22" t="str">
        <f t="array" ref="C196">IF(E196="","",_xlfn.LET(_xlpm.modelo,UPPER(TRIM(E196)),_xlpm.comb,_xlfn.XLOOKUP(UPPER(TRIM(G196)),UPPER(NPF!$A$4:$A$30),NPF!$B$4:$B$30,"¿COMB?"),UPPER(TRIM(F196))&amp;" "&amp;_xlpm.modelo&amp;" "&amp;_xlpm.comb))</f>
        <v/>
      </c>
      <c r="D196" s="22" t="str" cm="1">
        <f t="array" ref="D196">IF(E196="","",_xlfn.LET(_xlpm.cat,_xlfn.XLOOKUP(UPPER(TRIM(F196)),UPPER(NPF!$G$4:$G$40),NPF!$H$4:$H$40,"¿CAT?"),_xlpm.comb,_xlfn.XLOOKUP(UPPER(TRIM(G196)),UPPER(NPF!$A$4:$A$30),NPF!$B$4:$B$30,"¿COMB?"),_xlpm.txt,NPF!$V$4:$V$33,_xlpm.abr,NPF!$W$4:$W$33,_xlpm.modAbrev,_xlfn.REDUCE(UPPER(TRIM(E196)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6" s="22" t="str">
        <f t="shared" si="8"/>
        <v/>
      </c>
      <c r="N196" s="22" t="str">
        <f t="shared" si="9"/>
        <v/>
      </c>
    </row>
    <row r="197" spans="3:14" x14ac:dyDescent="0.25">
      <c r="C197" s="22" t="str">
        <f t="array" ref="C197">IF(E197="","",_xlfn.LET(_xlpm.modelo,UPPER(TRIM(E197)),_xlpm.comb,_xlfn.XLOOKUP(UPPER(TRIM(G197)),UPPER(NPF!$A$4:$A$30),NPF!$B$4:$B$30,"¿COMB?"),UPPER(TRIM(F197))&amp;" "&amp;_xlpm.modelo&amp;" "&amp;_xlpm.comb))</f>
        <v/>
      </c>
      <c r="D197" s="22" t="str" cm="1">
        <f t="array" ref="D197">IF(E197="","",_xlfn.LET(_xlpm.cat,_xlfn.XLOOKUP(UPPER(TRIM(F197)),UPPER(NPF!$G$4:$G$40),NPF!$H$4:$H$40,"¿CAT?"),_xlpm.comb,_xlfn.XLOOKUP(UPPER(TRIM(G197)),UPPER(NPF!$A$4:$A$30),NPF!$B$4:$B$30,"¿COMB?"),_xlpm.txt,NPF!$V$4:$V$33,_xlpm.abr,NPF!$W$4:$W$33,_xlpm.modAbrev,_xlfn.REDUCE(UPPER(TRIM(E197)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7" s="22" t="str">
        <f t="shared" si="8"/>
        <v/>
      </c>
      <c r="N197" s="22" t="str">
        <f t="shared" si="9"/>
        <v/>
      </c>
    </row>
    <row r="198" spans="3:14" x14ac:dyDescent="0.25">
      <c r="C198" s="22" t="str">
        <f t="array" ref="C198">IF(E198="","",_xlfn.LET(_xlpm.modelo,UPPER(TRIM(E198)),_xlpm.comb,_xlfn.XLOOKUP(UPPER(TRIM(G198)),UPPER(NPF!$A$4:$A$30),NPF!$B$4:$B$30,"¿COMB?"),UPPER(TRIM(F198))&amp;" "&amp;_xlpm.modelo&amp;" "&amp;_xlpm.comb))</f>
        <v/>
      </c>
      <c r="D198" s="22" t="str" cm="1">
        <f t="array" ref="D198">IF(E198="","",_xlfn.LET(_xlpm.cat,_xlfn.XLOOKUP(UPPER(TRIM(F198)),UPPER(NPF!$G$4:$G$40),NPF!$H$4:$H$40,"¿CAT?"),_xlpm.comb,_xlfn.XLOOKUP(UPPER(TRIM(G198)),UPPER(NPF!$A$4:$A$30),NPF!$B$4:$B$30,"¿COMB?"),_xlpm.txt,NPF!$V$4:$V$33,_xlpm.abr,NPF!$W$4:$W$33,_xlpm.modAbrev,_xlfn.REDUCE(UPPER(TRIM(E198)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8" s="22" t="str">
        <f t="shared" si="8"/>
        <v/>
      </c>
      <c r="N198" s="22" t="str">
        <f t="shared" si="9"/>
        <v/>
      </c>
    </row>
    <row r="199" spans="3:14" x14ac:dyDescent="0.25">
      <c r="C199" s="22" t="str">
        <f t="array" ref="C199">IF(E199="","",_xlfn.LET(_xlpm.modelo,UPPER(TRIM(E199)),_xlpm.comb,_xlfn.XLOOKUP(UPPER(TRIM(G199)),UPPER(NPF!$A$4:$A$30),NPF!$B$4:$B$30,"¿COMB?"),UPPER(TRIM(F199))&amp;" "&amp;_xlpm.modelo&amp;" "&amp;_xlpm.comb))</f>
        <v/>
      </c>
      <c r="D199" s="22" t="str" cm="1">
        <f t="array" ref="D199">IF(E199="","",_xlfn.LET(_xlpm.cat,_xlfn.XLOOKUP(UPPER(TRIM(F199)),UPPER(NPF!$G$4:$G$40),NPF!$H$4:$H$40,"¿CAT?"),_xlpm.comb,_xlfn.XLOOKUP(UPPER(TRIM(G199)),UPPER(NPF!$A$4:$A$30),NPF!$B$4:$B$30,"¿COMB?"),_xlpm.txt,NPF!$V$4:$V$33,_xlpm.abr,NPF!$W$4:$W$33,_xlpm.modAbrev,_xlfn.REDUCE(UPPER(TRIM(E199)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",""),"(",""),")",""),_xlpm.cat&amp;"-"&amp;_xlpm.modelo&amp;"-"&amp;_xlpm.comb&amp;"-U"))</f>
        <v/>
      </c>
      <c r="M199" s="22" t="str">
        <f t="shared" si="8"/>
        <v/>
      </c>
      <c r="N199" s="22" t="str">
        <f t="shared" si="9"/>
        <v/>
      </c>
    </row>
  </sheetData>
  <sheetProtection sheet="1" objects="1" scenarios="1" formatColumns="0" formatRows="0" sort="0" autoFilter="0"/>
  <conditionalFormatting sqref="C2:C199">
    <cfRule type="expression" dxfId="5" priority="4">
      <formula>LEN(C2)&gt;40</formula>
    </cfRule>
  </conditionalFormatting>
  <conditionalFormatting sqref="D2:D199">
    <cfRule type="expression" dxfId="4" priority="5">
      <formula>LEN(D2)&gt;30</formula>
    </cfRule>
  </conditionalFormatting>
  <conditionalFormatting sqref="M3:M199">
    <cfRule type="expression" dxfId="3" priority="6">
      <formula>AND(ISNUMBER(M3),M3&gt;40)</formula>
    </cfRule>
  </conditionalFormatting>
  <conditionalFormatting sqref="M3:N199">
    <cfRule type="expression" dxfId="2" priority="9">
      <formula>M3&lt;&gt;""</formula>
    </cfRule>
  </conditionalFormatting>
  <conditionalFormatting sqref="N3:N199">
    <cfRule type="expression" dxfId="1" priority="7">
      <formula>AND(ISNUMBER(N3),N3&gt;30)</formula>
    </cfRule>
  </conditionalFormatting>
  <conditionalFormatting sqref="M2:N199">
    <cfRule type="expression" dxfId="0" priority="1">
      <formula>LEN(M2)&gt;30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7000000}">
          <x14:formula1>
            <xm:f>'Diccionario Marcas'!$B$2:$B$30</xm:f>
          </x14:formula1>
          <xm:sqref>J3:J1048576</xm:sqref>
        </x14:dataValidation>
        <x14:dataValidation type="list" allowBlank="1" xr:uid="{00000000-0002-0000-0000-000000000000}">
          <x14:formula1>
            <xm:f>'Diccionario Filiales'!$B$2:$B$4</xm:f>
          </x14:formula1>
          <xm:sqref>A2:A1048576</xm:sqref>
        </x14:dataValidation>
        <x14:dataValidation type="list" allowBlank="1" xr:uid="{00000000-0002-0000-0000-000002000000}">
          <x14:formula1>
            <xm:f>NPF!$G$4:$G$24</xm:f>
          </x14:formula1>
          <xm:sqref>F2:F1048576</xm:sqref>
        </x14:dataValidation>
        <x14:dataValidation type="list" allowBlank="1" xr:uid="{00000000-0002-0000-0000-000003000000}">
          <x14:formula1>
            <xm:f>NPF!$A$4:$A$10</xm:f>
          </x14:formula1>
          <xm:sqref>G2:G1048576</xm:sqref>
        </x14:dataValidation>
        <x14:dataValidation type="list" allowBlank="1" xr:uid="{00000000-0002-0000-0000-000004000000}">
          <x14:formula1>
            <xm:f>'Grupo de Articulos'!$B$2</xm:f>
          </x14:formula1>
          <xm:sqref>H2:H1048576</xm:sqref>
        </x14:dataValidation>
        <x14:dataValidation type="list" allowBlank="1" xr:uid="{00000000-0002-0000-0000-000006000000}">
          <x14:formula1>
            <xm:f>'Diccionario Jerarquías'!$F$2:$F$95</xm:f>
          </x14:formula1>
          <xm:sqref>I2:I1048576</xm:sqref>
        </x14:dataValidation>
        <x14:dataValidation type="list" allowBlank="1" xr:uid="{00000000-0002-0000-0000-000008000000}">
          <x14:formula1>
            <xm:f>'Diccionario Fabricantes'!$C$2:$C$75</xm:f>
          </x14:formula1>
          <xm:sqref>K2:K1048576</xm:sqref>
        </x14:dataValidation>
        <x14:dataValidation type="list" allowBlank="1" showInputMessage="1" showErrorMessage="1" xr:uid="{260F2257-A442-4DA0-968C-383F37E0BA8B}">
          <x14:formula1>
            <xm:f>'Diccionario GrupoImputacion'!$B$2</xm:f>
          </x14:formula1>
          <xm:sqref>L1:L1048576</xm:sqref>
        </x14:dataValidation>
        <x14:dataValidation type="list" allowBlank="1" xr:uid="{70A6EAEB-4F4D-4243-94EA-EF0141472CDA}">
          <x14:formula1>
            <xm:f>NPF!$N$7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zoomScale="70" zoomScaleNormal="70" workbookViewId="0">
      <selection activeCell="L7" sqref="L7"/>
    </sheetView>
  </sheetViews>
  <sheetFormatPr baseColWidth="10" defaultColWidth="8.7109375" defaultRowHeight="15" x14ac:dyDescent="0.25"/>
  <cols>
    <col min="1" max="1" width="30" style="23" customWidth="1"/>
    <col min="2" max="2" width="12" style="23" customWidth="1"/>
    <col min="3" max="3" width="3" style="23" customWidth="1"/>
    <col min="4" max="4" width="22" style="23" customWidth="1"/>
    <col min="5" max="5" width="12" style="23" customWidth="1"/>
    <col min="6" max="6" width="3" style="23" customWidth="1"/>
    <col min="7" max="7" width="24" style="23" customWidth="1"/>
    <col min="8" max="8" width="14" style="23" customWidth="1"/>
    <col min="9" max="9" width="3" style="23" customWidth="1"/>
    <col min="10" max="10" width="10" style="23" customWidth="1"/>
    <col min="11" max="11" width="3" style="23" customWidth="1"/>
    <col min="12" max="12" width="14" style="23" customWidth="1"/>
    <col min="13" max="13" width="3" style="23" customWidth="1"/>
    <col min="14" max="15" width="22" style="23" customWidth="1"/>
    <col min="16" max="16" width="2.42578125" style="23" customWidth="1"/>
    <col min="17" max="17" width="24" style="23" customWidth="1"/>
    <col min="18" max="18" width="3" style="23" customWidth="1"/>
    <col min="19" max="19" width="28" style="23" customWidth="1"/>
    <col min="20" max="20" width="3" style="23" customWidth="1"/>
    <col min="21" max="21" width="8.7109375" style="23" customWidth="1"/>
    <col min="22" max="22" width="22" style="23" customWidth="1"/>
    <col min="23" max="23" width="12" style="23" customWidth="1"/>
    <col min="24" max="24" width="40" style="23" customWidth="1"/>
    <col min="25" max="25" width="8.7109375" style="23" customWidth="1"/>
    <col min="26" max="26" width="24" style="23" customWidth="1"/>
    <col min="27" max="27" width="48" style="23" customWidth="1"/>
    <col min="28" max="28" width="34" style="23" customWidth="1"/>
    <col min="29" max="29" width="40" style="23" customWidth="1"/>
    <col min="30" max="30" width="8.7109375" style="23" customWidth="1"/>
    <col min="31" max="31" width="43" style="23" bestFit="1" customWidth="1"/>
    <col min="32" max="32" width="8.28515625" style="23" bestFit="1" customWidth="1"/>
    <col min="33" max="33" width="8.7109375" style="23" customWidth="1"/>
    <col min="34" max="16384" width="8.7109375" style="23"/>
  </cols>
  <sheetData>
    <row r="1" spans="1:32" ht="18" customHeight="1" x14ac:dyDescent="0.25">
      <c r="A1" s="24" t="s">
        <v>21</v>
      </c>
      <c r="V1" s="24" t="s">
        <v>22</v>
      </c>
      <c r="Z1" s="25" t="s">
        <v>23</v>
      </c>
      <c r="AE1" s="24" t="s">
        <v>24</v>
      </c>
    </row>
    <row r="2" spans="1:32" x14ac:dyDescent="0.25">
      <c r="V2" s="26" t="s">
        <v>25</v>
      </c>
      <c r="W2" s="27"/>
      <c r="X2" s="27"/>
      <c r="Z2" s="28" t="s">
        <v>26</v>
      </c>
      <c r="AE2" s="26" t="s">
        <v>27</v>
      </c>
      <c r="AF2" s="27"/>
    </row>
    <row r="3" spans="1:32" ht="45" customHeight="1" x14ac:dyDescent="0.25">
      <c r="A3" s="29" t="s">
        <v>28</v>
      </c>
      <c r="B3" s="29" t="s">
        <v>29</v>
      </c>
      <c r="D3" s="29" t="s">
        <v>30</v>
      </c>
      <c r="E3" s="29" t="s">
        <v>29</v>
      </c>
      <c r="G3" s="29" t="s">
        <v>31</v>
      </c>
      <c r="H3" s="29" t="s">
        <v>29</v>
      </c>
      <c r="J3" s="29" t="s">
        <v>32</v>
      </c>
      <c r="L3" s="29" t="s">
        <v>33</v>
      </c>
      <c r="N3" s="29" t="s">
        <v>34</v>
      </c>
      <c r="O3" s="30"/>
      <c r="Q3" s="29" t="s">
        <v>35</v>
      </c>
      <c r="S3" s="29" t="s">
        <v>36</v>
      </c>
      <c r="V3" s="29" t="s">
        <v>37</v>
      </c>
      <c r="W3" s="29" t="s">
        <v>38</v>
      </c>
      <c r="X3" s="29" t="s">
        <v>39</v>
      </c>
      <c r="AE3" s="29" t="s">
        <v>40</v>
      </c>
      <c r="AF3" s="29" t="s">
        <v>41</v>
      </c>
    </row>
    <row r="4" spans="1:32" x14ac:dyDescent="0.25">
      <c r="A4" s="31" t="s">
        <v>42</v>
      </c>
      <c r="B4" s="31" t="s">
        <v>43</v>
      </c>
      <c r="D4" s="31" t="s">
        <v>44</v>
      </c>
      <c r="E4" s="31" t="s">
        <v>45</v>
      </c>
      <c r="G4" s="32" t="s">
        <v>46</v>
      </c>
      <c r="H4" s="33" t="s">
        <v>47</v>
      </c>
      <c r="J4" s="31" t="s">
        <v>48</v>
      </c>
      <c r="L4" s="31" t="s">
        <v>49</v>
      </c>
      <c r="N4" s="34" t="s">
        <v>50</v>
      </c>
      <c r="O4" s="34" t="s">
        <v>51</v>
      </c>
      <c r="Q4" s="31" t="s">
        <v>52</v>
      </c>
      <c r="S4" s="31" t="s">
        <v>46</v>
      </c>
      <c r="V4" s="35" t="s">
        <v>53</v>
      </c>
      <c r="W4" s="35" t="s">
        <v>54</v>
      </c>
      <c r="X4" s="31" t="s">
        <v>55</v>
      </c>
      <c r="Z4" s="36" t="s">
        <v>56</v>
      </c>
      <c r="AE4" s="35" t="s">
        <v>57</v>
      </c>
      <c r="AF4" s="35" t="s">
        <v>58</v>
      </c>
    </row>
    <row r="5" spans="1:32" x14ac:dyDescent="0.25">
      <c r="A5" s="31" t="s">
        <v>59</v>
      </c>
      <c r="B5" s="31" t="s">
        <v>60</v>
      </c>
      <c r="D5" s="31" t="s">
        <v>61</v>
      </c>
      <c r="E5" s="31" t="s">
        <v>62</v>
      </c>
      <c r="G5" s="32" t="s">
        <v>63</v>
      </c>
      <c r="H5" s="33" t="s">
        <v>64</v>
      </c>
      <c r="J5" s="31" t="s">
        <v>65</v>
      </c>
      <c r="L5" s="31" t="s">
        <v>66</v>
      </c>
      <c r="N5" s="34" t="s">
        <v>49</v>
      </c>
      <c r="O5" s="34" t="s">
        <v>3</v>
      </c>
      <c r="Q5" s="31" t="s">
        <v>67</v>
      </c>
      <c r="S5" s="31" t="s">
        <v>68</v>
      </c>
      <c r="V5" s="35" t="s">
        <v>69</v>
      </c>
      <c r="W5" s="35" t="s">
        <v>70</v>
      </c>
      <c r="X5" s="31" t="s">
        <v>71</v>
      </c>
      <c r="Z5" s="29" t="s">
        <v>33</v>
      </c>
      <c r="AA5" s="29" t="s">
        <v>72</v>
      </c>
      <c r="AB5" s="29" t="s">
        <v>73</v>
      </c>
      <c r="AC5" s="29" t="s">
        <v>74</v>
      </c>
      <c r="AE5" s="35" t="s">
        <v>75</v>
      </c>
      <c r="AF5" s="35" t="s">
        <v>75</v>
      </c>
    </row>
    <row r="6" spans="1:32" ht="25.5" customHeight="1" x14ac:dyDescent="0.25">
      <c r="A6" s="31" t="s">
        <v>76</v>
      </c>
      <c r="B6" s="37" t="s">
        <v>77</v>
      </c>
      <c r="D6" s="31" t="s">
        <v>78</v>
      </c>
      <c r="E6" s="31" t="s">
        <v>79</v>
      </c>
      <c r="G6" s="32" t="s">
        <v>80</v>
      </c>
      <c r="H6" s="33" t="s">
        <v>81</v>
      </c>
      <c r="J6" s="31" t="s">
        <v>82</v>
      </c>
      <c r="L6" s="31" t="s">
        <v>50</v>
      </c>
      <c r="N6" s="34" t="s">
        <v>66</v>
      </c>
      <c r="O6" s="34" t="s">
        <v>83</v>
      </c>
      <c r="S6" s="31" t="s">
        <v>80</v>
      </c>
      <c r="V6" s="35" t="s">
        <v>84</v>
      </c>
      <c r="W6" s="35" t="s">
        <v>85</v>
      </c>
      <c r="X6" s="31" t="s">
        <v>86</v>
      </c>
      <c r="Z6" s="38" t="s">
        <v>87</v>
      </c>
      <c r="AA6" s="38" t="s">
        <v>88</v>
      </c>
      <c r="AB6" s="38" t="s">
        <v>89</v>
      </c>
      <c r="AC6" s="39" t="s">
        <v>90</v>
      </c>
      <c r="AE6" s="35" t="s">
        <v>91</v>
      </c>
      <c r="AF6" s="35" t="s">
        <v>91</v>
      </c>
    </row>
    <row r="7" spans="1:32" x14ac:dyDescent="0.25">
      <c r="A7" s="31" t="s">
        <v>92</v>
      </c>
      <c r="B7" s="31" t="s">
        <v>93</v>
      </c>
      <c r="D7" s="31" t="s">
        <v>94</v>
      </c>
      <c r="E7" s="31" t="s">
        <v>95</v>
      </c>
      <c r="G7" s="32" t="s">
        <v>96</v>
      </c>
      <c r="H7" s="33" t="s">
        <v>97</v>
      </c>
      <c r="J7" s="31" t="s">
        <v>98</v>
      </c>
      <c r="L7" s="31" t="s">
        <v>99</v>
      </c>
      <c r="N7" s="34" t="s">
        <v>99</v>
      </c>
      <c r="O7" s="34" t="s">
        <v>100</v>
      </c>
      <c r="S7" s="31" t="s">
        <v>101</v>
      </c>
      <c r="V7" s="35" t="s">
        <v>102</v>
      </c>
      <c r="W7" s="35" t="s">
        <v>103</v>
      </c>
      <c r="X7" s="31" t="s">
        <v>104</v>
      </c>
      <c r="Z7" s="38" t="s">
        <v>105</v>
      </c>
      <c r="AA7" s="38" t="s">
        <v>106</v>
      </c>
      <c r="AB7" s="38" t="s">
        <v>107</v>
      </c>
      <c r="AC7" s="38" t="s">
        <v>108</v>
      </c>
      <c r="AE7" s="35" t="s">
        <v>109</v>
      </c>
      <c r="AF7" s="35" t="s">
        <v>110</v>
      </c>
    </row>
    <row r="8" spans="1:32" x14ac:dyDescent="0.25">
      <c r="A8" s="31" t="s">
        <v>111</v>
      </c>
      <c r="B8" s="31" t="s">
        <v>112</v>
      </c>
      <c r="G8" s="32" t="s">
        <v>113</v>
      </c>
      <c r="H8" s="33" t="s">
        <v>113</v>
      </c>
      <c r="J8" s="31" t="s">
        <v>114</v>
      </c>
      <c r="N8" s="31"/>
      <c r="O8" s="32"/>
      <c r="S8" s="31" t="s">
        <v>115</v>
      </c>
      <c r="V8" s="35" t="s">
        <v>116</v>
      </c>
      <c r="W8" s="35" t="s">
        <v>117</v>
      </c>
      <c r="X8" s="31" t="s">
        <v>118</v>
      </c>
      <c r="Z8" s="39" t="s">
        <v>119</v>
      </c>
      <c r="AA8" s="38" t="s">
        <v>120</v>
      </c>
      <c r="AB8" s="39" t="s">
        <v>121</v>
      </c>
      <c r="AC8" s="38" t="s">
        <v>122</v>
      </c>
      <c r="AE8" s="35" t="s">
        <v>123</v>
      </c>
      <c r="AF8" s="35" t="s">
        <v>124</v>
      </c>
    </row>
    <row r="9" spans="1:32" ht="25.5" customHeight="1" x14ac:dyDescent="0.25">
      <c r="A9" s="31" t="s">
        <v>125</v>
      </c>
      <c r="B9" s="31" t="s">
        <v>126</v>
      </c>
      <c r="G9" s="32" t="s">
        <v>127</v>
      </c>
      <c r="H9" s="33" t="s">
        <v>128</v>
      </c>
      <c r="J9" s="31" t="s">
        <v>129</v>
      </c>
      <c r="N9" s="31"/>
      <c r="O9" s="32"/>
      <c r="S9" s="31" t="s">
        <v>96</v>
      </c>
      <c r="V9" s="35" t="s">
        <v>130</v>
      </c>
      <c r="W9" s="35" t="s">
        <v>131</v>
      </c>
      <c r="X9" s="31" t="s">
        <v>132</v>
      </c>
      <c r="Z9" s="38" t="s">
        <v>133</v>
      </c>
      <c r="AA9" s="38" t="s">
        <v>134</v>
      </c>
      <c r="AB9" s="38" t="s">
        <v>135</v>
      </c>
      <c r="AC9" s="38" t="s">
        <v>136</v>
      </c>
      <c r="AE9" s="35" t="s">
        <v>137</v>
      </c>
      <c r="AF9" s="35" t="s">
        <v>138</v>
      </c>
    </row>
    <row r="10" spans="1:32" x14ac:dyDescent="0.25">
      <c r="A10" s="31" t="s">
        <v>139</v>
      </c>
      <c r="B10" s="31" t="s">
        <v>139</v>
      </c>
      <c r="G10" s="32" t="s">
        <v>101</v>
      </c>
      <c r="H10" s="33" t="s">
        <v>140</v>
      </c>
      <c r="J10" s="31" t="s">
        <v>141</v>
      </c>
      <c r="N10" s="31"/>
      <c r="O10" s="32"/>
      <c r="S10" s="31" t="s">
        <v>113</v>
      </c>
      <c r="V10" s="35" t="s">
        <v>142</v>
      </c>
      <c r="W10" s="35" t="s">
        <v>143</v>
      </c>
      <c r="X10" s="31" t="s">
        <v>144</v>
      </c>
      <c r="Z10" s="38" t="s">
        <v>145</v>
      </c>
      <c r="AA10" s="38" t="s">
        <v>146</v>
      </c>
      <c r="AB10" s="38" t="s">
        <v>147</v>
      </c>
      <c r="AC10" s="38" t="s">
        <v>148</v>
      </c>
      <c r="AE10" s="35" t="s">
        <v>149</v>
      </c>
      <c r="AF10" s="35" t="s">
        <v>150</v>
      </c>
    </row>
    <row r="11" spans="1:32" x14ac:dyDescent="0.25">
      <c r="G11" s="32" t="s">
        <v>151</v>
      </c>
      <c r="H11" s="33" t="s">
        <v>152</v>
      </c>
      <c r="S11" s="31" t="s">
        <v>153</v>
      </c>
      <c r="V11" s="35" t="s">
        <v>154</v>
      </c>
      <c r="W11" s="35" t="s">
        <v>155</v>
      </c>
      <c r="X11" s="31" t="s">
        <v>144</v>
      </c>
      <c r="Z11" s="38" t="s">
        <v>156</v>
      </c>
      <c r="AA11" s="38" t="s">
        <v>157</v>
      </c>
      <c r="AB11" s="38" t="s">
        <v>158</v>
      </c>
      <c r="AC11" s="38" t="s">
        <v>159</v>
      </c>
      <c r="AE11" s="35" t="s">
        <v>160</v>
      </c>
      <c r="AF11" s="35" t="s">
        <v>161</v>
      </c>
    </row>
    <row r="12" spans="1:32" x14ac:dyDescent="0.25">
      <c r="G12" s="32" t="s">
        <v>162</v>
      </c>
      <c r="H12" s="33" t="s">
        <v>163</v>
      </c>
      <c r="S12" s="31" t="s">
        <v>127</v>
      </c>
      <c r="V12" s="35" t="s">
        <v>164</v>
      </c>
      <c r="W12" s="35" t="s">
        <v>165</v>
      </c>
      <c r="X12" s="31" t="s">
        <v>166</v>
      </c>
      <c r="Z12" s="38" t="s">
        <v>167</v>
      </c>
      <c r="AA12" s="38" t="s">
        <v>168</v>
      </c>
      <c r="AB12" s="38" t="s">
        <v>169</v>
      </c>
      <c r="AC12" s="38" t="s">
        <v>170</v>
      </c>
      <c r="AE12" s="35" t="s">
        <v>171</v>
      </c>
      <c r="AF12" s="35" t="s">
        <v>172</v>
      </c>
    </row>
    <row r="13" spans="1:32" x14ac:dyDescent="0.25">
      <c r="G13" s="32" t="s">
        <v>115</v>
      </c>
      <c r="H13" s="33" t="s">
        <v>173</v>
      </c>
      <c r="S13" s="31" t="s">
        <v>174</v>
      </c>
      <c r="V13" s="35" t="s">
        <v>175</v>
      </c>
      <c r="W13" s="35" t="s">
        <v>176</v>
      </c>
      <c r="X13" s="31" t="s">
        <v>177</v>
      </c>
      <c r="Z13" s="38" t="s">
        <v>178</v>
      </c>
      <c r="AA13" s="38" t="s">
        <v>179</v>
      </c>
      <c r="AB13" s="38" t="s">
        <v>180</v>
      </c>
      <c r="AC13" s="38" t="s">
        <v>181</v>
      </c>
      <c r="AE13" s="35" t="s">
        <v>182</v>
      </c>
      <c r="AF13" s="35" t="s">
        <v>183</v>
      </c>
    </row>
    <row r="14" spans="1:32" x14ac:dyDescent="0.25">
      <c r="G14" s="32" t="s">
        <v>153</v>
      </c>
      <c r="H14" s="33" t="s">
        <v>184</v>
      </c>
      <c r="S14" s="31" t="s">
        <v>151</v>
      </c>
      <c r="V14" s="35" t="s">
        <v>185</v>
      </c>
      <c r="W14" s="35" t="s">
        <v>186</v>
      </c>
      <c r="X14" s="31" t="s">
        <v>187</v>
      </c>
      <c r="AE14" s="35" t="s">
        <v>188</v>
      </c>
      <c r="AF14" s="35" t="s">
        <v>189</v>
      </c>
    </row>
    <row r="15" spans="1:32" x14ac:dyDescent="0.25">
      <c r="G15" s="32" t="s">
        <v>68</v>
      </c>
      <c r="H15" s="33" t="s">
        <v>190</v>
      </c>
      <c r="S15" s="31" t="s">
        <v>63</v>
      </c>
      <c r="V15" s="35"/>
      <c r="W15" s="35"/>
      <c r="X15" s="31"/>
      <c r="Z15" s="36" t="s">
        <v>191</v>
      </c>
      <c r="AE15" s="35" t="s">
        <v>192</v>
      </c>
      <c r="AF15" s="35" t="s">
        <v>192</v>
      </c>
    </row>
    <row r="16" spans="1:32" x14ac:dyDescent="0.25">
      <c r="G16" s="32" t="s">
        <v>193</v>
      </c>
      <c r="H16" s="33" t="s">
        <v>194</v>
      </c>
      <c r="S16" s="31" t="s">
        <v>195</v>
      </c>
      <c r="V16" s="35"/>
      <c r="W16" s="35"/>
      <c r="X16" s="31"/>
      <c r="Z16" s="40" t="s">
        <v>196</v>
      </c>
      <c r="AA16" s="27"/>
      <c r="AB16" s="27"/>
      <c r="AC16" s="27"/>
      <c r="AE16" s="35" t="s">
        <v>197</v>
      </c>
      <c r="AF16" s="35" t="s">
        <v>198</v>
      </c>
    </row>
    <row r="17" spans="7:32" x14ac:dyDescent="0.25">
      <c r="G17" s="32" t="s">
        <v>199</v>
      </c>
      <c r="H17" s="33" t="s">
        <v>200</v>
      </c>
      <c r="S17" s="31" t="s">
        <v>201</v>
      </c>
      <c r="V17" s="35"/>
      <c r="W17" s="35"/>
      <c r="X17" s="31"/>
      <c r="Z17" s="40" t="s">
        <v>202</v>
      </c>
      <c r="AA17" s="27"/>
      <c r="AB17" s="27"/>
      <c r="AC17" s="27"/>
      <c r="AE17" s="35"/>
      <c r="AF17" s="35"/>
    </row>
    <row r="18" spans="7:32" x14ac:dyDescent="0.25">
      <c r="G18" s="32" t="s">
        <v>203</v>
      </c>
      <c r="H18" s="33" t="s">
        <v>204</v>
      </c>
      <c r="S18" s="31" t="s">
        <v>205</v>
      </c>
      <c r="V18" s="35"/>
      <c r="W18" s="35"/>
      <c r="X18" s="31"/>
      <c r="Z18" s="41" t="s">
        <v>206</v>
      </c>
      <c r="AA18" s="27"/>
      <c r="AB18" s="27"/>
      <c r="AC18" s="27"/>
      <c r="AE18" s="35"/>
      <c r="AF18" s="35"/>
    </row>
    <row r="19" spans="7:32" x14ac:dyDescent="0.25">
      <c r="G19" s="32" t="s">
        <v>207</v>
      </c>
      <c r="H19" s="33" t="s">
        <v>208</v>
      </c>
      <c r="S19" s="31" t="s">
        <v>209</v>
      </c>
      <c r="V19" s="35"/>
      <c r="W19" s="35"/>
      <c r="X19" s="31"/>
      <c r="AE19" s="35"/>
      <c r="AF19" s="35"/>
    </row>
    <row r="20" spans="7:32" x14ac:dyDescent="0.25">
      <c r="G20" s="32" t="s">
        <v>210</v>
      </c>
      <c r="H20" s="33" t="s">
        <v>211</v>
      </c>
      <c r="S20" s="31" t="s">
        <v>210</v>
      </c>
      <c r="V20" s="35"/>
      <c r="W20" s="35"/>
      <c r="X20" s="31"/>
      <c r="Z20" s="36" t="s">
        <v>212</v>
      </c>
      <c r="AE20" s="35"/>
      <c r="AF20" s="35"/>
    </row>
    <row r="21" spans="7:32" x14ac:dyDescent="0.25">
      <c r="G21" s="32" t="s">
        <v>213</v>
      </c>
      <c r="H21" s="42" t="s">
        <v>214</v>
      </c>
      <c r="S21" s="31" t="s">
        <v>213</v>
      </c>
      <c r="V21" s="35"/>
      <c r="W21" s="35"/>
      <c r="X21" s="31"/>
      <c r="Z21" s="40" t="s">
        <v>215</v>
      </c>
      <c r="AA21" s="27"/>
      <c r="AB21" s="27"/>
      <c r="AC21" s="27"/>
      <c r="AE21" s="35"/>
      <c r="AF21" s="35"/>
    </row>
    <row r="22" spans="7:32" x14ac:dyDescent="0.25">
      <c r="G22" s="32" t="s">
        <v>209</v>
      </c>
      <c r="H22" s="33" t="s">
        <v>216</v>
      </c>
      <c r="S22" s="31" t="s">
        <v>217</v>
      </c>
      <c r="V22" s="35"/>
      <c r="W22" s="35"/>
      <c r="X22" s="31"/>
      <c r="Z22" s="40" t="s">
        <v>218</v>
      </c>
      <c r="AA22" s="27"/>
      <c r="AB22" s="27"/>
      <c r="AC22" s="27"/>
      <c r="AE22" s="35"/>
      <c r="AF22" s="35"/>
    </row>
    <row r="23" spans="7:32" x14ac:dyDescent="0.25">
      <c r="G23" s="32" t="s">
        <v>201</v>
      </c>
      <c r="H23" s="33" t="s">
        <v>219</v>
      </c>
      <c r="S23" s="31"/>
      <c r="V23" s="35"/>
      <c r="W23" s="35"/>
      <c r="X23" s="31"/>
      <c r="Z23" s="40" t="s">
        <v>220</v>
      </c>
      <c r="AA23" s="27"/>
      <c r="AB23" s="27"/>
      <c r="AC23" s="27"/>
      <c r="AE23" s="35"/>
      <c r="AF23" s="35"/>
    </row>
    <row r="24" spans="7:32" x14ac:dyDescent="0.25">
      <c r="G24" s="32" t="s">
        <v>205</v>
      </c>
      <c r="H24" s="32" t="s">
        <v>221</v>
      </c>
      <c r="S24" s="31"/>
      <c r="V24" s="35"/>
      <c r="W24" s="35"/>
      <c r="X24" s="31"/>
      <c r="Z24" s="40" t="s">
        <v>222</v>
      </c>
      <c r="AA24" s="27"/>
      <c r="AB24" s="27"/>
      <c r="AC24" s="27"/>
      <c r="AE24" s="35"/>
      <c r="AF24" s="35"/>
    </row>
    <row r="25" spans="7:32" x14ac:dyDescent="0.25">
      <c r="G25" s="32" t="s">
        <v>195</v>
      </c>
      <c r="H25" s="32" t="s">
        <v>223</v>
      </c>
      <c r="S25" s="31"/>
      <c r="V25" s="35"/>
      <c r="W25" s="35"/>
      <c r="X25" s="31"/>
      <c r="Z25" s="40" t="s">
        <v>224</v>
      </c>
      <c r="AA25" s="27"/>
      <c r="AB25" s="27"/>
      <c r="AC25" s="27"/>
      <c r="AE25" s="35"/>
      <c r="AF25" s="35"/>
    </row>
    <row r="26" spans="7:32" x14ac:dyDescent="0.25">
      <c r="G26" s="32" t="s">
        <v>217</v>
      </c>
      <c r="H26" s="32" t="s">
        <v>225</v>
      </c>
      <c r="S26" s="31"/>
      <c r="V26" s="35"/>
      <c r="W26" s="35"/>
      <c r="X26" s="31"/>
      <c r="Z26" s="40" t="s">
        <v>226</v>
      </c>
      <c r="AA26" s="27"/>
      <c r="AB26" s="27"/>
      <c r="AC26" s="27"/>
      <c r="AE26" s="35"/>
      <c r="AF26" s="35"/>
    </row>
    <row r="27" spans="7:32" x14ac:dyDescent="0.25">
      <c r="G27" s="32" t="s">
        <v>174</v>
      </c>
      <c r="H27" s="32" t="s">
        <v>227</v>
      </c>
      <c r="S27" s="31"/>
      <c r="V27" s="35"/>
      <c r="W27" s="35"/>
      <c r="X27" s="31"/>
      <c r="Z27" s="40" t="s">
        <v>228</v>
      </c>
      <c r="AA27" s="27"/>
      <c r="AB27" s="27"/>
      <c r="AC27" s="27"/>
      <c r="AE27" s="35"/>
      <c r="AF27" s="35"/>
    </row>
    <row r="28" spans="7:32" x14ac:dyDescent="0.25">
      <c r="S28" s="31"/>
      <c r="V28" s="35"/>
      <c r="W28" s="35"/>
      <c r="X28" s="31"/>
      <c r="AE28" s="35"/>
      <c r="AF28" s="35"/>
    </row>
    <row r="29" spans="7:32" x14ac:dyDescent="0.25">
      <c r="S29" s="31"/>
      <c r="V29" s="35"/>
      <c r="W29" s="35"/>
      <c r="X29" s="31"/>
      <c r="Z29" s="43" t="s">
        <v>229</v>
      </c>
      <c r="AE29" s="35"/>
      <c r="AF29" s="35"/>
    </row>
    <row r="30" spans="7:32" x14ac:dyDescent="0.25">
      <c r="S30" s="31"/>
      <c r="V30" s="35"/>
      <c r="W30" s="35"/>
      <c r="X30" s="31"/>
      <c r="AE30" s="35"/>
      <c r="AF30" s="35"/>
    </row>
    <row r="31" spans="7:32" x14ac:dyDescent="0.25">
      <c r="V31" s="35"/>
      <c r="W31" s="35"/>
      <c r="X31" s="31"/>
      <c r="AE31" s="35"/>
      <c r="AF31" s="35"/>
    </row>
    <row r="32" spans="7:32" x14ac:dyDescent="0.25">
      <c r="V32" s="35"/>
      <c r="W32" s="35"/>
      <c r="X32" s="31"/>
      <c r="AE32" s="35"/>
      <c r="AF32" s="35"/>
    </row>
    <row r="33" spans="22:32" x14ac:dyDescent="0.25">
      <c r="V33" s="35"/>
      <c r="W33" s="35"/>
      <c r="X33" s="31"/>
      <c r="AE33" s="35"/>
      <c r="AF33" s="35"/>
    </row>
    <row r="34" spans="22:32" x14ac:dyDescent="0.25">
      <c r="AE34" s="35"/>
      <c r="AF34" s="35"/>
    </row>
    <row r="35" spans="22:32" x14ac:dyDescent="0.25">
      <c r="AE35" s="35"/>
      <c r="AF35" s="35"/>
    </row>
    <row r="36" spans="22:32" x14ac:dyDescent="0.25">
      <c r="AE36" s="35"/>
      <c r="AF36" s="35"/>
    </row>
    <row r="37" spans="22:32" x14ac:dyDescent="0.25">
      <c r="AE37" s="35"/>
      <c r="AF37" s="35"/>
    </row>
    <row r="38" spans="22:32" x14ac:dyDescent="0.25">
      <c r="AE38" s="35"/>
      <c r="AF38" s="35"/>
    </row>
    <row r="39" spans="22:32" x14ac:dyDescent="0.25">
      <c r="AE39" s="35"/>
      <c r="AF39" s="35"/>
    </row>
    <row r="40" spans="22:32" x14ac:dyDescent="0.25">
      <c r="AE40" s="35"/>
      <c r="AF40" s="35"/>
    </row>
  </sheetData>
  <sheetProtection sheet="1" objects="1" scenarios="1"/>
  <mergeCells count="12">
    <mergeCell ref="Z27:AC27"/>
    <mergeCell ref="Z23:AC23"/>
    <mergeCell ref="AE2:AF2"/>
    <mergeCell ref="Z16:AC16"/>
    <mergeCell ref="Z17:AC17"/>
    <mergeCell ref="V2:X2"/>
    <mergeCell ref="Z25:AC25"/>
    <mergeCell ref="Z24:AC24"/>
    <mergeCell ref="Z22:AC22"/>
    <mergeCell ref="Z26:AC26"/>
    <mergeCell ref="Z18:AC18"/>
    <mergeCell ref="Z21:AC2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41.140625" customWidth="1"/>
    <col min="2" max="2" width="24.5703125" customWidth="1"/>
    <col min="3" max="3" width="9.28515625" customWidth="1"/>
    <col min="6" max="6" width="87.28515625" customWidth="1"/>
  </cols>
  <sheetData>
    <row r="1" spans="1:6" ht="18.75" customHeight="1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</row>
    <row r="2" spans="1:6" x14ac:dyDescent="0.25">
      <c r="A2" s="20" t="s">
        <v>236</v>
      </c>
      <c r="B2" s="20" t="s">
        <v>237</v>
      </c>
      <c r="C2" s="20" t="s">
        <v>238</v>
      </c>
      <c r="D2" s="20"/>
      <c r="E2" s="20"/>
      <c r="F2" s="20" t="s">
        <v>236</v>
      </c>
    </row>
    <row r="3" spans="1:6" x14ac:dyDescent="0.25">
      <c r="A3" s="20" t="s">
        <v>59</v>
      </c>
      <c r="B3" s="20" t="s">
        <v>239</v>
      </c>
      <c r="C3" s="20" t="s">
        <v>238</v>
      </c>
      <c r="D3" s="20" t="s">
        <v>240</v>
      </c>
      <c r="E3" s="20"/>
      <c r="F3" s="20" t="s">
        <v>241</v>
      </c>
    </row>
    <row r="4" spans="1:6" x14ac:dyDescent="0.25">
      <c r="A4" s="20" t="s">
        <v>80</v>
      </c>
      <c r="B4" s="20" t="s">
        <v>242</v>
      </c>
      <c r="C4" s="20" t="s">
        <v>238</v>
      </c>
      <c r="D4" s="20" t="s">
        <v>240</v>
      </c>
      <c r="E4" s="20" t="s">
        <v>243</v>
      </c>
      <c r="F4" s="20" t="s">
        <v>244</v>
      </c>
    </row>
    <row r="5" spans="1:6" x14ac:dyDescent="0.25">
      <c r="A5" s="20" t="s">
        <v>96</v>
      </c>
      <c r="B5" s="20" t="s">
        <v>242</v>
      </c>
      <c r="C5" s="20" t="s">
        <v>238</v>
      </c>
      <c r="D5" s="20" t="s">
        <v>240</v>
      </c>
      <c r="E5" s="20" t="s">
        <v>245</v>
      </c>
      <c r="F5" s="20" t="s">
        <v>246</v>
      </c>
    </row>
    <row r="6" spans="1:6" x14ac:dyDescent="0.25">
      <c r="A6" s="20" t="s">
        <v>127</v>
      </c>
      <c r="B6" s="20" t="s">
        <v>242</v>
      </c>
      <c r="C6" s="20" t="s">
        <v>238</v>
      </c>
      <c r="D6" s="20" t="s">
        <v>240</v>
      </c>
      <c r="E6" s="20" t="s">
        <v>247</v>
      </c>
      <c r="F6" s="20" t="s">
        <v>248</v>
      </c>
    </row>
    <row r="7" spans="1:6" x14ac:dyDescent="0.25">
      <c r="A7" s="20" t="s">
        <v>115</v>
      </c>
      <c r="B7" s="20" t="s">
        <v>242</v>
      </c>
      <c r="C7" s="20" t="s">
        <v>238</v>
      </c>
      <c r="D7" s="20" t="s">
        <v>240</v>
      </c>
      <c r="E7" s="20" t="s">
        <v>249</v>
      </c>
      <c r="F7" s="20" t="s">
        <v>250</v>
      </c>
    </row>
    <row r="8" spans="1:6" x14ac:dyDescent="0.25">
      <c r="A8" s="20" t="s">
        <v>153</v>
      </c>
      <c r="B8" s="20" t="s">
        <v>242</v>
      </c>
      <c r="C8" s="20" t="s">
        <v>238</v>
      </c>
      <c r="D8" s="20" t="s">
        <v>240</v>
      </c>
      <c r="E8" s="20" t="s">
        <v>251</v>
      </c>
      <c r="F8" s="20" t="s">
        <v>252</v>
      </c>
    </row>
    <row r="9" spans="1:6" x14ac:dyDescent="0.25">
      <c r="A9" s="20" t="s">
        <v>209</v>
      </c>
      <c r="B9" s="20">
        <v>3</v>
      </c>
      <c r="C9" s="20" t="s">
        <v>238</v>
      </c>
      <c r="D9" s="20" t="s">
        <v>240</v>
      </c>
      <c r="E9" s="20" t="s">
        <v>253</v>
      </c>
      <c r="F9" s="20" t="s">
        <v>254</v>
      </c>
    </row>
    <row r="10" spans="1:6" x14ac:dyDescent="0.25">
      <c r="A10" s="20" t="s">
        <v>255</v>
      </c>
      <c r="B10" s="20" t="s">
        <v>237</v>
      </c>
      <c r="C10" s="20" t="s">
        <v>256</v>
      </c>
      <c r="D10" s="20"/>
      <c r="E10" s="20"/>
      <c r="F10" s="20" t="s">
        <v>255</v>
      </c>
    </row>
    <row r="11" spans="1:6" x14ac:dyDescent="0.25">
      <c r="A11" s="20" t="s">
        <v>257</v>
      </c>
      <c r="B11" s="20" t="s">
        <v>239</v>
      </c>
      <c r="C11" s="20" t="s">
        <v>256</v>
      </c>
      <c r="D11" s="20" t="s">
        <v>240</v>
      </c>
      <c r="E11" s="20"/>
      <c r="F11" s="20" t="s">
        <v>258</v>
      </c>
    </row>
    <row r="12" spans="1:6" x14ac:dyDescent="0.25">
      <c r="A12" s="20" t="s">
        <v>259</v>
      </c>
      <c r="B12" s="20" t="s">
        <v>242</v>
      </c>
      <c r="C12" s="20" t="s">
        <v>256</v>
      </c>
      <c r="D12" s="20" t="s">
        <v>240</v>
      </c>
      <c r="E12" s="20" t="s">
        <v>243</v>
      </c>
      <c r="F12" s="20" t="s">
        <v>260</v>
      </c>
    </row>
    <row r="13" spans="1:6" x14ac:dyDescent="0.25">
      <c r="A13" s="20" t="s">
        <v>46</v>
      </c>
      <c r="B13" s="20" t="s">
        <v>242</v>
      </c>
      <c r="C13" s="20" t="s">
        <v>256</v>
      </c>
      <c r="D13" s="20" t="s">
        <v>240</v>
      </c>
      <c r="E13" s="20" t="s">
        <v>245</v>
      </c>
      <c r="F13" s="20" t="s">
        <v>261</v>
      </c>
    </row>
    <row r="14" spans="1:6" x14ac:dyDescent="0.25">
      <c r="A14" s="20" t="s">
        <v>68</v>
      </c>
      <c r="B14" s="20" t="s">
        <v>242</v>
      </c>
      <c r="C14" s="20" t="s">
        <v>256</v>
      </c>
      <c r="D14" s="20" t="s">
        <v>240</v>
      </c>
      <c r="E14" s="20" t="s">
        <v>247</v>
      </c>
      <c r="F14" s="20" t="s">
        <v>262</v>
      </c>
    </row>
    <row r="15" spans="1:6" x14ac:dyDescent="0.25">
      <c r="A15" s="20" t="s">
        <v>162</v>
      </c>
      <c r="B15" s="20" t="s">
        <v>242</v>
      </c>
      <c r="C15" s="20" t="s">
        <v>256</v>
      </c>
      <c r="D15" s="20" t="s">
        <v>240</v>
      </c>
      <c r="E15" s="20" t="s">
        <v>249</v>
      </c>
      <c r="F15" s="20" t="s">
        <v>263</v>
      </c>
    </row>
    <row r="16" spans="1:6" x14ac:dyDescent="0.25">
      <c r="A16" s="20" t="s">
        <v>203</v>
      </c>
      <c r="B16" s="20" t="s">
        <v>242</v>
      </c>
      <c r="C16" s="20" t="s">
        <v>256</v>
      </c>
      <c r="D16" s="20" t="s">
        <v>240</v>
      </c>
      <c r="E16" s="20" t="s">
        <v>251</v>
      </c>
      <c r="F16" s="20" t="s">
        <v>264</v>
      </c>
    </row>
    <row r="17" spans="1:6" x14ac:dyDescent="0.25">
      <c r="A17" s="20" t="s">
        <v>59</v>
      </c>
      <c r="B17" s="20" t="s">
        <v>239</v>
      </c>
      <c r="C17" s="20" t="s">
        <v>256</v>
      </c>
      <c r="D17" s="20" t="s">
        <v>265</v>
      </c>
      <c r="E17" s="20"/>
      <c r="F17" s="20" t="s">
        <v>266</v>
      </c>
    </row>
    <row r="18" spans="1:6" x14ac:dyDescent="0.25">
      <c r="A18" s="20" t="s">
        <v>259</v>
      </c>
      <c r="B18" s="20" t="s">
        <v>242</v>
      </c>
      <c r="C18" s="20" t="s">
        <v>256</v>
      </c>
      <c r="D18" s="20" t="s">
        <v>265</v>
      </c>
      <c r="E18" s="20" t="s">
        <v>243</v>
      </c>
      <c r="F18" s="20" t="s">
        <v>267</v>
      </c>
    </row>
    <row r="19" spans="1:6" x14ac:dyDescent="0.25">
      <c r="A19" s="20" t="s">
        <v>46</v>
      </c>
      <c r="B19" s="20" t="s">
        <v>242</v>
      </c>
      <c r="C19" s="20" t="s">
        <v>256</v>
      </c>
      <c r="D19" s="20" t="s">
        <v>265</v>
      </c>
      <c r="E19" s="20" t="s">
        <v>245</v>
      </c>
      <c r="F19" s="20" t="s">
        <v>268</v>
      </c>
    </row>
    <row r="20" spans="1:6" x14ac:dyDescent="0.25">
      <c r="A20" s="20" t="s">
        <v>68</v>
      </c>
      <c r="B20" s="20" t="s">
        <v>242</v>
      </c>
      <c r="C20" s="20" t="s">
        <v>256</v>
      </c>
      <c r="D20" s="20" t="s">
        <v>265</v>
      </c>
      <c r="E20" s="20" t="s">
        <v>247</v>
      </c>
      <c r="F20" s="20" t="s">
        <v>269</v>
      </c>
    </row>
    <row r="21" spans="1:6" x14ac:dyDescent="0.25">
      <c r="A21" s="20" t="s">
        <v>151</v>
      </c>
      <c r="B21" s="20" t="s">
        <v>242</v>
      </c>
      <c r="C21" s="20" t="s">
        <v>256</v>
      </c>
      <c r="D21" s="20" t="s">
        <v>265</v>
      </c>
      <c r="E21" s="20" t="s">
        <v>249</v>
      </c>
      <c r="F21" s="20" t="s">
        <v>270</v>
      </c>
    </row>
    <row r="22" spans="1:6" x14ac:dyDescent="0.25">
      <c r="A22" s="20" t="s">
        <v>63</v>
      </c>
      <c r="B22" s="20" t="s">
        <v>242</v>
      </c>
      <c r="C22" s="20" t="s">
        <v>256</v>
      </c>
      <c r="D22" s="20" t="s">
        <v>265</v>
      </c>
      <c r="E22" s="20" t="s">
        <v>251</v>
      </c>
      <c r="F22" s="20" t="s">
        <v>271</v>
      </c>
    </row>
    <row r="23" spans="1:6" x14ac:dyDescent="0.25">
      <c r="A23" s="20" t="s">
        <v>199</v>
      </c>
      <c r="B23" s="20" t="s">
        <v>242</v>
      </c>
      <c r="C23" s="20" t="s">
        <v>256</v>
      </c>
      <c r="D23" s="20" t="s">
        <v>265</v>
      </c>
      <c r="E23" s="20" t="s">
        <v>253</v>
      </c>
      <c r="F23" s="20" t="s">
        <v>272</v>
      </c>
    </row>
    <row r="24" spans="1:6" x14ac:dyDescent="0.25">
      <c r="A24" s="20" t="s">
        <v>207</v>
      </c>
      <c r="B24" s="20" t="s">
        <v>242</v>
      </c>
      <c r="C24" s="20" t="s">
        <v>256</v>
      </c>
      <c r="D24" s="20" t="s">
        <v>265</v>
      </c>
      <c r="E24" s="20" t="s">
        <v>273</v>
      </c>
      <c r="F24" s="20" t="s">
        <v>274</v>
      </c>
    </row>
    <row r="25" spans="1:6" x14ac:dyDescent="0.25">
      <c r="A25" s="20" t="s">
        <v>139</v>
      </c>
      <c r="B25" s="20" t="s">
        <v>239</v>
      </c>
      <c r="C25" s="20" t="s">
        <v>256</v>
      </c>
      <c r="D25" s="20" t="s">
        <v>275</v>
      </c>
      <c r="E25" s="20"/>
      <c r="F25" s="20" t="s">
        <v>276</v>
      </c>
    </row>
    <row r="26" spans="1:6" x14ac:dyDescent="0.25">
      <c r="A26" s="20" t="s">
        <v>259</v>
      </c>
      <c r="B26" s="20" t="s">
        <v>242</v>
      </c>
      <c r="C26" s="20" t="s">
        <v>256</v>
      </c>
      <c r="D26" s="20" t="s">
        <v>275</v>
      </c>
      <c r="E26" s="20" t="s">
        <v>243</v>
      </c>
      <c r="F26" s="20" t="s">
        <v>277</v>
      </c>
    </row>
    <row r="27" spans="1:6" x14ac:dyDescent="0.25">
      <c r="A27" s="20" t="s">
        <v>46</v>
      </c>
      <c r="B27" s="20" t="s">
        <v>242</v>
      </c>
      <c r="C27" s="20" t="s">
        <v>256</v>
      </c>
      <c r="D27" s="20" t="s">
        <v>275</v>
      </c>
      <c r="E27" s="20" t="s">
        <v>245</v>
      </c>
      <c r="F27" s="20" t="s">
        <v>278</v>
      </c>
    </row>
    <row r="28" spans="1:6" x14ac:dyDescent="0.25">
      <c r="A28" s="20" t="s">
        <v>68</v>
      </c>
      <c r="B28" s="20" t="s">
        <v>242</v>
      </c>
      <c r="C28" s="20" t="s">
        <v>256</v>
      </c>
      <c r="D28" s="20" t="s">
        <v>275</v>
      </c>
      <c r="E28" s="20" t="s">
        <v>247</v>
      </c>
      <c r="F28" s="20" t="s">
        <v>279</v>
      </c>
    </row>
    <row r="29" spans="1:6" x14ac:dyDescent="0.25">
      <c r="A29" s="20" t="s">
        <v>280</v>
      </c>
      <c r="B29" s="20" t="s">
        <v>239</v>
      </c>
      <c r="C29" s="20" t="s">
        <v>256</v>
      </c>
      <c r="D29" s="20" t="s">
        <v>281</v>
      </c>
      <c r="E29" s="20"/>
      <c r="F29" s="20" t="s">
        <v>282</v>
      </c>
    </row>
    <row r="30" spans="1:6" x14ac:dyDescent="0.25">
      <c r="A30" s="20" t="s">
        <v>259</v>
      </c>
      <c r="B30" s="20" t="s">
        <v>242</v>
      </c>
      <c r="C30" s="20" t="s">
        <v>256</v>
      </c>
      <c r="D30" s="20" t="s">
        <v>281</v>
      </c>
      <c r="E30" s="20" t="s">
        <v>243</v>
      </c>
      <c r="F30" s="20" t="s">
        <v>283</v>
      </c>
    </row>
    <row r="31" spans="1:6" x14ac:dyDescent="0.25">
      <c r="A31" s="20" t="s">
        <v>46</v>
      </c>
      <c r="B31" s="20" t="s">
        <v>242</v>
      </c>
      <c r="C31" s="20" t="s">
        <v>256</v>
      </c>
      <c r="D31" s="20" t="s">
        <v>281</v>
      </c>
      <c r="E31" s="20" t="s">
        <v>245</v>
      </c>
      <c r="F31" s="20" t="s">
        <v>284</v>
      </c>
    </row>
    <row r="32" spans="1:6" x14ac:dyDescent="0.25">
      <c r="A32" s="20" t="s">
        <v>68</v>
      </c>
      <c r="B32" s="20" t="s">
        <v>242</v>
      </c>
      <c r="C32" s="20" t="s">
        <v>256</v>
      </c>
      <c r="D32" s="20" t="s">
        <v>281</v>
      </c>
      <c r="E32" s="20" t="s">
        <v>247</v>
      </c>
      <c r="F32" s="20" t="s">
        <v>285</v>
      </c>
    </row>
    <row r="33" spans="1:6" x14ac:dyDescent="0.25">
      <c r="A33" s="20" t="s">
        <v>286</v>
      </c>
      <c r="B33" s="20" t="s">
        <v>237</v>
      </c>
      <c r="C33" s="20" t="s">
        <v>287</v>
      </c>
      <c r="D33" s="20"/>
      <c r="E33" s="20"/>
      <c r="F33" s="20" t="s">
        <v>286</v>
      </c>
    </row>
    <row r="34" spans="1:6" x14ac:dyDescent="0.25">
      <c r="A34" s="20" t="s">
        <v>257</v>
      </c>
      <c r="B34" s="20" t="s">
        <v>239</v>
      </c>
      <c r="C34" s="20" t="s">
        <v>287</v>
      </c>
      <c r="D34" s="20" t="s">
        <v>240</v>
      </c>
      <c r="E34" s="20"/>
      <c r="F34" s="20" t="s">
        <v>288</v>
      </c>
    </row>
    <row r="35" spans="1:6" x14ac:dyDescent="0.25">
      <c r="A35" s="20" t="s">
        <v>289</v>
      </c>
      <c r="B35" s="20" t="s">
        <v>242</v>
      </c>
      <c r="C35" s="20" t="s">
        <v>287</v>
      </c>
      <c r="D35" s="20" t="s">
        <v>240</v>
      </c>
      <c r="E35" s="20" t="s">
        <v>243</v>
      </c>
      <c r="F35" s="20" t="s">
        <v>290</v>
      </c>
    </row>
    <row r="36" spans="1:6" x14ac:dyDescent="0.25">
      <c r="A36" s="20" t="s">
        <v>80</v>
      </c>
      <c r="B36" s="20" t="s">
        <v>242</v>
      </c>
      <c r="C36" s="20" t="s">
        <v>287</v>
      </c>
      <c r="D36" s="20" t="s">
        <v>240</v>
      </c>
      <c r="E36" s="20" t="s">
        <v>245</v>
      </c>
      <c r="F36" s="20" t="s">
        <v>291</v>
      </c>
    </row>
    <row r="37" spans="1:6" x14ac:dyDescent="0.25">
      <c r="A37" s="20" t="s">
        <v>96</v>
      </c>
      <c r="B37" s="20" t="s">
        <v>242</v>
      </c>
      <c r="C37" s="20" t="s">
        <v>287</v>
      </c>
      <c r="D37" s="20" t="s">
        <v>240</v>
      </c>
      <c r="E37" s="20" t="s">
        <v>247</v>
      </c>
      <c r="F37" s="20" t="s">
        <v>292</v>
      </c>
    </row>
    <row r="38" spans="1:6" x14ac:dyDescent="0.25">
      <c r="A38" s="20" t="s">
        <v>127</v>
      </c>
      <c r="B38" s="20" t="s">
        <v>242</v>
      </c>
      <c r="C38" s="20" t="s">
        <v>287</v>
      </c>
      <c r="D38" s="20" t="s">
        <v>240</v>
      </c>
      <c r="E38" s="20" t="s">
        <v>249</v>
      </c>
      <c r="F38" s="20" t="s">
        <v>293</v>
      </c>
    </row>
    <row r="39" spans="1:6" x14ac:dyDescent="0.25">
      <c r="A39" s="20" t="s">
        <v>101</v>
      </c>
      <c r="B39" s="20" t="s">
        <v>242</v>
      </c>
      <c r="C39" s="20" t="s">
        <v>287</v>
      </c>
      <c r="D39" s="20" t="s">
        <v>240</v>
      </c>
      <c r="E39" s="20" t="s">
        <v>251</v>
      </c>
      <c r="F39" s="20" t="s">
        <v>294</v>
      </c>
    </row>
    <row r="40" spans="1:6" x14ac:dyDescent="0.25">
      <c r="A40" s="20" t="s">
        <v>115</v>
      </c>
      <c r="B40" s="20" t="s">
        <v>242</v>
      </c>
      <c r="C40" s="20" t="s">
        <v>287</v>
      </c>
      <c r="D40" s="20" t="s">
        <v>240</v>
      </c>
      <c r="E40" s="20" t="s">
        <v>253</v>
      </c>
      <c r="F40" s="20" t="s">
        <v>295</v>
      </c>
    </row>
    <row r="41" spans="1:6" x14ac:dyDescent="0.25">
      <c r="A41" s="20" t="s">
        <v>184</v>
      </c>
      <c r="B41" s="20" t="s">
        <v>242</v>
      </c>
      <c r="C41" s="20" t="s">
        <v>287</v>
      </c>
      <c r="D41" s="20" t="s">
        <v>240</v>
      </c>
      <c r="E41" s="20" t="s">
        <v>273</v>
      </c>
      <c r="F41" s="20" t="s">
        <v>296</v>
      </c>
    </row>
    <row r="42" spans="1:6" x14ac:dyDescent="0.25">
      <c r="A42" s="20" t="s">
        <v>46</v>
      </c>
      <c r="B42" s="20" t="s">
        <v>242</v>
      </c>
      <c r="C42" s="20" t="s">
        <v>287</v>
      </c>
      <c r="D42" s="20" t="s">
        <v>240</v>
      </c>
      <c r="E42" s="20" t="s">
        <v>297</v>
      </c>
      <c r="F42" s="20" t="s">
        <v>298</v>
      </c>
    </row>
    <row r="43" spans="1:6" x14ac:dyDescent="0.25">
      <c r="A43" s="20" t="s">
        <v>59</v>
      </c>
      <c r="B43" s="20" t="s">
        <v>239</v>
      </c>
      <c r="C43" s="20" t="s">
        <v>287</v>
      </c>
      <c r="D43" s="20" t="s">
        <v>265</v>
      </c>
      <c r="E43" s="20"/>
      <c r="F43" s="20" t="s">
        <v>299</v>
      </c>
    </row>
    <row r="44" spans="1:6" x14ac:dyDescent="0.25">
      <c r="A44" s="20" t="s">
        <v>289</v>
      </c>
      <c r="B44" s="20" t="s">
        <v>242</v>
      </c>
      <c r="C44" s="20" t="s">
        <v>287</v>
      </c>
      <c r="D44" s="20" t="s">
        <v>265</v>
      </c>
      <c r="E44" s="20" t="s">
        <v>243</v>
      </c>
      <c r="F44" s="20" t="s">
        <v>300</v>
      </c>
    </row>
    <row r="45" spans="1:6" x14ac:dyDescent="0.25">
      <c r="A45" s="20" t="s">
        <v>301</v>
      </c>
      <c r="B45" s="20" t="s">
        <v>242</v>
      </c>
      <c r="C45" s="20" t="s">
        <v>287</v>
      </c>
      <c r="D45" s="20" t="s">
        <v>265</v>
      </c>
      <c r="E45" s="20" t="s">
        <v>245</v>
      </c>
      <c r="F45" s="20" t="s">
        <v>302</v>
      </c>
    </row>
    <row r="46" spans="1:6" x14ac:dyDescent="0.25">
      <c r="A46" s="20" t="s">
        <v>96</v>
      </c>
      <c r="B46" s="20" t="s">
        <v>242</v>
      </c>
      <c r="C46" s="20" t="s">
        <v>287</v>
      </c>
      <c r="D46" s="20" t="s">
        <v>265</v>
      </c>
      <c r="E46" s="20" t="s">
        <v>247</v>
      </c>
      <c r="F46" s="20" t="s">
        <v>303</v>
      </c>
    </row>
    <row r="47" spans="1:6" x14ac:dyDescent="0.25">
      <c r="A47" s="20" t="s">
        <v>127</v>
      </c>
      <c r="B47" s="20" t="s">
        <v>242</v>
      </c>
      <c r="C47" s="20" t="s">
        <v>287</v>
      </c>
      <c r="D47" s="20" t="s">
        <v>265</v>
      </c>
      <c r="E47" s="20" t="s">
        <v>249</v>
      </c>
      <c r="F47" s="20" t="s">
        <v>304</v>
      </c>
    </row>
    <row r="48" spans="1:6" x14ac:dyDescent="0.25">
      <c r="A48" s="20" t="s">
        <v>101</v>
      </c>
      <c r="B48" s="20" t="s">
        <v>242</v>
      </c>
      <c r="C48" s="20" t="s">
        <v>287</v>
      </c>
      <c r="D48" s="20" t="s">
        <v>265</v>
      </c>
      <c r="E48" s="20" t="s">
        <v>251</v>
      </c>
      <c r="F48" s="20" t="s">
        <v>305</v>
      </c>
    </row>
    <row r="49" spans="1:6" x14ac:dyDescent="0.25">
      <c r="A49" s="20" t="s">
        <v>115</v>
      </c>
      <c r="B49" s="20" t="s">
        <v>242</v>
      </c>
      <c r="C49" s="20" t="s">
        <v>287</v>
      </c>
      <c r="D49" s="20" t="s">
        <v>265</v>
      </c>
      <c r="E49" s="20" t="s">
        <v>253</v>
      </c>
      <c r="F49" s="20" t="s">
        <v>306</v>
      </c>
    </row>
    <row r="50" spans="1:6" x14ac:dyDescent="0.25">
      <c r="A50" s="20" t="s">
        <v>184</v>
      </c>
      <c r="B50" s="20" t="s">
        <v>242</v>
      </c>
      <c r="C50" s="20" t="s">
        <v>287</v>
      </c>
      <c r="D50" s="20" t="s">
        <v>265</v>
      </c>
      <c r="E50" s="20" t="s">
        <v>273</v>
      </c>
      <c r="F50" s="20" t="s">
        <v>307</v>
      </c>
    </row>
    <row r="51" spans="1:6" x14ac:dyDescent="0.25">
      <c r="A51" s="20" t="s">
        <v>201</v>
      </c>
      <c r="B51" s="20" t="s">
        <v>242</v>
      </c>
      <c r="C51" s="20" t="s">
        <v>287</v>
      </c>
      <c r="D51" s="20" t="s">
        <v>265</v>
      </c>
      <c r="E51" s="20" t="s">
        <v>297</v>
      </c>
      <c r="F51" s="20" t="s">
        <v>308</v>
      </c>
    </row>
    <row r="52" spans="1:6" x14ac:dyDescent="0.25">
      <c r="A52" s="20" t="s">
        <v>205</v>
      </c>
      <c r="B52" s="20">
        <v>3</v>
      </c>
      <c r="C52" s="20" t="s">
        <v>287</v>
      </c>
      <c r="D52" s="20" t="s">
        <v>265</v>
      </c>
      <c r="E52" s="20" t="s">
        <v>309</v>
      </c>
      <c r="F52" s="20" t="s">
        <v>310</v>
      </c>
    </row>
    <row r="53" spans="1:6" x14ac:dyDescent="0.25">
      <c r="A53" s="20" t="s">
        <v>311</v>
      </c>
      <c r="B53" s="20" t="s">
        <v>237</v>
      </c>
      <c r="C53" s="20" t="s">
        <v>312</v>
      </c>
      <c r="D53" s="20"/>
      <c r="E53" s="20"/>
      <c r="F53" s="20" t="s">
        <v>311</v>
      </c>
    </row>
    <row r="54" spans="1:6" x14ac:dyDescent="0.25">
      <c r="A54" s="20" t="s">
        <v>257</v>
      </c>
      <c r="B54" s="20" t="s">
        <v>239</v>
      </c>
      <c r="C54" s="20" t="s">
        <v>312</v>
      </c>
      <c r="D54" s="20" t="s">
        <v>240</v>
      </c>
      <c r="E54" s="20"/>
      <c r="F54" s="20" t="s">
        <v>313</v>
      </c>
    </row>
    <row r="55" spans="1:6" x14ac:dyDescent="0.25">
      <c r="A55" s="20" t="s">
        <v>259</v>
      </c>
      <c r="B55" s="20" t="s">
        <v>242</v>
      </c>
      <c r="C55" s="20" t="s">
        <v>312</v>
      </c>
      <c r="D55" s="20" t="s">
        <v>240</v>
      </c>
      <c r="E55" s="20" t="s">
        <v>243</v>
      </c>
      <c r="F55" s="20" t="s">
        <v>314</v>
      </c>
    </row>
    <row r="56" spans="1:6" x14ac:dyDescent="0.25">
      <c r="A56" s="20" t="s">
        <v>46</v>
      </c>
      <c r="B56" s="20" t="s">
        <v>242</v>
      </c>
      <c r="C56" s="20" t="s">
        <v>312</v>
      </c>
      <c r="D56" s="20" t="s">
        <v>240</v>
      </c>
      <c r="E56" s="20" t="s">
        <v>245</v>
      </c>
      <c r="F56" s="20" t="s">
        <v>315</v>
      </c>
    </row>
    <row r="57" spans="1:6" x14ac:dyDescent="0.25">
      <c r="A57" s="20" t="s">
        <v>68</v>
      </c>
      <c r="B57" s="20" t="s">
        <v>242</v>
      </c>
      <c r="C57" s="20" t="s">
        <v>312</v>
      </c>
      <c r="D57" s="20" t="s">
        <v>240</v>
      </c>
      <c r="E57" s="20" t="s">
        <v>247</v>
      </c>
      <c r="F57" s="20" t="s">
        <v>316</v>
      </c>
    </row>
    <row r="58" spans="1:6" x14ac:dyDescent="0.25">
      <c r="A58" s="20" t="s">
        <v>162</v>
      </c>
      <c r="B58" s="20" t="s">
        <v>242</v>
      </c>
      <c r="C58" s="20" t="s">
        <v>312</v>
      </c>
      <c r="D58" s="20" t="s">
        <v>240</v>
      </c>
      <c r="E58" s="20" t="s">
        <v>249</v>
      </c>
      <c r="F58" s="20" t="s">
        <v>317</v>
      </c>
    </row>
    <row r="59" spans="1:6" x14ac:dyDescent="0.25">
      <c r="A59" s="20" t="s">
        <v>59</v>
      </c>
      <c r="B59" s="20" t="s">
        <v>239</v>
      </c>
      <c r="C59" s="20" t="s">
        <v>312</v>
      </c>
      <c r="D59" s="20" t="s">
        <v>265</v>
      </c>
      <c r="E59" s="20"/>
      <c r="F59" s="20" t="s">
        <v>318</v>
      </c>
    </row>
    <row r="60" spans="1:6" x14ac:dyDescent="0.25">
      <c r="A60" s="20" t="s">
        <v>259</v>
      </c>
      <c r="B60" s="20" t="s">
        <v>242</v>
      </c>
      <c r="C60" s="20" t="s">
        <v>312</v>
      </c>
      <c r="D60" s="20" t="s">
        <v>265</v>
      </c>
      <c r="E60" s="20" t="s">
        <v>243</v>
      </c>
      <c r="F60" s="20" t="s">
        <v>319</v>
      </c>
    </row>
    <row r="61" spans="1:6" x14ac:dyDescent="0.25">
      <c r="A61" s="20" t="s">
        <v>46</v>
      </c>
      <c r="B61" s="20" t="s">
        <v>242</v>
      </c>
      <c r="C61" s="20" t="s">
        <v>312</v>
      </c>
      <c r="D61" s="20" t="s">
        <v>265</v>
      </c>
      <c r="E61" s="20" t="s">
        <v>245</v>
      </c>
      <c r="F61" s="20" t="s">
        <v>320</v>
      </c>
    </row>
    <row r="62" spans="1:6" x14ac:dyDescent="0.25">
      <c r="A62" s="20" t="s">
        <v>68</v>
      </c>
      <c r="B62" s="20" t="s">
        <v>242</v>
      </c>
      <c r="C62" s="20" t="s">
        <v>312</v>
      </c>
      <c r="D62" s="20" t="s">
        <v>265</v>
      </c>
      <c r="E62" s="20" t="s">
        <v>247</v>
      </c>
      <c r="F62" s="20" t="s">
        <v>321</v>
      </c>
    </row>
    <row r="63" spans="1:6" x14ac:dyDescent="0.25">
      <c r="A63" s="20" t="s">
        <v>139</v>
      </c>
      <c r="B63" s="20" t="s">
        <v>239</v>
      </c>
      <c r="C63" s="20" t="s">
        <v>312</v>
      </c>
      <c r="D63" s="20" t="s">
        <v>275</v>
      </c>
      <c r="E63" s="20"/>
      <c r="F63" s="20" t="s">
        <v>322</v>
      </c>
    </row>
    <row r="64" spans="1:6" x14ac:dyDescent="0.25">
      <c r="A64" s="20" t="s">
        <v>259</v>
      </c>
      <c r="B64" s="20" t="s">
        <v>242</v>
      </c>
      <c r="C64" s="20" t="s">
        <v>312</v>
      </c>
      <c r="D64" s="20" t="s">
        <v>275</v>
      </c>
      <c r="E64" s="20" t="s">
        <v>243</v>
      </c>
      <c r="F64" s="20" t="s">
        <v>323</v>
      </c>
    </row>
    <row r="65" spans="1:6" x14ac:dyDescent="0.25">
      <c r="A65" s="20" t="s">
        <v>46</v>
      </c>
      <c r="B65" s="20" t="s">
        <v>242</v>
      </c>
      <c r="C65" s="20" t="s">
        <v>312</v>
      </c>
      <c r="D65" s="20" t="s">
        <v>275</v>
      </c>
      <c r="E65" s="20" t="s">
        <v>245</v>
      </c>
      <c r="F65" s="20" t="s">
        <v>324</v>
      </c>
    </row>
    <row r="66" spans="1:6" x14ac:dyDescent="0.25">
      <c r="A66" s="20" t="s">
        <v>68</v>
      </c>
      <c r="B66" s="20" t="s">
        <v>242</v>
      </c>
      <c r="C66" s="20" t="s">
        <v>312</v>
      </c>
      <c r="D66" s="20" t="s">
        <v>275</v>
      </c>
      <c r="E66" s="20" t="s">
        <v>247</v>
      </c>
      <c r="F66" s="20" t="s">
        <v>325</v>
      </c>
    </row>
    <row r="67" spans="1:6" x14ac:dyDescent="0.25">
      <c r="A67" s="20" t="s">
        <v>280</v>
      </c>
      <c r="B67" s="20" t="s">
        <v>239</v>
      </c>
      <c r="C67" s="20" t="s">
        <v>312</v>
      </c>
      <c r="D67" s="20" t="s">
        <v>281</v>
      </c>
      <c r="E67" s="20"/>
      <c r="F67" s="20" t="s">
        <v>326</v>
      </c>
    </row>
    <row r="68" spans="1:6" x14ac:dyDescent="0.25">
      <c r="A68" s="20" t="s">
        <v>259</v>
      </c>
      <c r="B68" s="20" t="s">
        <v>242</v>
      </c>
      <c r="C68" s="20" t="s">
        <v>312</v>
      </c>
      <c r="D68" s="20" t="s">
        <v>281</v>
      </c>
      <c r="E68" s="20" t="s">
        <v>243</v>
      </c>
      <c r="F68" s="20" t="s">
        <v>327</v>
      </c>
    </row>
    <row r="69" spans="1:6" x14ac:dyDescent="0.25">
      <c r="A69" s="20" t="s">
        <v>46</v>
      </c>
      <c r="B69" s="20" t="s">
        <v>242</v>
      </c>
      <c r="C69" s="20" t="s">
        <v>312</v>
      </c>
      <c r="D69" s="20" t="s">
        <v>281</v>
      </c>
      <c r="E69" s="20" t="s">
        <v>245</v>
      </c>
      <c r="F69" s="20" t="s">
        <v>328</v>
      </c>
    </row>
    <row r="70" spans="1:6" x14ac:dyDescent="0.25">
      <c r="A70" s="20" t="s">
        <v>68</v>
      </c>
      <c r="B70" s="20" t="s">
        <v>242</v>
      </c>
      <c r="C70" s="20" t="s">
        <v>312</v>
      </c>
      <c r="D70" s="20" t="s">
        <v>281</v>
      </c>
      <c r="E70" s="20" t="s">
        <v>247</v>
      </c>
      <c r="F70" s="20" t="s">
        <v>329</v>
      </c>
    </row>
    <row r="71" spans="1:6" x14ac:dyDescent="0.25">
      <c r="A71" s="20" t="s">
        <v>330</v>
      </c>
      <c r="B71" s="20" t="s">
        <v>239</v>
      </c>
      <c r="C71" s="20" t="s">
        <v>312</v>
      </c>
      <c r="D71" s="20" t="s">
        <v>331</v>
      </c>
      <c r="E71" s="20"/>
      <c r="F71" s="20" t="s">
        <v>332</v>
      </c>
    </row>
    <row r="72" spans="1:6" x14ac:dyDescent="0.25">
      <c r="A72" s="20" t="s">
        <v>333</v>
      </c>
      <c r="B72" s="20" t="s">
        <v>242</v>
      </c>
      <c r="C72" s="20" t="s">
        <v>312</v>
      </c>
      <c r="D72" s="20" t="s">
        <v>331</v>
      </c>
      <c r="E72" s="20" t="s">
        <v>243</v>
      </c>
      <c r="F72" s="20" t="s">
        <v>334</v>
      </c>
    </row>
    <row r="73" spans="1:6" x14ac:dyDescent="0.25">
      <c r="A73" s="20" t="s">
        <v>335</v>
      </c>
      <c r="B73" s="20" t="s">
        <v>242</v>
      </c>
      <c r="C73" s="20" t="s">
        <v>312</v>
      </c>
      <c r="D73" s="20" t="s">
        <v>331</v>
      </c>
      <c r="E73" s="20" t="s">
        <v>245</v>
      </c>
      <c r="F73" s="20" t="s">
        <v>336</v>
      </c>
    </row>
    <row r="74" spans="1:6" x14ac:dyDescent="0.25">
      <c r="A74" s="20" t="s">
        <v>59</v>
      </c>
      <c r="B74" s="20" t="s">
        <v>242</v>
      </c>
      <c r="C74" s="20" t="s">
        <v>312</v>
      </c>
      <c r="D74" s="20" t="s">
        <v>331</v>
      </c>
      <c r="E74" s="20" t="s">
        <v>247</v>
      </c>
      <c r="F74" s="20" t="s">
        <v>337</v>
      </c>
    </row>
    <row r="75" spans="1:6" x14ac:dyDescent="0.25">
      <c r="A75" s="20" t="s">
        <v>338</v>
      </c>
      <c r="B75" s="20" t="s">
        <v>237</v>
      </c>
      <c r="C75" s="20" t="s">
        <v>339</v>
      </c>
      <c r="D75" s="20"/>
      <c r="E75" s="20"/>
      <c r="F75" s="20" t="s">
        <v>338</v>
      </c>
    </row>
    <row r="76" spans="1:6" x14ac:dyDescent="0.25">
      <c r="A76" s="20" t="s">
        <v>257</v>
      </c>
      <c r="B76" s="20" t="s">
        <v>239</v>
      </c>
      <c r="C76" s="20" t="s">
        <v>339</v>
      </c>
      <c r="D76" s="20" t="s">
        <v>240</v>
      </c>
      <c r="E76" s="20"/>
      <c r="F76" s="20" t="s">
        <v>340</v>
      </c>
    </row>
    <row r="77" spans="1:6" x14ac:dyDescent="0.25">
      <c r="A77" s="20" t="s">
        <v>193</v>
      </c>
      <c r="B77" s="20" t="s">
        <v>242</v>
      </c>
      <c r="C77" s="20" t="s">
        <v>339</v>
      </c>
      <c r="D77" s="20" t="s">
        <v>240</v>
      </c>
      <c r="E77" s="20" t="s">
        <v>243</v>
      </c>
      <c r="F77" s="20" t="s">
        <v>341</v>
      </c>
    </row>
    <row r="78" spans="1:6" x14ac:dyDescent="0.25">
      <c r="A78" s="20" t="s">
        <v>59</v>
      </c>
      <c r="B78" s="20" t="s">
        <v>239</v>
      </c>
      <c r="C78" s="20" t="s">
        <v>339</v>
      </c>
      <c r="D78" s="20" t="s">
        <v>265</v>
      </c>
      <c r="E78" s="20"/>
      <c r="F78" s="20" t="s">
        <v>342</v>
      </c>
    </row>
    <row r="79" spans="1:6" x14ac:dyDescent="0.25">
      <c r="A79" s="20" t="s">
        <v>193</v>
      </c>
      <c r="B79" s="20" t="s">
        <v>242</v>
      </c>
      <c r="C79" s="20" t="s">
        <v>339</v>
      </c>
      <c r="D79" s="20" t="s">
        <v>265</v>
      </c>
      <c r="E79" s="20" t="s">
        <v>243</v>
      </c>
      <c r="F79" s="20" t="s">
        <v>343</v>
      </c>
    </row>
    <row r="80" spans="1:6" x14ac:dyDescent="0.25">
      <c r="A80" s="20" t="s">
        <v>344</v>
      </c>
      <c r="B80" s="20" t="s">
        <v>237</v>
      </c>
      <c r="C80" s="20" t="s">
        <v>345</v>
      </c>
      <c r="D80" s="20"/>
      <c r="E80" s="20"/>
      <c r="F80" s="20" t="s">
        <v>344</v>
      </c>
    </row>
    <row r="81" spans="1:6" x14ac:dyDescent="0.25">
      <c r="A81" s="20" t="s">
        <v>346</v>
      </c>
      <c r="B81" s="20" t="s">
        <v>239</v>
      </c>
      <c r="C81" s="20" t="s">
        <v>345</v>
      </c>
      <c r="D81" s="20" t="s">
        <v>240</v>
      </c>
      <c r="E81" s="20"/>
      <c r="F81" s="20" t="s">
        <v>347</v>
      </c>
    </row>
    <row r="82" spans="1:6" x14ac:dyDescent="0.25">
      <c r="A82" s="20" t="s">
        <v>348</v>
      </c>
      <c r="B82" s="20" t="s">
        <v>237</v>
      </c>
      <c r="C82" s="20" t="s">
        <v>349</v>
      </c>
      <c r="D82" s="20"/>
      <c r="E82" s="20"/>
      <c r="F82" s="20" t="s">
        <v>348</v>
      </c>
    </row>
    <row r="83" spans="1:6" x14ac:dyDescent="0.25">
      <c r="A83" s="20" t="s">
        <v>350</v>
      </c>
      <c r="B83" s="20" t="s">
        <v>239</v>
      </c>
      <c r="C83" s="20" t="s">
        <v>349</v>
      </c>
      <c r="D83" s="20" t="s">
        <v>240</v>
      </c>
      <c r="E83" s="20"/>
      <c r="F83" s="20" t="s">
        <v>351</v>
      </c>
    </row>
    <row r="84" spans="1:6" x14ac:dyDescent="0.25">
      <c r="A84" s="20" t="s">
        <v>352</v>
      </c>
      <c r="B84" s="20" t="s">
        <v>239</v>
      </c>
      <c r="C84" s="20" t="s">
        <v>349</v>
      </c>
      <c r="D84" s="20" t="s">
        <v>265</v>
      </c>
      <c r="E84" s="20"/>
      <c r="F84" s="20" t="s">
        <v>353</v>
      </c>
    </row>
    <row r="85" spans="1:6" x14ac:dyDescent="0.25">
      <c r="A85" s="20" t="s">
        <v>354</v>
      </c>
      <c r="B85" s="20" t="s">
        <v>239</v>
      </c>
      <c r="C85" s="20" t="s">
        <v>349</v>
      </c>
      <c r="D85" s="20" t="s">
        <v>275</v>
      </c>
      <c r="E85" s="20"/>
      <c r="F85" s="20" t="s">
        <v>355</v>
      </c>
    </row>
    <row r="86" spans="1:6" x14ac:dyDescent="0.25">
      <c r="A86" s="20" t="s">
        <v>356</v>
      </c>
      <c r="B86" s="20" t="s">
        <v>242</v>
      </c>
      <c r="C86" s="20" t="s">
        <v>349</v>
      </c>
      <c r="D86" s="20" t="s">
        <v>275</v>
      </c>
      <c r="E86" s="20" t="s">
        <v>243</v>
      </c>
      <c r="F86" s="20" t="s">
        <v>357</v>
      </c>
    </row>
    <row r="87" spans="1:6" x14ac:dyDescent="0.25">
      <c r="A87" s="20" t="s">
        <v>358</v>
      </c>
      <c r="B87" s="20" t="s">
        <v>239</v>
      </c>
      <c r="C87" s="20" t="s">
        <v>349</v>
      </c>
      <c r="D87" s="20" t="s">
        <v>281</v>
      </c>
      <c r="E87" s="20"/>
      <c r="F87" s="20" t="s">
        <v>359</v>
      </c>
    </row>
    <row r="88" spans="1:6" x14ac:dyDescent="0.25">
      <c r="A88" s="20" t="s">
        <v>360</v>
      </c>
      <c r="B88" s="20" t="s">
        <v>239</v>
      </c>
      <c r="C88" s="20" t="s">
        <v>349</v>
      </c>
      <c r="D88" s="20" t="s">
        <v>361</v>
      </c>
      <c r="E88" s="20"/>
      <c r="F88" s="20" t="s">
        <v>362</v>
      </c>
    </row>
    <row r="89" spans="1:6" x14ac:dyDescent="0.25">
      <c r="A89" s="20" t="s">
        <v>363</v>
      </c>
      <c r="B89" s="20" t="s">
        <v>239</v>
      </c>
      <c r="C89" s="20" t="s">
        <v>349</v>
      </c>
      <c r="D89" s="20" t="s">
        <v>331</v>
      </c>
      <c r="E89" s="20"/>
      <c r="F89" s="20" t="s">
        <v>364</v>
      </c>
    </row>
    <row r="90" spans="1:6" x14ac:dyDescent="0.25">
      <c r="A90" s="20" t="s">
        <v>346</v>
      </c>
      <c r="B90" s="20" t="s">
        <v>239</v>
      </c>
      <c r="C90" s="20" t="s">
        <v>349</v>
      </c>
      <c r="D90" s="20" t="s">
        <v>365</v>
      </c>
      <c r="E90" s="20"/>
      <c r="F90" s="20" t="s">
        <v>366</v>
      </c>
    </row>
    <row r="91" spans="1:6" x14ac:dyDescent="0.25">
      <c r="A91" s="20" t="s">
        <v>330</v>
      </c>
      <c r="B91" s="20" t="s">
        <v>239</v>
      </c>
      <c r="C91" s="20" t="s">
        <v>349</v>
      </c>
      <c r="D91" s="20" t="s">
        <v>367</v>
      </c>
      <c r="E91" s="20"/>
      <c r="F91" s="20" t="s">
        <v>368</v>
      </c>
    </row>
    <row r="92" spans="1:6" x14ac:dyDescent="0.25">
      <c r="A92" s="20" t="s">
        <v>333</v>
      </c>
      <c r="B92" s="20" t="s">
        <v>242</v>
      </c>
      <c r="C92" s="20" t="s">
        <v>349</v>
      </c>
      <c r="D92" s="20" t="s">
        <v>367</v>
      </c>
      <c r="E92" s="20" t="s">
        <v>243</v>
      </c>
      <c r="F92" s="20" t="s">
        <v>369</v>
      </c>
    </row>
    <row r="93" spans="1:6" x14ac:dyDescent="0.25">
      <c r="A93" s="20" t="s">
        <v>335</v>
      </c>
      <c r="B93" s="20" t="s">
        <v>242</v>
      </c>
      <c r="C93" s="20" t="s">
        <v>349</v>
      </c>
      <c r="D93" s="20" t="s">
        <v>367</v>
      </c>
      <c r="E93" s="20" t="s">
        <v>245</v>
      </c>
      <c r="F93" s="20" t="s">
        <v>370</v>
      </c>
    </row>
    <row r="94" spans="1:6" x14ac:dyDescent="0.25">
      <c r="A94" s="20" t="s">
        <v>59</v>
      </c>
      <c r="B94" s="20" t="s">
        <v>242</v>
      </c>
      <c r="C94" s="20" t="s">
        <v>349</v>
      </c>
      <c r="D94" s="20" t="s">
        <v>367</v>
      </c>
      <c r="E94" s="20" t="s">
        <v>247</v>
      </c>
      <c r="F94" s="20" t="s">
        <v>371</v>
      </c>
    </row>
    <row r="95" spans="1:6" x14ac:dyDescent="0.25">
      <c r="A95" s="20" t="s">
        <v>372</v>
      </c>
      <c r="B95" s="20" t="s">
        <v>242</v>
      </c>
      <c r="C95" s="20" t="s">
        <v>349</v>
      </c>
      <c r="D95" s="20" t="s">
        <v>367</v>
      </c>
      <c r="E95" s="20" t="s">
        <v>249</v>
      </c>
      <c r="F95" s="20" t="s">
        <v>373</v>
      </c>
    </row>
  </sheetData>
  <autoFilter ref="A1:F9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7.140625" customWidth="1"/>
    <col min="2" max="2" width="23.140625" customWidth="1"/>
    <col min="3" max="3" width="57.42578125" customWidth="1"/>
  </cols>
  <sheetData>
    <row r="1" spans="1:3" ht="18.75" customHeigh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 t="s">
        <v>4</v>
      </c>
      <c r="B2" s="5" t="s">
        <v>5</v>
      </c>
      <c r="C2" s="5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9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3.140625" customWidth="1"/>
    <col min="2" max="2" width="42.28515625" customWidth="1"/>
    <col min="3" max="3" width="23.140625" customWidth="1"/>
  </cols>
  <sheetData>
    <row r="1" spans="1:3" ht="18.75" customHeight="1" x14ac:dyDescent="0.3">
      <c r="A1" s="4" t="s">
        <v>374</v>
      </c>
      <c r="B1" s="4" t="s">
        <v>375</v>
      </c>
      <c r="C1" s="4" t="s">
        <v>376</v>
      </c>
    </row>
    <row r="2" spans="1:3" x14ac:dyDescent="0.25">
      <c r="A2" s="5" t="s">
        <v>377</v>
      </c>
      <c r="B2" s="5" t="s">
        <v>378</v>
      </c>
      <c r="C2" s="5" t="s">
        <v>379</v>
      </c>
    </row>
    <row r="3" spans="1:3" x14ac:dyDescent="0.25">
      <c r="A3" s="5" t="s">
        <v>380</v>
      </c>
      <c r="B3" s="5" t="s">
        <v>381</v>
      </c>
      <c r="C3" s="5" t="s">
        <v>382</v>
      </c>
    </row>
    <row r="4" spans="1:3" x14ac:dyDescent="0.25">
      <c r="A4" s="5" t="s">
        <v>383</v>
      </c>
      <c r="B4" s="5" t="s">
        <v>384</v>
      </c>
      <c r="C4" s="5" t="s">
        <v>385</v>
      </c>
    </row>
    <row r="5" spans="1:3" x14ac:dyDescent="0.25">
      <c r="A5" s="5" t="s">
        <v>386</v>
      </c>
      <c r="B5" s="5" t="s">
        <v>387</v>
      </c>
      <c r="C5" s="5" t="s">
        <v>388</v>
      </c>
    </row>
    <row r="6" spans="1:3" x14ac:dyDescent="0.25">
      <c r="A6" s="5" t="s">
        <v>389</v>
      </c>
      <c r="B6" s="5" t="s">
        <v>390</v>
      </c>
      <c r="C6" s="5" t="s">
        <v>390</v>
      </c>
    </row>
    <row r="7" spans="1:3" x14ac:dyDescent="0.25">
      <c r="A7" s="5" t="s">
        <v>391</v>
      </c>
      <c r="B7" s="5" t="s">
        <v>392</v>
      </c>
      <c r="C7" s="5" t="s">
        <v>393</v>
      </c>
    </row>
    <row r="8" spans="1:3" x14ac:dyDescent="0.25">
      <c r="A8" s="5" t="s">
        <v>394</v>
      </c>
      <c r="B8" s="5" t="s">
        <v>395</v>
      </c>
      <c r="C8" s="5" t="s">
        <v>396</v>
      </c>
    </row>
    <row r="9" spans="1:3" x14ac:dyDescent="0.25">
      <c r="A9" s="5" t="s">
        <v>397</v>
      </c>
      <c r="B9" s="5" t="s">
        <v>398</v>
      </c>
      <c r="C9" s="5" t="s">
        <v>399</v>
      </c>
    </row>
    <row r="10" spans="1:3" x14ac:dyDescent="0.25">
      <c r="A10" s="5" t="s">
        <v>400</v>
      </c>
      <c r="B10" s="5" t="s">
        <v>401</v>
      </c>
      <c r="C10" s="5" t="s">
        <v>402</v>
      </c>
    </row>
    <row r="11" spans="1:3" x14ac:dyDescent="0.25">
      <c r="A11" s="5" t="s">
        <v>403</v>
      </c>
      <c r="B11" s="5" t="s">
        <v>404</v>
      </c>
      <c r="C11" s="5" t="s">
        <v>405</v>
      </c>
    </row>
    <row r="12" spans="1:3" x14ac:dyDescent="0.25">
      <c r="A12" s="5" t="s">
        <v>406</v>
      </c>
      <c r="B12" s="5" t="s">
        <v>407</v>
      </c>
      <c r="C12" s="5" t="s">
        <v>408</v>
      </c>
    </row>
    <row r="13" spans="1:3" x14ac:dyDescent="0.25">
      <c r="A13" s="5" t="s">
        <v>409</v>
      </c>
      <c r="B13" s="5" t="s">
        <v>410</v>
      </c>
      <c r="C13" s="5" t="s">
        <v>411</v>
      </c>
    </row>
    <row r="14" spans="1:3" x14ac:dyDescent="0.25">
      <c r="A14" s="5" t="s">
        <v>412</v>
      </c>
      <c r="B14" s="5" t="s">
        <v>410</v>
      </c>
      <c r="C14" s="5" t="s">
        <v>413</v>
      </c>
    </row>
    <row r="15" spans="1:3" x14ac:dyDescent="0.25">
      <c r="A15" s="5" t="s">
        <v>414</v>
      </c>
      <c r="B15" s="5" t="s">
        <v>415</v>
      </c>
      <c r="C15" s="5" t="s">
        <v>416</v>
      </c>
    </row>
    <row r="16" spans="1:3" x14ac:dyDescent="0.25">
      <c r="A16" s="5" t="s">
        <v>417</v>
      </c>
      <c r="B16" s="5" t="s">
        <v>418</v>
      </c>
      <c r="C16" s="5" t="s">
        <v>419</v>
      </c>
    </row>
    <row r="17" spans="1:3" x14ac:dyDescent="0.25">
      <c r="A17" s="5" t="s">
        <v>420</v>
      </c>
      <c r="B17" s="5" t="s">
        <v>421</v>
      </c>
      <c r="C17" s="5" t="s">
        <v>422</v>
      </c>
    </row>
    <row r="18" spans="1:3" x14ac:dyDescent="0.25">
      <c r="A18" s="5" t="s">
        <v>423</v>
      </c>
      <c r="B18" s="5" t="s">
        <v>421</v>
      </c>
      <c r="C18" s="5" t="s">
        <v>424</v>
      </c>
    </row>
    <row r="19" spans="1:3" x14ac:dyDescent="0.25">
      <c r="A19" s="5" t="s">
        <v>425</v>
      </c>
      <c r="B19" s="5" t="s">
        <v>426</v>
      </c>
      <c r="C19" s="5" t="s">
        <v>427</v>
      </c>
    </row>
    <row r="20" spans="1:3" x14ac:dyDescent="0.25">
      <c r="A20" s="5" t="s">
        <v>428</v>
      </c>
      <c r="B20" s="5" t="s">
        <v>429</v>
      </c>
      <c r="C20" s="5" t="s">
        <v>91</v>
      </c>
    </row>
    <row r="21" spans="1:3" x14ac:dyDescent="0.25">
      <c r="A21" s="5" t="s">
        <v>430</v>
      </c>
      <c r="B21" s="5" t="s">
        <v>431</v>
      </c>
      <c r="C21" s="5" t="s">
        <v>432</v>
      </c>
    </row>
    <row r="22" spans="1:3" x14ac:dyDescent="0.25">
      <c r="A22" s="5" t="s">
        <v>433</v>
      </c>
      <c r="B22" s="5" t="s">
        <v>434</v>
      </c>
      <c r="C22" s="5" t="s">
        <v>435</v>
      </c>
    </row>
    <row r="23" spans="1:3" x14ac:dyDescent="0.25">
      <c r="A23" s="5" t="s">
        <v>436</v>
      </c>
      <c r="B23" s="5" t="s">
        <v>437</v>
      </c>
      <c r="C23" s="5" t="s">
        <v>438</v>
      </c>
    </row>
    <row r="24" spans="1:3" x14ac:dyDescent="0.25">
      <c r="A24" s="5" t="s">
        <v>439</v>
      </c>
      <c r="B24" s="5" t="s">
        <v>440</v>
      </c>
      <c r="C24" s="5" t="s">
        <v>441</v>
      </c>
    </row>
    <row r="25" spans="1:3" x14ac:dyDescent="0.25">
      <c r="A25" s="5" t="s">
        <v>442</v>
      </c>
      <c r="B25" s="5" t="s">
        <v>443</v>
      </c>
      <c r="C25" s="5" t="s">
        <v>444</v>
      </c>
    </row>
    <row r="26" spans="1:3" x14ac:dyDescent="0.25">
      <c r="A26" s="5" t="s">
        <v>445</v>
      </c>
      <c r="B26" s="5" t="s">
        <v>446</v>
      </c>
      <c r="C26" s="5" t="s">
        <v>447</v>
      </c>
    </row>
    <row r="27" spans="1:3" x14ac:dyDescent="0.25">
      <c r="A27" s="5" t="s">
        <v>448</v>
      </c>
      <c r="B27" s="5" t="s">
        <v>449</v>
      </c>
      <c r="C27" s="5" t="s">
        <v>450</v>
      </c>
    </row>
    <row r="28" spans="1:3" x14ac:dyDescent="0.25">
      <c r="A28" s="5" t="s">
        <v>451</v>
      </c>
      <c r="B28" s="5" t="s">
        <v>452</v>
      </c>
      <c r="C28" s="5" t="s">
        <v>183</v>
      </c>
    </row>
    <row r="29" spans="1:3" x14ac:dyDescent="0.25">
      <c r="A29" s="5" t="s">
        <v>453</v>
      </c>
      <c r="B29" s="5" t="s">
        <v>454</v>
      </c>
      <c r="C29" s="5" t="s">
        <v>75</v>
      </c>
    </row>
    <row r="30" spans="1:3" x14ac:dyDescent="0.25">
      <c r="A30" s="5" t="s">
        <v>455</v>
      </c>
      <c r="B30" s="5" t="s">
        <v>456</v>
      </c>
      <c r="C30" s="5" t="s">
        <v>457</v>
      </c>
    </row>
    <row r="31" spans="1:3" x14ac:dyDescent="0.25">
      <c r="A31" s="5" t="s">
        <v>458</v>
      </c>
      <c r="B31" s="5" t="s">
        <v>459</v>
      </c>
      <c r="C31" s="5" t="s">
        <v>460</v>
      </c>
    </row>
    <row r="32" spans="1:3" x14ac:dyDescent="0.25">
      <c r="A32" s="5" t="s">
        <v>461</v>
      </c>
      <c r="B32" s="5" t="s">
        <v>462</v>
      </c>
      <c r="C32" s="5" t="s">
        <v>463</v>
      </c>
    </row>
    <row r="33" spans="1:3" x14ac:dyDescent="0.25">
      <c r="A33" s="5" t="s">
        <v>464</v>
      </c>
      <c r="B33" s="5" t="s">
        <v>465</v>
      </c>
      <c r="C33" s="5" t="s">
        <v>465</v>
      </c>
    </row>
    <row r="34" spans="1:3" x14ac:dyDescent="0.25">
      <c r="A34" s="5" t="s">
        <v>466</v>
      </c>
      <c r="B34" s="5" t="s">
        <v>467</v>
      </c>
      <c r="C34" s="5" t="s">
        <v>468</v>
      </c>
    </row>
    <row r="35" spans="1:3" x14ac:dyDescent="0.25">
      <c r="A35" s="5" t="s">
        <v>469</v>
      </c>
      <c r="B35" s="5" t="s">
        <v>470</v>
      </c>
      <c r="C35" s="5" t="s">
        <v>471</v>
      </c>
    </row>
    <row r="36" spans="1:3" x14ac:dyDescent="0.25">
      <c r="A36" s="5" t="s">
        <v>472</v>
      </c>
      <c r="B36" s="5" t="s">
        <v>473</v>
      </c>
      <c r="C36" s="5" t="s">
        <v>474</v>
      </c>
    </row>
    <row r="37" spans="1:3" x14ac:dyDescent="0.25">
      <c r="A37" s="5" t="s">
        <v>475</v>
      </c>
      <c r="B37" s="5" t="s">
        <v>476</v>
      </c>
      <c r="C37" s="5" t="s">
        <v>477</v>
      </c>
    </row>
    <row r="38" spans="1:3" x14ac:dyDescent="0.25">
      <c r="A38" s="5" t="s">
        <v>478</v>
      </c>
      <c r="B38" s="5" t="s">
        <v>479</v>
      </c>
      <c r="C38" s="5" t="s">
        <v>480</v>
      </c>
    </row>
    <row r="39" spans="1:3" x14ac:dyDescent="0.25">
      <c r="A39" s="5" t="s">
        <v>481</v>
      </c>
      <c r="B39" s="5" t="s">
        <v>482</v>
      </c>
      <c r="C39" s="5" t="s">
        <v>483</v>
      </c>
    </row>
    <row r="40" spans="1:3" x14ac:dyDescent="0.25">
      <c r="A40" s="5" t="s">
        <v>484</v>
      </c>
      <c r="B40" s="5" t="s">
        <v>485</v>
      </c>
      <c r="C40" s="5" t="s">
        <v>486</v>
      </c>
    </row>
    <row r="41" spans="1:3" x14ac:dyDescent="0.25">
      <c r="A41" s="5" t="s">
        <v>487</v>
      </c>
      <c r="B41" s="5" t="s">
        <v>488</v>
      </c>
      <c r="C41" s="5" t="s">
        <v>489</v>
      </c>
    </row>
    <row r="42" spans="1:3" x14ac:dyDescent="0.25">
      <c r="A42" s="5" t="s">
        <v>490</v>
      </c>
      <c r="B42" s="5" t="s">
        <v>491</v>
      </c>
      <c r="C42" s="5" t="s">
        <v>492</v>
      </c>
    </row>
    <row r="43" spans="1:3" x14ac:dyDescent="0.25">
      <c r="A43" s="5" t="s">
        <v>493</v>
      </c>
      <c r="B43" s="5" t="s">
        <v>494</v>
      </c>
      <c r="C43" s="5" t="s">
        <v>495</v>
      </c>
    </row>
    <row r="44" spans="1:3" x14ac:dyDescent="0.25">
      <c r="A44" s="5" t="s">
        <v>496</v>
      </c>
      <c r="B44" s="5" t="s">
        <v>497</v>
      </c>
      <c r="C44" s="5" t="s">
        <v>498</v>
      </c>
    </row>
    <row r="45" spans="1:3" x14ac:dyDescent="0.25">
      <c r="A45" s="5" t="s">
        <v>499</v>
      </c>
      <c r="B45" s="5" t="s">
        <v>500</v>
      </c>
      <c r="C45" s="5" t="s">
        <v>501</v>
      </c>
    </row>
    <row r="46" spans="1:3" x14ac:dyDescent="0.25">
      <c r="A46" s="5" t="s">
        <v>502</v>
      </c>
      <c r="B46" s="5" t="s">
        <v>503</v>
      </c>
      <c r="C46" s="5" t="s">
        <v>504</v>
      </c>
    </row>
    <row r="47" spans="1:3" x14ac:dyDescent="0.25">
      <c r="A47" s="5" t="s">
        <v>505</v>
      </c>
      <c r="B47" s="5" t="s">
        <v>506</v>
      </c>
      <c r="C47" s="5" t="s">
        <v>507</v>
      </c>
    </row>
    <row r="48" spans="1:3" x14ac:dyDescent="0.25">
      <c r="A48" s="5" t="s">
        <v>508</v>
      </c>
      <c r="B48" s="5" t="s">
        <v>509</v>
      </c>
      <c r="C48" s="5" t="s">
        <v>510</v>
      </c>
    </row>
    <row r="49" spans="1:3" x14ac:dyDescent="0.25">
      <c r="A49" s="5" t="s">
        <v>511</v>
      </c>
      <c r="B49" s="5" t="s">
        <v>512</v>
      </c>
      <c r="C49" s="5" t="s">
        <v>513</v>
      </c>
    </row>
    <row r="50" spans="1:3" x14ac:dyDescent="0.25">
      <c r="A50" s="5" t="s">
        <v>514</v>
      </c>
      <c r="B50" s="5" t="s">
        <v>515</v>
      </c>
      <c r="C50" s="5" t="s">
        <v>516</v>
      </c>
    </row>
    <row r="51" spans="1:3" x14ac:dyDescent="0.25">
      <c r="A51" s="5" t="s">
        <v>517</v>
      </c>
      <c r="B51" s="5" t="s">
        <v>518</v>
      </c>
      <c r="C51" s="5" t="s">
        <v>519</v>
      </c>
    </row>
    <row r="52" spans="1:3" x14ac:dyDescent="0.25">
      <c r="A52" s="5" t="s">
        <v>520</v>
      </c>
      <c r="B52" s="5" t="s">
        <v>521</v>
      </c>
      <c r="C52" s="5" t="s">
        <v>522</v>
      </c>
    </row>
    <row r="53" spans="1:3" x14ac:dyDescent="0.25">
      <c r="A53" s="5" t="s">
        <v>523</v>
      </c>
      <c r="B53" s="5" t="s">
        <v>524</v>
      </c>
      <c r="C53" s="5" t="s">
        <v>525</v>
      </c>
    </row>
    <row r="54" spans="1:3" x14ac:dyDescent="0.25">
      <c r="A54" s="5" t="s">
        <v>526</v>
      </c>
      <c r="B54" s="5" t="s">
        <v>527</v>
      </c>
      <c r="C54" s="5" t="s">
        <v>528</v>
      </c>
    </row>
    <row r="55" spans="1:3" x14ac:dyDescent="0.25">
      <c r="A55" s="5" t="s">
        <v>529</v>
      </c>
      <c r="B55" s="5" t="s">
        <v>530</v>
      </c>
      <c r="C55" s="5" t="s">
        <v>531</v>
      </c>
    </row>
    <row r="56" spans="1:3" x14ac:dyDescent="0.25">
      <c r="A56" s="5" t="s">
        <v>532</v>
      </c>
      <c r="B56" s="5" t="s">
        <v>533</v>
      </c>
      <c r="C56" s="5" t="s">
        <v>534</v>
      </c>
    </row>
    <row r="57" spans="1:3" x14ac:dyDescent="0.25">
      <c r="A57" s="5" t="s">
        <v>535</v>
      </c>
      <c r="B57" s="5" t="s">
        <v>536</v>
      </c>
      <c r="C57" s="5" t="s">
        <v>536</v>
      </c>
    </row>
    <row r="58" spans="1:3" x14ac:dyDescent="0.25">
      <c r="A58" s="5" t="s">
        <v>537</v>
      </c>
      <c r="B58" s="5" t="s">
        <v>538</v>
      </c>
      <c r="C58" s="5" t="s">
        <v>539</v>
      </c>
    </row>
    <row r="59" spans="1:3" x14ac:dyDescent="0.25">
      <c r="A59" s="5" t="s">
        <v>540</v>
      </c>
      <c r="B59" s="5" t="s">
        <v>541</v>
      </c>
      <c r="C59" s="5" t="s">
        <v>542</v>
      </c>
    </row>
    <row r="60" spans="1:3" x14ac:dyDescent="0.25">
      <c r="A60" s="5" t="s">
        <v>543</v>
      </c>
      <c r="B60" s="5" t="s">
        <v>544</v>
      </c>
      <c r="C60" s="5" t="s">
        <v>545</v>
      </c>
    </row>
    <row r="61" spans="1:3" x14ac:dyDescent="0.25">
      <c r="A61" s="5" t="s">
        <v>546</v>
      </c>
      <c r="B61" s="5" t="s">
        <v>547</v>
      </c>
      <c r="C61" s="5" t="s">
        <v>547</v>
      </c>
    </row>
    <row r="62" spans="1:3" x14ac:dyDescent="0.25">
      <c r="A62" s="5" t="s">
        <v>548</v>
      </c>
      <c r="B62" s="5" t="s">
        <v>549</v>
      </c>
      <c r="C62" s="5" t="s">
        <v>550</v>
      </c>
    </row>
    <row r="63" spans="1:3" x14ac:dyDescent="0.25">
      <c r="A63" s="5" t="s">
        <v>551</v>
      </c>
      <c r="B63" s="5" t="s">
        <v>552</v>
      </c>
      <c r="C63" s="5" t="s">
        <v>552</v>
      </c>
    </row>
    <row r="64" spans="1:3" x14ac:dyDescent="0.25">
      <c r="A64" s="5" t="s">
        <v>553</v>
      </c>
      <c r="B64" s="5" t="s">
        <v>554</v>
      </c>
      <c r="C64" s="5" t="s">
        <v>555</v>
      </c>
    </row>
    <row r="65" spans="1:3" x14ac:dyDescent="0.25">
      <c r="A65" s="5" t="s">
        <v>556</v>
      </c>
      <c r="B65" s="5" t="s">
        <v>557</v>
      </c>
      <c r="C65" s="5" t="s">
        <v>558</v>
      </c>
    </row>
    <row r="66" spans="1:3" x14ac:dyDescent="0.25">
      <c r="A66" s="5" t="s">
        <v>559</v>
      </c>
      <c r="B66" s="5" t="s">
        <v>560</v>
      </c>
      <c r="C66" s="5" t="s">
        <v>560</v>
      </c>
    </row>
    <row r="67" spans="1:3" x14ac:dyDescent="0.25">
      <c r="A67" s="5" t="s">
        <v>561</v>
      </c>
      <c r="B67" s="5" t="s">
        <v>562</v>
      </c>
      <c r="C67" s="5" t="s">
        <v>563</v>
      </c>
    </row>
    <row r="68" spans="1:3" x14ac:dyDescent="0.25">
      <c r="A68" s="5" t="s">
        <v>564</v>
      </c>
      <c r="B68" s="5" t="s">
        <v>565</v>
      </c>
      <c r="C68" s="5" t="s">
        <v>566</v>
      </c>
    </row>
    <row r="69" spans="1:3" x14ac:dyDescent="0.25">
      <c r="A69" s="5" t="s">
        <v>567</v>
      </c>
      <c r="B69" s="5" t="s">
        <v>568</v>
      </c>
      <c r="C69" s="5" t="s">
        <v>569</v>
      </c>
    </row>
    <row r="70" spans="1:3" x14ac:dyDescent="0.25">
      <c r="A70" s="5" t="s">
        <v>570</v>
      </c>
      <c r="B70" s="5" t="s">
        <v>571</v>
      </c>
      <c r="C70" s="5" t="s">
        <v>572</v>
      </c>
    </row>
    <row r="71" spans="1:3" x14ac:dyDescent="0.25">
      <c r="A71" s="5" t="s">
        <v>573</v>
      </c>
      <c r="B71" s="5" t="s">
        <v>574</v>
      </c>
      <c r="C71" s="5" t="s">
        <v>575</v>
      </c>
    </row>
    <row r="72" spans="1:3" x14ac:dyDescent="0.25">
      <c r="A72" s="5" t="s">
        <v>576</v>
      </c>
      <c r="B72" s="5" t="s">
        <v>577</v>
      </c>
      <c r="C72" s="5" t="s">
        <v>578</v>
      </c>
    </row>
    <row r="73" spans="1:3" x14ac:dyDescent="0.25">
      <c r="A73" s="5" t="s">
        <v>579</v>
      </c>
      <c r="B73" s="5" t="s">
        <v>580</v>
      </c>
      <c r="C73" s="5" t="s">
        <v>581</v>
      </c>
    </row>
    <row r="74" spans="1:3" x14ac:dyDescent="0.25">
      <c r="A74" s="5" t="s">
        <v>582</v>
      </c>
      <c r="B74" s="5" t="s">
        <v>583</v>
      </c>
      <c r="C74" s="5" t="s">
        <v>584</v>
      </c>
    </row>
    <row r="75" spans="1:3" x14ac:dyDescent="0.25">
      <c r="A75" s="5" t="s">
        <v>585</v>
      </c>
      <c r="B75" s="5" t="s">
        <v>197</v>
      </c>
      <c r="C75" s="5" t="s">
        <v>586</v>
      </c>
    </row>
    <row r="76" spans="1:3" x14ac:dyDescent="0.25">
      <c r="A76" s="2"/>
      <c r="B76" s="3"/>
      <c r="C76" s="3"/>
    </row>
    <row r="77" spans="1:3" x14ac:dyDescent="0.25">
      <c r="A77" s="2"/>
      <c r="B77" s="3"/>
      <c r="C77" s="6"/>
    </row>
    <row r="78" spans="1:3" x14ac:dyDescent="0.25">
      <c r="A78" s="2"/>
      <c r="B78" s="3"/>
      <c r="C78" s="6"/>
    </row>
    <row r="79" spans="1:3" x14ac:dyDescent="0.25">
      <c r="A79" s="2"/>
      <c r="B79" s="3"/>
      <c r="C79" s="6"/>
    </row>
    <row r="80" spans="1:3" x14ac:dyDescent="0.25">
      <c r="A80" s="2"/>
      <c r="B80" s="3"/>
      <c r="C80" s="3"/>
    </row>
    <row r="81" spans="1:3" x14ac:dyDescent="0.25">
      <c r="A81" s="2"/>
      <c r="B81" s="3"/>
      <c r="C81" s="6"/>
    </row>
    <row r="82" spans="1:3" x14ac:dyDescent="0.25">
      <c r="A82" s="2"/>
      <c r="B82" s="3"/>
      <c r="C82" s="6"/>
    </row>
    <row r="83" spans="1:3" x14ac:dyDescent="0.25">
      <c r="A83" s="2"/>
      <c r="B83" s="2"/>
      <c r="C83" s="2"/>
    </row>
    <row r="84" spans="1:3" x14ac:dyDescent="0.25">
      <c r="A84" s="2"/>
      <c r="B84" s="3"/>
      <c r="C84" s="3"/>
    </row>
    <row r="85" spans="1:3" x14ac:dyDescent="0.25">
      <c r="A85" s="2"/>
      <c r="B85" s="3"/>
      <c r="C85" s="6"/>
    </row>
    <row r="86" spans="1:3" x14ac:dyDescent="0.25">
      <c r="A86" s="2"/>
      <c r="B86" s="3"/>
      <c r="C86" s="6"/>
    </row>
    <row r="87" spans="1:3" x14ac:dyDescent="0.25">
      <c r="A87" s="2"/>
      <c r="B87" s="2"/>
      <c r="C87" s="2"/>
    </row>
    <row r="88" spans="1:3" x14ac:dyDescent="0.25">
      <c r="A88" s="2"/>
      <c r="B88" s="3"/>
      <c r="C88" s="6"/>
    </row>
    <row r="89" spans="1:3" x14ac:dyDescent="0.25">
      <c r="A89" s="2"/>
      <c r="B89" s="3"/>
      <c r="C89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F20" sqref="F20"/>
    </sheetView>
  </sheetViews>
  <sheetFormatPr baseColWidth="10" defaultColWidth="9.140625" defaultRowHeight="15" x14ac:dyDescent="0.25"/>
  <cols>
    <col min="1" max="1" width="15.140625" customWidth="1"/>
    <col min="2" max="2" width="42.28515625" customWidth="1"/>
  </cols>
  <sheetData>
    <row r="1" spans="1:2" ht="18.75" customHeight="1" x14ac:dyDescent="0.3">
      <c r="A1" s="4" t="s">
        <v>587</v>
      </c>
      <c r="B1" s="4" t="s">
        <v>588</v>
      </c>
    </row>
    <row r="2" spans="1:2" x14ac:dyDescent="0.25">
      <c r="A2" s="5" t="s">
        <v>589</v>
      </c>
      <c r="B2" s="5" t="s">
        <v>590</v>
      </c>
    </row>
    <row r="3" spans="1:2" x14ac:dyDescent="0.25">
      <c r="A3" s="5" t="s">
        <v>591</v>
      </c>
      <c r="B3" s="5" t="s">
        <v>592</v>
      </c>
    </row>
    <row r="4" spans="1:2" x14ac:dyDescent="0.25">
      <c r="A4" s="5" t="s">
        <v>593</v>
      </c>
      <c r="B4" s="5" t="s">
        <v>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0.5703125" customWidth="1"/>
    <col min="2" max="2" width="22.28515625" customWidth="1"/>
  </cols>
  <sheetData>
    <row r="1" spans="1:2" ht="18.75" customHeight="1" x14ac:dyDescent="0.3">
      <c r="A1" s="7" t="s">
        <v>595</v>
      </c>
      <c r="B1" s="8" t="s">
        <v>596</v>
      </c>
    </row>
    <row r="2" spans="1:2" x14ac:dyDescent="0.25">
      <c r="A2" s="9" t="s">
        <v>597</v>
      </c>
      <c r="B2" s="5" t="s">
        <v>149</v>
      </c>
    </row>
    <row r="3" spans="1:2" x14ac:dyDescent="0.25">
      <c r="A3" s="10" t="s">
        <v>598</v>
      </c>
      <c r="B3" s="5" t="s">
        <v>599</v>
      </c>
    </row>
    <row r="4" spans="1:2" x14ac:dyDescent="0.25">
      <c r="A4" s="10" t="s">
        <v>600</v>
      </c>
      <c r="B4" s="5" t="s">
        <v>601</v>
      </c>
    </row>
    <row r="5" spans="1:2" x14ac:dyDescent="0.25">
      <c r="A5" s="10" t="s">
        <v>602</v>
      </c>
      <c r="B5" s="5" t="s">
        <v>470</v>
      </c>
    </row>
    <row r="6" spans="1:2" x14ac:dyDescent="0.25">
      <c r="A6" s="10" t="s">
        <v>603</v>
      </c>
      <c r="B6" s="5" t="s">
        <v>604</v>
      </c>
    </row>
    <row r="7" spans="1:2" x14ac:dyDescent="0.25">
      <c r="A7" s="10" t="s">
        <v>605</v>
      </c>
      <c r="B7" s="11" t="s">
        <v>57</v>
      </c>
    </row>
    <row r="8" spans="1:2" x14ac:dyDescent="0.25">
      <c r="A8" s="10" t="s">
        <v>606</v>
      </c>
      <c r="B8" s="5" t="s">
        <v>607</v>
      </c>
    </row>
    <row r="9" spans="1:2" x14ac:dyDescent="0.25">
      <c r="A9" s="10" t="s">
        <v>608</v>
      </c>
      <c r="B9" s="5" t="s">
        <v>75</v>
      </c>
    </row>
    <row r="10" spans="1:2" x14ac:dyDescent="0.25">
      <c r="A10" s="10" t="s">
        <v>609</v>
      </c>
      <c r="B10" s="5" t="s">
        <v>610</v>
      </c>
    </row>
    <row r="11" spans="1:2" x14ac:dyDescent="0.25">
      <c r="A11" s="10" t="s">
        <v>611</v>
      </c>
      <c r="B11" s="5" t="s">
        <v>612</v>
      </c>
    </row>
    <row r="12" spans="1:2" x14ac:dyDescent="0.25">
      <c r="A12" s="10" t="s">
        <v>613</v>
      </c>
      <c r="B12" s="5" t="s">
        <v>160</v>
      </c>
    </row>
    <row r="13" spans="1:2" x14ac:dyDescent="0.25">
      <c r="A13" s="10" t="s">
        <v>614</v>
      </c>
      <c r="B13" s="5" t="s">
        <v>615</v>
      </c>
    </row>
    <row r="14" spans="1:2" x14ac:dyDescent="0.25">
      <c r="A14" s="10" t="s">
        <v>616</v>
      </c>
      <c r="B14" s="5" t="s">
        <v>91</v>
      </c>
    </row>
    <row r="15" spans="1:2" x14ac:dyDescent="0.25">
      <c r="A15" s="10" t="s">
        <v>617</v>
      </c>
      <c r="B15" s="5" t="s">
        <v>109</v>
      </c>
    </row>
    <row r="16" spans="1:2" x14ac:dyDescent="0.25">
      <c r="A16" s="10" t="s">
        <v>618</v>
      </c>
      <c r="B16" s="5" t="s">
        <v>619</v>
      </c>
    </row>
    <row r="17" spans="1:2" x14ac:dyDescent="0.25">
      <c r="A17" s="10" t="s">
        <v>620</v>
      </c>
      <c r="B17" s="5" t="s">
        <v>171</v>
      </c>
    </row>
    <row r="18" spans="1:2" x14ac:dyDescent="0.25">
      <c r="A18" s="10" t="s">
        <v>621</v>
      </c>
      <c r="B18" s="5" t="s">
        <v>182</v>
      </c>
    </row>
    <row r="19" spans="1:2" x14ac:dyDescent="0.25">
      <c r="A19" s="10" t="s">
        <v>622</v>
      </c>
      <c r="B19" s="5" t="s">
        <v>623</v>
      </c>
    </row>
    <row r="20" spans="1:2" x14ac:dyDescent="0.25">
      <c r="A20" s="10" t="s">
        <v>624</v>
      </c>
      <c r="B20" s="5" t="s">
        <v>625</v>
      </c>
    </row>
    <row r="21" spans="1:2" x14ac:dyDescent="0.25">
      <c r="A21" s="10" t="s">
        <v>626</v>
      </c>
      <c r="B21" s="5" t="s">
        <v>627</v>
      </c>
    </row>
    <row r="22" spans="1:2" x14ac:dyDescent="0.25">
      <c r="A22" s="10" t="s">
        <v>628</v>
      </c>
      <c r="B22" s="5" t="s">
        <v>629</v>
      </c>
    </row>
    <row r="23" spans="1:2" x14ac:dyDescent="0.25">
      <c r="A23" s="10" t="s">
        <v>630</v>
      </c>
      <c r="B23" s="5" t="s">
        <v>188</v>
      </c>
    </row>
    <row r="24" spans="1:2" x14ac:dyDescent="0.25">
      <c r="A24" s="10" t="s">
        <v>631</v>
      </c>
      <c r="B24" s="5" t="s">
        <v>632</v>
      </c>
    </row>
    <row r="25" spans="1:2" x14ac:dyDescent="0.25">
      <c r="A25" s="10" t="s">
        <v>633</v>
      </c>
      <c r="B25" s="5" t="s">
        <v>634</v>
      </c>
    </row>
    <row r="26" spans="1:2" x14ac:dyDescent="0.25">
      <c r="A26" s="10" t="s">
        <v>635</v>
      </c>
      <c r="B26" s="5" t="s">
        <v>636</v>
      </c>
    </row>
    <row r="27" spans="1:2" x14ac:dyDescent="0.25">
      <c r="A27" s="10" t="s">
        <v>637</v>
      </c>
      <c r="B27" s="5" t="s">
        <v>192</v>
      </c>
    </row>
    <row r="28" spans="1:2" x14ac:dyDescent="0.25">
      <c r="A28" s="10" t="s">
        <v>638</v>
      </c>
      <c r="B28" s="5" t="s">
        <v>137</v>
      </c>
    </row>
    <row r="29" spans="1:2" x14ac:dyDescent="0.25">
      <c r="A29" s="10" t="s">
        <v>639</v>
      </c>
      <c r="B29" s="5" t="s">
        <v>197</v>
      </c>
    </row>
    <row r="30" spans="1:2" x14ac:dyDescent="0.25">
      <c r="A30" s="12" t="s">
        <v>640</v>
      </c>
      <c r="B30" s="13" t="s">
        <v>123</v>
      </c>
    </row>
    <row r="31" spans="1:2" x14ac:dyDescent="0.25">
      <c r="A31" s="14"/>
      <c r="B31" s="2"/>
    </row>
    <row r="32" spans="1:2" x14ac:dyDescent="0.25">
      <c r="A32" s="14"/>
      <c r="B32" s="6"/>
    </row>
    <row r="33" spans="1:2" x14ac:dyDescent="0.25">
      <c r="A33" s="14"/>
      <c r="B33" s="6"/>
    </row>
    <row r="34" spans="1:2" x14ac:dyDescent="0.25">
      <c r="A34" s="14"/>
      <c r="B34" s="6"/>
    </row>
    <row r="35" spans="1:2" x14ac:dyDescent="0.25">
      <c r="A35" s="14"/>
      <c r="B35" s="6"/>
    </row>
    <row r="36" spans="1:2" x14ac:dyDescent="0.25">
      <c r="A36" s="14"/>
      <c r="B36" s="6"/>
    </row>
    <row r="37" spans="1:2" x14ac:dyDescent="0.25">
      <c r="A37" s="14"/>
      <c r="B37" s="2"/>
    </row>
    <row r="38" spans="1:2" x14ac:dyDescent="0.25">
      <c r="A38" s="14"/>
      <c r="B38" s="2"/>
    </row>
    <row r="39" spans="1:2" x14ac:dyDescent="0.25">
      <c r="A39" s="14"/>
      <c r="B39" s="2"/>
    </row>
    <row r="40" spans="1:2" x14ac:dyDescent="0.25">
      <c r="A40" s="14"/>
      <c r="B40" s="2"/>
    </row>
    <row r="41" spans="1:2" x14ac:dyDescent="0.25">
      <c r="A41" s="14"/>
      <c r="B41" s="2"/>
    </row>
    <row r="42" spans="1:2" x14ac:dyDescent="0.25">
      <c r="A42" s="14"/>
      <c r="B42" s="2"/>
    </row>
    <row r="43" spans="1:2" x14ac:dyDescent="0.25">
      <c r="A43" s="14"/>
      <c r="B43" s="2"/>
    </row>
    <row r="44" spans="1:2" x14ac:dyDescent="0.25">
      <c r="A44" s="14"/>
      <c r="B44" s="2"/>
    </row>
    <row r="45" spans="1:2" x14ac:dyDescent="0.25">
      <c r="A45" s="14"/>
      <c r="B45" s="2"/>
    </row>
    <row r="46" spans="1:2" x14ac:dyDescent="0.25">
      <c r="A46" s="14"/>
      <c r="B46" s="2"/>
    </row>
    <row r="47" spans="1:2" x14ac:dyDescent="0.25">
      <c r="A47" s="14"/>
      <c r="B47" s="2"/>
    </row>
    <row r="48" spans="1:2" x14ac:dyDescent="0.25">
      <c r="A48" s="14"/>
      <c r="B48" s="2"/>
    </row>
    <row r="49" spans="1:2" x14ac:dyDescent="0.25">
      <c r="A49" s="14"/>
      <c r="B49" s="2"/>
    </row>
    <row r="50" spans="1:2" x14ac:dyDescent="0.25">
      <c r="A50" s="14"/>
      <c r="B50" s="2"/>
    </row>
    <row r="51" spans="1:2" x14ac:dyDescent="0.25">
      <c r="A51" s="14"/>
      <c r="B51" s="2"/>
    </row>
    <row r="52" spans="1:2" x14ac:dyDescent="0.25">
      <c r="A52" s="14"/>
      <c r="B52" s="2"/>
    </row>
    <row r="53" spans="1:2" x14ac:dyDescent="0.25">
      <c r="A53" s="14"/>
      <c r="B53" s="2"/>
    </row>
    <row r="54" spans="1:2" x14ac:dyDescent="0.25">
      <c r="A54" s="14"/>
      <c r="B54" s="2"/>
    </row>
    <row r="55" spans="1:2" x14ac:dyDescent="0.25">
      <c r="A55" s="14"/>
      <c r="B55" s="2"/>
    </row>
    <row r="56" spans="1:2" x14ac:dyDescent="0.25">
      <c r="A56" s="14"/>
      <c r="B56" s="2"/>
    </row>
    <row r="57" spans="1:2" x14ac:dyDescent="0.25">
      <c r="A57" s="14"/>
      <c r="B57" s="2"/>
    </row>
    <row r="58" spans="1:2" x14ac:dyDescent="0.25">
      <c r="A58" s="14"/>
      <c r="B58" s="2"/>
    </row>
    <row r="59" spans="1:2" x14ac:dyDescent="0.25">
      <c r="A59" s="14"/>
      <c r="B59" s="2"/>
    </row>
    <row r="60" spans="1:2" x14ac:dyDescent="0.25">
      <c r="A60" s="14"/>
      <c r="B60" s="2"/>
    </row>
    <row r="61" spans="1:2" x14ac:dyDescent="0.25">
      <c r="A61" s="14"/>
      <c r="B61" s="2"/>
    </row>
    <row r="62" spans="1:2" x14ac:dyDescent="0.25">
      <c r="A62" s="14"/>
      <c r="B62" s="2"/>
    </row>
    <row r="63" spans="1:2" x14ac:dyDescent="0.25">
      <c r="A63" s="14"/>
      <c r="B63" s="2"/>
    </row>
    <row r="64" spans="1:2" x14ac:dyDescent="0.25">
      <c r="A64" s="14"/>
      <c r="B64" s="2"/>
    </row>
    <row r="65" spans="1:2" x14ac:dyDescent="0.25">
      <c r="A65" s="14"/>
      <c r="B65" s="2"/>
    </row>
    <row r="66" spans="1:2" x14ac:dyDescent="0.25">
      <c r="A66" s="14"/>
      <c r="B66" s="2"/>
    </row>
    <row r="67" spans="1:2" x14ac:dyDescent="0.25">
      <c r="A67" s="14"/>
      <c r="B67" s="2"/>
    </row>
    <row r="68" spans="1:2" x14ac:dyDescent="0.25">
      <c r="A68" s="14"/>
      <c r="B68" s="2"/>
    </row>
    <row r="69" spans="1:2" x14ac:dyDescent="0.25">
      <c r="A69" s="14"/>
      <c r="B69" s="2"/>
    </row>
    <row r="70" spans="1:2" x14ac:dyDescent="0.25">
      <c r="A70" s="14"/>
      <c r="B70" s="2"/>
    </row>
    <row r="71" spans="1:2" x14ac:dyDescent="0.25">
      <c r="A71" s="14"/>
      <c r="B71" s="2"/>
    </row>
    <row r="72" spans="1:2" x14ac:dyDescent="0.25">
      <c r="A72" s="14"/>
      <c r="B72" s="2"/>
    </row>
    <row r="73" spans="1:2" x14ac:dyDescent="0.25">
      <c r="A73" s="14"/>
      <c r="B73" s="2"/>
    </row>
    <row r="74" spans="1:2" x14ac:dyDescent="0.25">
      <c r="A74" s="14"/>
      <c r="B74" s="2"/>
    </row>
    <row r="75" spans="1:2" x14ac:dyDescent="0.25">
      <c r="A75" s="14"/>
      <c r="B75" s="2"/>
    </row>
    <row r="76" spans="1:2" x14ac:dyDescent="0.25">
      <c r="A76" s="15"/>
      <c r="B76" s="3"/>
    </row>
    <row r="77" spans="1:2" x14ac:dyDescent="0.25">
      <c r="A77" s="15"/>
      <c r="B77" s="3"/>
    </row>
    <row r="78" spans="1:2" x14ac:dyDescent="0.25">
      <c r="A78" s="15"/>
      <c r="B78" s="3"/>
    </row>
    <row r="79" spans="1:2" x14ac:dyDescent="0.25">
      <c r="A79" s="15"/>
      <c r="B79" s="3"/>
    </row>
    <row r="80" spans="1:2" x14ac:dyDescent="0.25">
      <c r="A80" s="15"/>
      <c r="B80" s="3"/>
    </row>
    <row r="81" spans="1:2" x14ac:dyDescent="0.25">
      <c r="A81" s="15"/>
      <c r="B81" s="3"/>
    </row>
    <row r="82" spans="1:2" x14ac:dyDescent="0.25">
      <c r="A82" s="15"/>
      <c r="B82" s="3"/>
    </row>
    <row r="83" spans="1:2" x14ac:dyDescent="0.25">
      <c r="A83" s="15"/>
      <c r="B83" s="3"/>
    </row>
    <row r="84" spans="1:2" x14ac:dyDescent="0.25">
      <c r="A84" s="15"/>
      <c r="B84" s="3"/>
    </row>
    <row r="85" spans="1:2" x14ac:dyDescent="0.25">
      <c r="A85" s="15"/>
      <c r="B85" s="3"/>
    </row>
    <row r="86" spans="1:2" x14ac:dyDescent="0.25">
      <c r="A86" s="15"/>
      <c r="B86" s="3"/>
    </row>
    <row r="87" spans="1:2" x14ac:dyDescent="0.25">
      <c r="A87" s="15"/>
      <c r="B87" s="3"/>
    </row>
    <row r="88" spans="1:2" x14ac:dyDescent="0.25">
      <c r="A88" s="15"/>
      <c r="B88" s="3"/>
    </row>
    <row r="89" spans="1:2" x14ac:dyDescent="0.25">
      <c r="A89" s="15"/>
      <c r="B89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G9" sqref="G9"/>
    </sheetView>
  </sheetViews>
  <sheetFormatPr baseColWidth="10" defaultRowHeight="15" x14ac:dyDescent="0.25"/>
  <cols>
    <col min="1" max="2" width="11.42578125" style="16" customWidth="1"/>
  </cols>
  <sheetData>
    <row r="1" spans="1:2" x14ac:dyDescent="0.25">
      <c r="A1" s="16" t="s">
        <v>641</v>
      </c>
      <c r="B1" s="16" t="s">
        <v>642</v>
      </c>
    </row>
    <row r="2" spans="1:2" x14ac:dyDescent="0.25">
      <c r="A2" s="16" t="s">
        <v>643</v>
      </c>
      <c r="B2" s="16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NPF</vt:lpstr>
      <vt:lpstr>Diccionario Jerarquías</vt:lpstr>
      <vt:lpstr>Grupo de Articulos</vt:lpstr>
      <vt:lpstr>Diccionario Fabricantes</vt:lpstr>
      <vt:lpstr>Diccionario Filiales</vt:lpstr>
      <vt:lpstr>Diccionario Marcas</vt:lpstr>
      <vt:lpstr>Diccionario GrupoImputacion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2026-09-17T12:45:17Z</dcterms:created>
  <dcterms:modified xsi:type="dcterms:W3CDTF">2026-10-16T18:54:54Z</dcterms:modified>
</cp:coreProperties>
</file>