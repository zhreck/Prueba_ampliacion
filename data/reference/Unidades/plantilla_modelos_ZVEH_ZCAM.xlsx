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errera\Downloads\"/>
    </mc:Choice>
  </mc:AlternateContent>
  <xr:revisionPtr revIDLastSave="0" documentId="13_ncr:1_{B44F6DFD-59A0-45AD-89E5-831B58764E77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INPUT" sheetId="1" r:id="rId1"/>
    <sheet name="NPF" sheetId="2" r:id="rId2"/>
    <sheet name="Diccionario Jerarquías" sheetId="3" r:id="rId3"/>
    <sheet name="Grupo de Articulos" sheetId="4" r:id="rId4"/>
    <sheet name="Diccionario Filiales" sheetId="5" r:id="rId5"/>
    <sheet name="Diccionario Fabricantes" sheetId="6" r:id="rId6"/>
    <sheet name="Diccionario Marcas" sheetId="7" r:id="rId7"/>
    <sheet name="Diccionario GrupoImputacion" sheetId="8" r:id="rId8"/>
  </sheets>
  <definedNames>
    <definedName name="_xlnm._FilterDatabase" localSheetId="2" hidden="1">'Diccionario Jerarquías'!$A$1:$F$274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Q2" i="1" s="1"/>
  <c r="D2" i="1" a="1"/>
  <c r="R2" i="1" s="1"/>
  <c r="C3" i="1"/>
  <c r="Q3" i="1" s="1"/>
  <c r="D3" i="1" a="1"/>
  <c r="R3" i="1" s="1"/>
  <c r="C4" i="1"/>
  <c r="Q4" i="1" s="1"/>
  <c r="D4" i="1" a="1"/>
  <c r="R4" i="1" s="1"/>
  <c r="C5" i="1"/>
  <c r="Q5" i="1" s="1"/>
  <c r="D5" i="1" a="1"/>
  <c r="R5" i="1" s="1"/>
  <c r="C6" i="1"/>
  <c r="Q6" i="1" s="1"/>
  <c r="D6" i="1" a="1"/>
  <c r="R6" i="1" s="1"/>
  <c r="C7" i="1"/>
  <c r="Q7" i="1" s="1"/>
  <c r="D7" i="1" a="1"/>
  <c r="R7" i="1" s="1"/>
  <c r="C8" i="1"/>
  <c r="Q8" i="1" s="1"/>
  <c r="D8" i="1" a="1"/>
  <c r="R8" i="1" s="1"/>
  <c r="C9" i="1"/>
  <c r="Q9" i="1" s="1"/>
  <c r="D9" i="1" a="1"/>
  <c r="R9" i="1" s="1"/>
  <c r="C10" i="1"/>
  <c r="Q10" i="1" s="1"/>
  <c r="D10" i="1" a="1"/>
  <c r="R10" i="1" s="1"/>
  <c r="C11" i="1"/>
  <c r="Q11" i="1" s="1"/>
  <c r="D11" i="1" a="1"/>
  <c r="R11" i="1" s="1"/>
  <c r="C12" i="1"/>
  <c r="Q12" i="1" s="1"/>
  <c r="D12" i="1" a="1"/>
  <c r="R12" i="1" s="1"/>
  <c r="C13" i="1"/>
  <c r="Q13" i="1" s="1"/>
  <c r="D13" i="1" a="1"/>
  <c r="R13" i="1" s="1"/>
  <c r="C14" i="1"/>
  <c r="Q14" i="1" s="1"/>
  <c r="D14" i="1" a="1"/>
  <c r="R14" i="1" s="1"/>
  <c r="C15" i="1"/>
  <c r="Q15" i="1" s="1"/>
  <c r="D15" i="1" a="1"/>
  <c r="R15" i="1" s="1"/>
  <c r="C16" i="1"/>
  <c r="Q16" i="1" s="1"/>
  <c r="D16" i="1" a="1"/>
  <c r="R16" i="1" s="1"/>
  <c r="C17" i="1"/>
  <c r="Q17" i="1" s="1"/>
  <c r="D17" i="1" a="1"/>
  <c r="R17" i="1" s="1"/>
  <c r="C18" i="1"/>
  <c r="Q18" i="1" s="1"/>
  <c r="D18" i="1" a="1"/>
  <c r="R18" i="1" s="1"/>
  <c r="C19" i="1"/>
  <c r="Q19" i="1" s="1"/>
  <c r="D19" i="1" a="1"/>
  <c r="R19" i="1" s="1"/>
  <c r="C20" i="1"/>
  <c r="Q20" i="1" s="1"/>
  <c r="D20" i="1" a="1"/>
  <c r="R20" i="1" s="1"/>
  <c r="C21" i="1"/>
  <c r="Q21" i="1" s="1"/>
  <c r="D21" i="1" a="1"/>
  <c r="R21" i="1" s="1"/>
  <c r="C22" i="1"/>
  <c r="Q22" i="1" s="1"/>
  <c r="D22" i="1" a="1"/>
  <c r="R22" i="1" s="1"/>
  <c r="C23" i="1"/>
  <c r="Q23" i="1" s="1"/>
  <c r="D23" i="1" a="1"/>
  <c r="R23" i="1" s="1"/>
  <c r="C24" i="1"/>
  <c r="Q24" i="1" s="1"/>
  <c r="D24" i="1" a="1"/>
  <c r="R24" i="1" s="1"/>
  <c r="C25" i="1"/>
  <c r="Q25" i="1" s="1"/>
  <c r="D25" i="1" a="1"/>
  <c r="R25" i="1" s="1"/>
  <c r="C26" i="1"/>
  <c r="Q26" i="1" s="1"/>
  <c r="D26" i="1" a="1"/>
  <c r="R26" i="1" s="1"/>
  <c r="C27" i="1"/>
  <c r="Q27" i="1" s="1"/>
  <c r="D27" i="1" a="1"/>
  <c r="R27" i="1" s="1"/>
  <c r="C28" i="1"/>
  <c r="Q28" i="1" s="1"/>
  <c r="D28" i="1" a="1"/>
  <c r="R28" i="1" s="1"/>
  <c r="C29" i="1"/>
  <c r="Q29" i="1" s="1"/>
  <c r="D29" i="1" a="1"/>
  <c r="R29" i="1" s="1"/>
  <c r="C30" i="1"/>
  <c r="Q30" i="1" s="1"/>
  <c r="D30" i="1" a="1"/>
  <c r="R30" i="1" s="1"/>
  <c r="C31" i="1"/>
  <c r="Q31" i="1" s="1"/>
  <c r="D31" i="1" a="1"/>
  <c r="R31" i="1" s="1"/>
  <c r="C32" i="1"/>
  <c r="Q32" i="1" s="1"/>
  <c r="D32" i="1" a="1"/>
  <c r="R32" i="1" s="1"/>
  <c r="C33" i="1"/>
  <c r="Q33" i="1" s="1"/>
  <c r="D33" i="1" a="1"/>
  <c r="R33" i="1" s="1"/>
  <c r="C34" i="1"/>
  <c r="Q34" i="1" s="1"/>
  <c r="D34" i="1" a="1"/>
  <c r="R34" i="1" s="1"/>
  <c r="C35" i="1"/>
  <c r="Q35" i="1" s="1"/>
  <c r="D35" i="1" a="1"/>
  <c r="R35" i="1" s="1"/>
  <c r="C36" i="1"/>
  <c r="Q36" i="1" s="1"/>
  <c r="D36" i="1" a="1"/>
  <c r="R36" i="1" s="1"/>
  <c r="C37" i="1"/>
  <c r="Q37" i="1" s="1"/>
  <c r="D37" i="1" a="1"/>
  <c r="R37" i="1" s="1"/>
  <c r="C38" i="1"/>
  <c r="Q38" i="1" s="1"/>
  <c r="D38" i="1" a="1"/>
  <c r="R38" i="1" s="1"/>
  <c r="C39" i="1"/>
  <c r="Q39" i="1" s="1"/>
  <c r="D39" i="1" a="1"/>
  <c r="R39" i="1" s="1"/>
  <c r="C40" i="1"/>
  <c r="Q40" i="1" s="1"/>
  <c r="D40" i="1" a="1"/>
  <c r="R40" i="1" s="1"/>
  <c r="C41" i="1"/>
  <c r="Q41" i="1" s="1"/>
  <c r="D41" i="1" a="1"/>
  <c r="R41" i="1" s="1"/>
  <c r="C42" i="1"/>
  <c r="Q42" i="1" s="1"/>
  <c r="D42" i="1" a="1"/>
  <c r="R42" i="1" s="1"/>
  <c r="C43" i="1"/>
  <c r="Q43" i="1" s="1"/>
  <c r="D43" i="1" a="1"/>
  <c r="R43" i="1" s="1"/>
  <c r="C44" i="1"/>
  <c r="Q44" i="1" s="1"/>
  <c r="D44" i="1" a="1"/>
  <c r="R44" i="1" s="1"/>
  <c r="C45" i="1"/>
  <c r="Q45" i="1" s="1"/>
  <c r="D45" i="1" a="1"/>
  <c r="R45" i="1" s="1"/>
  <c r="C46" i="1"/>
  <c r="Q46" i="1" s="1"/>
  <c r="D46" i="1" a="1"/>
  <c r="R46" i="1" s="1"/>
  <c r="C47" i="1"/>
  <c r="Q47" i="1" s="1"/>
  <c r="D47" i="1" a="1"/>
  <c r="R47" i="1" s="1"/>
  <c r="C48" i="1"/>
  <c r="Q48" i="1" s="1"/>
  <c r="D48" i="1" a="1"/>
  <c r="R48" i="1" s="1"/>
  <c r="C49" i="1"/>
  <c r="Q49" i="1" s="1"/>
  <c r="D49" i="1" a="1"/>
  <c r="R49" i="1" s="1"/>
  <c r="C50" i="1"/>
  <c r="Q50" i="1" s="1"/>
  <c r="D50" i="1" a="1"/>
  <c r="R50" i="1" s="1"/>
  <c r="C51" i="1"/>
  <c r="Q51" i="1" s="1"/>
  <c r="D51" i="1" a="1"/>
  <c r="R51" i="1" s="1"/>
  <c r="C52" i="1"/>
  <c r="Q52" i="1" s="1"/>
  <c r="D52" i="1" a="1"/>
  <c r="R52" i="1" s="1"/>
  <c r="C53" i="1"/>
  <c r="Q53" i="1" s="1"/>
  <c r="D53" i="1" a="1"/>
  <c r="R53" i="1" s="1"/>
  <c r="C54" i="1"/>
  <c r="Q54" i="1" s="1"/>
  <c r="D54" i="1" a="1"/>
  <c r="R54" i="1" s="1"/>
  <c r="C55" i="1"/>
  <c r="Q55" i="1" s="1"/>
  <c r="D55" i="1" a="1"/>
  <c r="R55" i="1" s="1"/>
  <c r="C56" i="1"/>
  <c r="Q56" i="1" s="1"/>
  <c r="D56" i="1" a="1"/>
  <c r="R56" i="1" s="1"/>
  <c r="C57" i="1"/>
  <c r="Q57" i="1" s="1"/>
  <c r="D57" i="1" a="1"/>
  <c r="R57" i="1" s="1"/>
  <c r="C58" i="1"/>
  <c r="Q58" i="1" s="1"/>
  <c r="D58" i="1" a="1"/>
  <c r="R58" i="1" s="1"/>
  <c r="C59" i="1"/>
  <c r="Q59" i="1" s="1"/>
  <c r="D59" i="1" a="1"/>
  <c r="R59" i="1" s="1"/>
  <c r="C60" i="1"/>
  <c r="Q60" i="1" s="1"/>
  <c r="D60" i="1" a="1"/>
  <c r="R60" i="1" s="1"/>
  <c r="C61" i="1"/>
  <c r="Q61" i="1" s="1"/>
  <c r="D61" i="1" a="1"/>
  <c r="R61" i="1" s="1"/>
  <c r="C62" i="1"/>
  <c r="Q62" i="1" s="1"/>
  <c r="D62" i="1" a="1"/>
  <c r="R62" i="1" s="1"/>
  <c r="C63" i="1"/>
  <c r="Q63" i="1" s="1"/>
  <c r="D63" i="1" a="1"/>
  <c r="R63" i="1" s="1"/>
  <c r="C64" i="1"/>
  <c r="Q64" i="1" s="1"/>
  <c r="D64" i="1" a="1"/>
  <c r="R64" i="1" s="1"/>
  <c r="C65" i="1"/>
  <c r="Q65" i="1" s="1"/>
  <c r="D65" i="1" a="1"/>
  <c r="R65" i="1" s="1"/>
  <c r="C66" i="1"/>
  <c r="Q66" i="1" s="1"/>
  <c r="D66" i="1" a="1"/>
  <c r="R66" i="1" s="1"/>
  <c r="C67" i="1"/>
  <c r="Q67" i="1" s="1"/>
  <c r="D67" i="1" a="1"/>
  <c r="R67" i="1" s="1"/>
  <c r="C68" i="1"/>
  <c r="Q68" i="1" s="1"/>
  <c r="D68" i="1" a="1"/>
  <c r="R68" i="1" s="1"/>
  <c r="C69" i="1"/>
  <c r="Q69" i="1" s="1"/>
  <c r="D69" i="1" a="1"/>
  <c r="R69" i="1" s="1"/>
  <c r="C70" i="1"/>
  <c r="Q70" i="1" s="1"/>
  <c r="D70" i="1" a="1"/>
  <c r="R70" i="1" s="1"/>
  <c r="C71" i="1"/>
  <c r="Q71" i="1" s="1"/>
  <c r="D71" i="1" a="1"/>
  <c r="R71" i="1" s="1"/>
  <c r="C72" i="1"/>
  <c r="Q72" i="1" s="1"/>
  <c r="D72" i="1" a="1"/>
  <c r="R72" i="1" s="1"/>
  <c r="C73" i="1"/>
  <c r="Q73" i="1" s="1"/>
  <c r="D73" i="1" a="1"/>
  <c r="R73" i="1" s="1"/>
  <c r="C74" i="1"/>
  <c r="Q74" i="1" s="1"/>
  <c r="D74" i="1" a="1"/>
  <c r="R74" i="1" s="1"/>
  <c r="C75" i="1"/>
  <c r="Q75" i="1" s="1"/>
  <c r="D75" i="1" a="1"/>
  <c r="R75" i="1" s="1"/>
  <c r="C76" i="1"/>
  <c r="Q76" i="1" s="1"/>
  <c r="D76" i="1" a="1"/>
  <c r="R76" i="1" s="1"/>
  <c r="C77" i="1"/>
  <c r="Q77" i="1" s="1"/>
  <c r="D77" i="1" a="1"/>
  <c r="R77" i="1" s="1"/>
  <c r="C78" i="1"/>
  <c r="Q78" i="1" s="1"/>
  <c r="D78" i="1" a="1"/>
  <c r="R78" i="1" s="1"/>
  <c r="C79" i="1"/>
  <c r="Q79" i="1" s="1"/>
  <c r="D79" i="1" a="1"/>
  <c r="R79" i="1" s="1"/>
  <c r="C80" i="1"/>
  <c r="Q80" i="1" s="1"/>
  <c r="D80" i="1" a="1"/>
  <c r="R80" i="1" s="1"/>
  <c r="C81" i="1"/>
  <c r="Q81" i="1" s="1"/>
  <c r="D81" i="1" a="1"/>
  <c r="R81" i="1" s="1"/>
  <c r="C82" i="1"/>
  <c r="Q82" i="1" s="1"/>
  <c r="D82" i="1" a="1"/>
  <c r="R82" i="1" s="1"/>
  <c r="C83" i="1"/>
  <c r="Q83" i="1" s="1"/>
  <c r="D83" i="1" a="1"/>
  <c r="R83" i="1" s="1"/>
  <c r="C84" i="1"/>
  <c r="Q84" i="1" s="1"/>
  <c r="D84" i="1" a="1"/>
  <c r="R84" i="1" s="1"/>
  <c r="C85" i="1"/>
  <c r="Q85" i="1" s="1"/>
  <c r="D85" i="1" a="1"/>
  <c r="R85" i="1" s="1"/>
  <c r="C86" i="1"/>
  <c r="Q86" i="1" s="1"/>
  <c r="D86" i="1" a="1"/>
  <c r="R86" i="1" s="1"/>
  <c r="C87" i="1"/>
  <c r="Q87" i="1" s="1"/>
  <c r="D87" i="1" a="1"/>
  <c r="R87" i="1" s="1"/>
  <c r="C88" i="1"/>
  <c r="Q88" i="1" s="1"/>
  <c r="D88" i="1" a="1"/>
  <c r="R88" i="1" s="1"/>
  <c r="C89" i="1"/>
  <c r="Q89" i="1" s="1"/>
  <c r="D89" i="1" a="1"/>
  <c r="R89" i="1" s="1"/>
  <c r="C90" i="1"/>
  <c r="Q90" i="1" s="1"/>
  <c r="D90" i="1" a="1"/>
  <c r="R90" i="1" s="1"/>
  <c r="C91" i="1"/>
  <c r="Q91" i="1" s="1"/>
  <c r="D91" i="1" a="1"/>
  <c r="R91" i="1" s="1"/>
  <c r="C92" i="1"/>
  <c r="Q92" i="1" s="1"/>
  <c r="D92" i="1" a="1"/>
  <c r="R92" i="1" s="1"/>
  <c r="C93" i="1"/>
  <c r="Q93" i="1" s="1"/>
  <c r="D93" i="1" a="1"/>
  <c r="R93" i="1" s="1"/>
  <c r="C94" i="1"/>
  <c r="Q94" i="1" s="1"/>
  <c r="D94" i="1" a="1"/>
  <c r="R94" i="1" s="1"/>
  <c r="C95" i="1"/>
  <c r="Q95" i="1" s="1"/>
  <c r="D95" i="1" a="1"/>
  <c r="R95" i="1" s="1"/>
  <c r="C96" i="1"/>
  <c r="Q96" i="1" s="1"/>
  <c r="D96" i="1" a="1"/>
  <c r="R96" i="1" s="1"/>
  <c r="C97" i="1"/>
  <c r="Q97" i="1" s="1"/>
  <c r="D97" i="1" a="1"/>
  <c r="R97" i="1" s="1"/>
  <c r="C98" i="1"/>
  <c r="Q98" i="1" s="1"/>
  <c r="D98" i="1" a="1"/>
  <c r="R98" i="1" s="1"/>
  <c r="C99" i="1"/>
  <c r="Q99" i="1" s="1"/>
  <c r="D99" i="1" a="1"/>
  <c r="R99" i="1" s="1"/>
  <c r="C100" i="1"/>
  <c r="Q100" i="1" s="1"/>
  <c r="D100" i="1" a="1"/>
  <c r="R100" i="1" s="1"/>
  <c r="C101" i="1"/>
  <c r="Q101" i="1" s="1"/>
  <c r="D101" i="1" a="1"/>
  <c r="R101" i="1" s="1"/>
  <c r="C102" i="1"/>
  <c r="Q102" i="1" s="1"/>
  <c r="D102" i="1" a="1"/>
  <c r="R102" i="1" s="1"/>
  <c r="C103" i="1"/>
  <c r="Q103" i="1" s="1"/>
  <c r="D103" i="1" a="1"/>
  <c r="R103" i="1" s="1"/>
  <c r="C104" i="1"/>
  <c r="Q104" i="1" s="1"/>
  <c r="D104" i="1" a="1"/>
  <c r="R104" i="1" s="1"/>
  <c r="C105" i="1"/>
  <c r="Q105" i="1" s="1"/>
  <c r="D105" i="1" a="1"/>
  <c r="R105" i="1" s="1"/>
  <c r="C106" i="1"/>
  <c r="Q106" i="1" s="1"/>
  <c r="D106" i="1" a="1"/>
  <c r="R106" i="1" s="1"/>
  <c r="C107" i="1"/>
  <c r="Q107" i="1" s="1"/>
  <c r="D107" i="1" a="1"/>
  <c r="R107" i="1" s="1"/>
  <c r="C108" i="1"/>
  <c r="Q108" i="1" s="1"/>
  <c r="D108" i="1" a="1"/>
  <c r="R108" i="1" s="1"/>
  <c r="C109" i="1"/>
  <c r="Q109" i="1" s="1"/>
  <c r="D109" i="1" a="1"/>
  <c r="R109" i="1" s="1"/>
  <c r="C110" i="1"/>
  <c r="Q110" i="1" s="1"/>
  <c r="D110" i="1" a="1"/>
  <c r="R110" i="1" s="1"/>
  <c r="C111" i="1"/>
  <c r="Q111" i="1" s="1"/>
  <c r="D111" i="1" a="1"/>
  <c r="R111" i="1" s="1"/>
  <c r="C112" i="1"/>
  <c r="Q112" i="1" s="1"/>
  <c r="D112" i="1" a="1"/>
  <c r="R112" i="1" s="1"/>
  <c r="C113" i="1"/>
  <c r="Q113" i="1" s="1"/>
  <c r="D113" i="1" a="1"/>
  <c r="R113" i="1" s="1"/>
  <c r="C114" i="1"/>
  <c r="Q114" i="1" s="1"/>
  <c r="D114" i="1" a="1"/>
  <c r="R114" i="1" s="1"/>
  <c r="C115" i="1"/>
  <c r="Q115" i="1" s="1"/>
  <c r="D115" i="1" a="1"/>
  <c r="R115" i="1" s="1"/>
  <c r="C116" i="1"/>
  <c r="Q116" i="1" s="1"/>
  <c r="D116" i="1" a="1"/>
  <c r="R116" i="1" s="1"/>
  <c r="C117" i="1"/>
  <c r="Q117" i="1" s="1"/>
  <c r="D117" i="1" a="1"/>
  <c r="R117" i="1" s="1"/>
  <c r="C118" i="1"/>
  <c r="Q118" i="1" s="1"/>
  <c r="D118" i="1" a="1"/>
  <c r="R118" i="1" s="1"/>
  <c r="C119" i="1"/>
  <c r="Q119" i="1" s="1"/>
  <c r="D119" i="1" a="1"/>
  <c r="R119" i="1" s="1"/>
  <c r="C120" i="1"/>
  <c r="Q120" i="1" s="1"/>
  <c r="D120" i="1" a="1"/>
  <c r="R120" i="1" s="1"/>
  <c r="C121" i="1"/>
  <c r="Q121" i="1" s="1"/>
  <c r="D121" i="1" a="1"/>
  <c r="R121" i="1" s="1"/>
  <c r="C122" i="1"/>
  <c r="Q122" i="1" s="1"/>
  <c r="D122" i="1" a="1"/>
  <c r="R122" i="1" s="1"/>
  <c r="C123" i="1"/>
  <c r="Q123" i="1" s="1"/>
  <c r="D123" i="1" a="1"/>
  <c r="R123" i="1" s="1"/>
  <c r="C124" i="1"/>
  <c r="Q124" i="1" s="1"/>
  <c r="D124" i="1" a="1"/>
  <c r="R124" i="1" s="1"/>
  <c r="C125" i="1"/>
  <c r="Q125" i="1" s="1"/>
  <c r="D125" i="1" a="1"/>
  <c r="R125" i="1" s="1"/>
  <c r="C126" i="1"/>
  <c r="Q126" i="1" s="1"/>
  <c r="D126" i="1" a="1"/>
  <c r="R126" i="1" s="1"/>
  <c r="C127" i="1"/>
  <c r="Q127" i="1" s="1"/>
  <c r="D127" i="1" a="1"/>
  <c r="R127" i="1" s="1"/>
  <c r="C128" i="1"/>
  <c r="Q128" i="1" s="1"/>
  <c r="D128" i="1" a="1"/>
  <c r="R128" i="1" s="1"/>
  <c r="C129" i="1"/>
  <c r="Q129" i="1" s="1"/>
  <c r="D129" i="1" a="1"/>
  <c r="R129" i="1" s="1"/>
  <c r="C130" i="1"/>
  <c r="Q130" i="1" s="1"/>
  <c r="D130" i="1" a="1"/>
  <c r="R130" i="1" s="1"/>
  <c r="C131" i="1"/>
  <c r="Q131" i="1" s="1"/>
  <c r="D131" i="1" a="1"/>
  <c r="R131" i="1" s="1"/>
  <c r="C132" i="1"/>
  <c r="Q132" i="1" s="1"/>
  <c r="D132" i="1" a="1"/>
  <c r="R132" i="1" s="1"/>
  <c r="C133" i="1"/>
  <c r="Q133" i="1" s="1"/>
  <c r="D133" i="1" a="1"/>
  <c r="R133" i="1" s="1"/>
  <c r="C134" i="1"/>
  <c r="Q134" i="1" s="1"/>
  <c r="D134" i="1" a="1"/>
  <c r="R134" i="1" s="1"/>
  <c r="C135" i="1"/>
  <c r="Q135" i="1" s="1"/>
  <c r="D135" i="1" a="1"/>
  <c r="R135" i="1" s="1"/>
  <c r="C136" i="1"/>
  <c r="Q136" i="1" s="1"/>
  <c r="D136" i="1" a="1"/>
  <c r="R136" i="1" s="1"/>
  <c r="C137" i="1"/>
  <c r="Q137" i="1" s="1"/>
  <c r="D137" i="1" a="1"/>
  <c r="R137" i="1" s="1"/>
  <c r="C138" i="1"/>
  <c r="Q138" i="1" s="1"/>
  <c r="D138" i="1" a="1"/>
  <c r="R138" i="1" s="1"/>
  <c r="C139" i="1"/>
  <c r="Q139" i="1" s="1"/>
  <c r="D139" i="1" a="1"/>
  <c r="R139" i="1" s="1"/>
  <c r="C140" i="1"/>
  <c r="Q140" i="1" s="1"/>
  <c r="D140" i="1" a="1"/>
  <c r="R140" i="1" s="1"/>
  <c r="C141" i="1"/>
  <c r="Q141" i="1" s="1"/>
  <c r="D141" i="1" a="1"/>
  <c r="R141" i="1" s="1"/>
  <c r="C142" i="1"/>
  <c r="Q142" i="1" s="1"/>
  <c r="D142" i="1" a="1"/>
  <c r="R142" i="1" s="1"/>
  <c r="C143" i="1"/>
  <c r="Q143" i="1" s="1"/>
  <c r="D143" i="1" a="1"/>
  <c r="R143" i="1" s="1"/>
  <c r="C144" i="1"/>
  <c r="Q144" i="1" s="1"/>
  <c r="D144" i="1" a="1"/>
  <c r="R144" i="1" s="1"/>
  <c r="C145" i="1"/>
  <c r="Q145" i="1" s="1"/>
  <c r="D145" i="1" a="1"/>
  <c r="R145" i="1" s="1"/>
  <c r="C146" i="1"/>
  <c r="Q146" i="1" s="1"/>
  <c r="D146" i="1" a="1"/>
  <c r="R146" i="1" s="1"/>
  <c r="C147" i="1"/>
  <c r="Q147" i="1" s="1"/>
  <c r="D147" i="1" a="1"/>
  <c r="R147" i="1" s="1"/>
  <c r="C148" i="1"/>
  <c r="Q148" i="1" s="1"/>
  <c r="D148" i="1" a="1"/>
  <c r="R148" i="1" s="1"/>
  <c r="C149" i="1"/>
  <c r="Q149" i="1" s="1"/>
  <c r="D149" i="1" a="1"/>
  <c r="R149" i="1" s="1"/>
  <c r="C150" i="1"/>
  <c r="Q150" i="1" s="1"/>
  <c r="D150" i="1" a="1"/>
  <c r="R150" i="1" s="1"/>
  <c r="C151" i="1"/>
  <c r="Q151" i="1" s="1"/>
  <c r="D151" i="1" a="1"/>
  <c r="R151" i="1" s="1"/>
  <c r="C152" i="1"/>
  <c r="Q152" i="1" s="1"/>
  <c r="D152" i="1" a="1"/>
  <c r="R152" i="1" s="1"/>
  <c r="C153" i="1"/>
  <c r="Q153" i="1" s="1"/>
  <c r="D153" i="1" a="1"/>
  <c r="R153" i="1" s="1"/>
  <c r="C154" i="1"/>
  <c r="Q154" i="1" s="1"/>
  <c r="D154" i="1" a="1"/>
  <c r="R154" i="1" s="1"/>
  <c r="C155" i="1"/>
  <c r="Q155" i="1" s="1"/>
  <c r="D155" i="1" a="1"/>
  <c r="R155" i="1" s="1"/>
  <c r="C156" i="1"/>
  <c r="Q156" i="1" s="1"/>
  <c r="D156" i="1" a="1"/>
  <c r="R156" i="1" s="1"/>
  <c r="C157" i="1"/>
  <c r="Q157" i="1" s="1"/>
  <c r="D157" i="1" a="1"/>
  <c r="R157" i="1" s="1"/>
  <c r="C158" i="1"/>
  <c r="Q158" i="1" s="1"/>
  <c r="D158" i="1" a="1"/>
  <c r="R158" i="1" s="1"/>
  <c r="C159" i="1"/>
  <c r="Q159" i="1" s="1"/>
  <c r="D159" i="1" a="1"/>
  <c r="R159" i="1" s="1"/>
  <c r="C160" i="1"/>
  <c r="Q160" i="1" s="1"/>
  <c r="D160" i="1" a="1"/>
  <c r="R160" i="1" s="1"/>
  <c r="C161" i="1"/>
  <c r="Q161" i="1" s="1"/>
  <c r="D161" i="1" a="1"/>
  <c r="R161" i="1" s="1"/>
  <c r="C162" i="1"/>
  <c r="Q162" i="1" s="1"/>
  <c r="D162" i="1" a="1"/>
  <c r="R162" i="1" s="1"/>
  <c r="C163" i="1"/>
  <c r="Q163" i="1" s="1"/>
  <c r="D163" i="1" a="1"/>
  <c r="R163" i="1" s="1"/>
  <c r="C164" i="1"/>
  <c r="Q164" i="1" s="1"/>
  <c r="D164" i="1" a="1"/>
  <c r="R164" i="1" s="1"/>
  <c r="C165" i="1"/>
  <c r="Q165" i="1" s="1"/>
  <c r="D165" i="1" a="1"/>
  <c r="R165" i="1" s="1"/>
  <c r="C166" i="1"/>
  <c r="Q166" i="1" s="1"/>
  <c r="D166" i="1" a="1"/>
  <c r="R166" i="1" s="1"/>
  <c r="C167" i="1"/>
  <c r="Q167" i="1" s="1"/>
  <c r="D167" i="1" a="1"/>
  <c r="R167" i="1" s="1"/>
  <c r="C168" i="1"/>
  <c r="Q168" i="1" s="1"/>
  <c r="D168" i="1" a="1"/>
  <c r="R168" i="1" s="1"/>
  <c r="C169" i="1"/>
  <c r="Q169" i="1" s="1"/>
  <c r="D169" i="1" a="1"/>
  <c r="R169" i="1" s="1"/>
  <c r="C170" i="1"/>
  <c r="Q170" i="1" s="1"/>
  <c r="D170" i="1" a="1"/>
  <c r="R170" i="1" s="1"/>
  <c r="C171" i="1"/>
  <c r="Q171" i="1" s="1"/>
  <c r="D171" i="1" a="1"/>
  <c r="R171" i="1" s="1"/>
  <c r="C172" i="1"/>
  <c r="Q172" i="1" s="1"/>
  <c r="D172" i="1" a="1"/>
  <c r="R172" i="1" s="1"/>
  <c r="C173" i="1"/>
  <c r="Q173" i="1" s="1"/>
  <c r="D173" i="1" a="1"/>
  <c r="R173" i="1" s="1"/>
  <c r="C174" i="1"/>
  <c r="Q174" i="1" s="1"/>
  <c r="D174" i="1" a="1"/>
  <c r="R174" i="1" s="1"/>
  <c r="C175" i="1"/>
  <c r="Q175" i="1" s="1"/>
  <c r="D175" i="1" a="1"/>
  <c r="R175" i="1" s="1"/>
  <c r="C176" i="1"/>
  <c r="Q176" i="1" s="1"/>
  <c r="D176" i="1" a="1"/>
  <c r="R176" i="1" s="1"/>
  <c r="C177" i="1"/>
  <c r="Q177" i="1" s="1"/>
  <c r="D177" i="1" a="1"/>
  <c r="R177" i="1" s="1"/>
  <c r="C178" i="1"/>
  <c r="Q178" i="1" s="1"/>
  <c r="D178" i="1" a="1"/>
  <c r="R178" i="1" s="1"/>
  <c r="C179" i="1"/>
  <c r="Q179" i="1" s="1"/>
  <c r="D179" i="1" a="1"/>
  <c r="R179" i="1" s="1"/>
  <c r="C180" i="1"/>
  <c r="Q180" i="1" s="1"/>
  <c r="D180" i="1" a="1"/>
  <c r="R180" i="1" s="1"/>
  <c r="C181" i="1"/>
  <c r="Q181" i="1" s="1"/>
  <c r="D181" i="1" a="1"/>
  <c r="R181" i="1" s="1"/>
  <c r="C182" i="1"/>
  <c r="Q182" i="1" s="1"/>
  <c r="D182" i="1" a="1"/>
  <c r="R182" i="1" s="1"/>
  <c r="C183" i="1"/>
  <c r="Q183" i="1" s="1"/>
  <c r="D183" i="1" a="1"/>
  <c r="R183" i="1" s="1"/>
  <c r="C184" i="1"/>
  <c r="Q184" i="1" s="1"/>
  <c r="D184" i="1" a="1"/>
  <c r="R184" i="1" s="1"/>
  <c r="C185" i="1"/>
  <c r="Q185" i="1" s="1"/>
  <c r="D185" i="1" a="1"/>
  <c r="R185" i="1" s="1"/>
  <c r="C186" i="1"/>
  <c r="Q186" i="1" s="1"/>
  <c r="D186" i="1" a="1"/>
  <c r="R186" i="1" s="1"/>
  <c r="C187" i="1"/>
  <c r="Q187" i="1" s="1"/>
  <c r="D187" i="1" a="1"/>
  <c r="R187" i="1" s="1"/>
  <c r="C188" i="1"/>
  <c r="Q188" i="1" s="1"/>
  <c r="D188" i="1" a="1"/>
  <c r="R188" i="1" s="1"/>
  <c r="C189" i="1"/>
  <c r="Q189" i="1" s="1"/>
  <c r="D189" i="1" a="1"/>
  <c r="R189" i="1" s="1"/>
  <c r="C190" i="1"/>
  <c r="Q190" i="1" s="1"/>
  <c r="D190" i="1" a="1"/>
  <c r="R190" i="1" s="1"/>
  <c r="C191" i="1"/>
  <c r="Q191" i="1" s="1"/>
  <c r="D191" i="1" a="1"/>
  <c r="R191" i="1" s="1"/>
  <c r="C192" i="1"/>
  <c r="Q192" i="1" s="1"/>
  <c r="D192" i="1" a="1"/>
  <c r="R192" i="1" s="1"/>
  <c r="C193" i="1"/>
  <c r="Q193" i="1" s="1"/>
  <c r="D193" i="1" a="1"/>
  <c r="R193" i="1" s="1"/>
  <c r="C194" i="1"/>
  <c r="Q194" i="1" s="1"/>
  <c r="D194" i="1" a="1"/>
  <c r="R194" i="1" s="1"/>
  <c r="C195" i="1"/>
  <c r="Q195" i="1" s="1"/>
  <c r="D195" i="1" a="1"/>
  <c r="R195" i="1" s="1"/>
  <c r="C196" i="1"/>
  <c r="Q196" i="1" s="1"/>
  <c r="D196" i="1" a="1"/>
  <c r="R196" i="1" s="1"/>
  <c r="C197" i="1"/>
  <c r="Q197" i="1" s="1"/>
  <c r="D197" i="1" a="1"/>
  <c r="R197" i="1" s="1"/>
  <c r="C198" i="1"/>
  <c r="Q198" i="1" s="1"/>
  <c r="D198" i="1" a="1"/>
  <c r="R198" i="1" s="1"/>
  <c r="C199" i="1"/>
  <c r="Q199" i="1" s="1"/>
  <c r="D199" i="1" a="1"/>
  <c r="R199" i="1" s="1"/>
  <c r="C200" i="1"/>
  <c r="Q200" i="1" s="1"/>
  <c r="D200" i="1" a="1"/>
  <c r="R20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<sst xmlns="http://schemas.openxmlformats.org/spreadsheetml/2006/main" count="2155" uniqueCount="825">
  <si>
    <t>FILIAL CODIGO</t>
  </si>
  <si>
    <t>TIPO MATERIAL</t>
  </si>
  <si>
    <t>NPF CALCULADO (MAX 30)</t>
  </si>
  <si>
    <t>MODELO</t>
  </si>
  <si>
    <t>VERSION</t>
  </si>
  <si>
    <t>CILINDRADA</t>
  </si>
  <si>
    <t>COMBUSTIBLE</t>
  </si>
  <si>
    <t>TRACCION</t>
  </si>
  <si>
    <t>TRANSMISION</t>
  </si>
  <si>
    <t>POTENCIA BATERIA (solo si ELECTRICO)</t>
  </si>
  <si>
    <t>GRUPO ARTICULO</t>
  </si>
  <si>
    <t>NOMBRE JERARQUIA</t>
  </si>
  <si>
    <t>NOMBRE MARCA</t>
  </si>
  <si>
    <t>NOMBRE FABRICANTE</t>
  </si>
  <si>
    <t>GRUPO IMPUTACION</t>
  </si>
  <si>
    <t>LARGO TEXTO BREVE (máx 40)</t>
  </si>
  <si>
    <t>LARGO NPF (máx 30)</t>
  </si>
  <si>
    <t>Tablas de conversión — se pueden ampliar agregando filas al final de cada tabla</t>
  </si>
  <si>
    <t>Abreviaciones de Modelo / Versión</t>
  </si>
  <si>
    <t>Estándar de Nomenclatura NPF — referencia</t>
  </si>
  <si>
    <t>Abreviaciones de Marca (Texto breve)</t>
  </si>
  <si>
    <t>Se aplican en orden de arriba hacia abajo sobre MODELO + VERSIÓN (en mayúsculas), antes de quitar espacios y paréntesis. Las más largas deben ir antes que las cortas (ej: LUX PLUS XL antes que LUX PLUS). Hay 30 filas disponibles.</t>
  </si>
  <si>
    <t>Número de Parte del Fabricante — Migración SAP S/4HANA · Proyecto Integra. Límite SAP: 30 caracteres.</t>
  </si>
  <si>
    <t>Se usa en el TEXTO BREVE. Si el MODELO ya empieza con la abreviatura (ej: DF-1016), la marca no se repite. Se puede ampliar hasta la fila 40.</t>
  </si>
  <si>
    <t>Combustible (SAP)</t>
  </si>
  <si>
    <t>Abrev. NPF</t>
  </si>
  <si>
    <t>Transmisión (SAP)</t>
  </si>
  <si>
    <t>Categoría Maquinaria</t>
  </si>
  <si>
    <t>Tracción</t>
  </si>
  <si>
    <t>Tipo Material</t>
  </si>
  <si>
    <t>Tipo Base (solo ZUSA)</t>
  </si>
  <si>
    <t>Categorías sin cilindrada (motos/ATV)</t>
  </si>
  <si>
    <t>Categorías (lista desplegable)</t>
  </si>
  <si>
    <t>Decimales cilindrada</t>
  </si>
  <si>
    <t>Texto original</t>
  </si>
  <si>
    <t>Abrev.</t>
  </si>
  <si>
    <t>Ejemplo aplicado</t>
  </si>
  <si>
    <t>Marca (SAP)</t>
  </si>
  <si>
    <t>Abrev. Texto breve</t>
  </si>
  <si>
    <t>GASOLINA</t>
  </si>
  <si>
    <t>GSL</t>
  </si>
  <si>
    <t>Mecanica (MT)</t>
  </si>
  <si>
    <t>MT</t>
  </si>
  <si>
    <t>APILADOR</t>
  </si>
  <si>
    <t>APIL</t>
  </si>
  <si>
    <t>2x1</t>
  </si>
  <si>
    <t>ZCAM</t>
  </si>
  <si>
    <t>ZMAQ</t>
  </si>
  <si>
    <t>MAQUINARIAS</t>
  </si>
  <si>
    <t>Motocicleta</t>
  </si>
  <si>
    <t>TBC</t>
  </si>
  <si>
    <t>HORIZON PRO</t>
  </si>
  <si>
    <t>HZPRO</t>
  </si>
  <si>
    <t>RD6 DC HORIZON PRO → RD6DCHZPRO</t>
  </si>
  <si>
    <t>1. Fórmulas por tipo de material</t>
  </si>
  <si>
    <t>DONGFENG</t>
  </si>
  <si>
    <t>DF</t>
  </si>
  <si>
    <t>DIESEL</t>
  </si>
  <si>
    <t>DSL</t>
  </si>
  <si>
    <t>Automatica (AT)</t>
  </si>
  <si>
    <t>AT</t>
  </si>
  <si>
    <t>BIG TRUCK</t>
  </si>
  <si>
    <t>BGTRUCK</t>
  </si>
  <si>
    <t>4x2</t>
  </si>
  <si>
    <t>ZVEH</t>
  </si>
  <si>
    <t>CAMIONES</t>
  </si>
  <si>
    <t>Cuatrimoto</t>
  </si>
  <si>
    <t>Automovil</t>
  </si>
  <si>
    <t>HYPER HALO</t>
  </si>
  <si>
    <t>HPHALO</t>
  </si>
  <si>
    <t>09 HYPER HALO → 09HPHALO</t>
  </si>
  <si>
    <t>Fórmula NPF</t>
  </si>
  <si>
    <t>Ejemplo</t>
  </si>
  <si>
    <t>Nota</t>
  </si>
  <si>
    <t>FAW</t>
  </si>
  <si>
    <t>ELECTRICIDAD (BEV)</t>
  </si>
  <si>
    <t>BEV</t>
  </si>
  <si>
    <t>Automatizada (AMT)</t>
  </si>
  <si>
    <t>AMT</t>
  </si>
  <si>
    <t>CARGADOR FRONTAL</t>
  </si>
  <si>
    <t>CARG.FR</t>
  </si>
  <si>
    <t>4x4</t>
  </si>
  <si>
    <t>VEHICULOS</t>
  </si>
  <si>
    <t>Camioneta</t>
  </si>
  <si>
    <t>LUX PLUS XL</t>
  </si>
  <si>
    <t>LPXL</t>
  </si>
  <si>
    <t>DC LUX PLUS XL → DCLPXL</t>
  </si>
  <si>
    <t>ZCAM — Camiones</t>
  </si>
  <si>
    <t>[MODELO+VERSION]-[CIL]-[COMB]-[TRAC]-[TRANS]</t>
  </si>
  <si>
    <t>DF-1823-6.7L-DSL-4X2-AT</t>
  </si>
  <si>
    <t>Tracción en mayúscula (4X2). BEV sin cilindrada.</t>
  </si>
  <si>
    <t>KYC</t>
  </si>
  <si>
    <t>Gasolina/Electricidad (PHEV)</t>
  </si>
  <si>
    <t>PHEV</t>
  </si>
  <si>
    <t>Doble embrague (DCT)</t>
  </si>
  <si>
    <t>DCT</t>
  </si>
  <si>
    <t>EXCAVADORA</t>
  </si>
  <si>
    <t>EXCAV</t>
  </si>
  <si>
    <t>6x2</t>
  </si>
  <si>
    <t>ZUSA</t>
  </si>
  <si>
    <t>USADOS</t>
  </si>
  <si>
    <t>Comerciales</t>
  </si>
  <si>
    <t>LUX PLUS</t>
  </si>
  <si>
    <t>LP</t>
  </si>
  <si>
    <t>DC LUX PLUS → DCLP</t>
  </si>
  <si>
    <t>ZVEH — Vehículos</t>
  </si>
  <si>
    <t>[MODELO+VERSION]-[COMB]-[CIL]-[TRAC]-[TRANS]</t>
  </si>
  <si>
    <t>X3PROELITE-GSL-1.5L-4x2-AT</t>
  </si>
  <si>
    <t>Tracción en minúscula (4x2).</t>
  </si>
  <si>
    <t>LIFAN</t>
  </si>
  <si>
    <t>LF</t>
  </si>
  <si>
    <t>Híbrido ligero (MHEV)</t>
  </si>
  <si>
    <t>MHEV</t>
  </si>
  <si>
    <t>GRUA</t>
  </si>
  <si>
    <t>6x4</t>
  </si>
  <si>
    <t>Station Wagon</t>
  </si>
  <si>
    <t>DIGNITY</t>
  </si>
  <si>
    <t>DIG</t>
  </si>
  <si>
    <t>DC DIGNITY → DCDIG</t>
  </si>
  <si>
    <t>ZVEH — BEV puro</t>
  </si>
  <si>
    <t>[MODELO+VERSION]-EV-[TRAC]-[TRANS]</t>
  </si>
  <si>
    <t>RD6DC86KWH-BEV-4x2-AT</t>
  </si>
  <si>
    <t>Sin cilindrada, kWh va en modelo.</t>
  </si>
  <si>
    <t>LIFAN AUTO</t>
  </si>
  <si>
    <t>LFA</t>
  </si>
  <si>
    <t>GASOLINA / GLP</t>
  </si>
  <si>
    <t>DUAL</t>
  </si>
  <si>
    <t>MINIRETROEXCAVADORA</t>
  </si>
  <si>
    <t>MINIRET</t>
  </si>
  <si>
    <t>8x4</t>
  </si>
  <si>
    <t>ULTRA</t>
  </si>
  <si>
    <t>ULT</t>
  </si>
  <si>
    <t>DC ULTRA → DCULT</t>
  </si>
  <si>
    <t>ZVEH — PHEV/HEV/MHEV</t>
  </si>
  <si>
    <t>[MODELO+VERSION+KWH]-[COMB]-[CIL]-[TRAC]-[TRANS]</t>
  </si>
  <si>
    <t>RD6DCULT19KWH-PHEV-1.5L-4x4-AT</t>
  </si>
  <si>
    <t>Lleva cilindrada (motor de combustión).</t>
  </si>
  <si>
    <t>LINHAI</t>
  </si>
  <si>
    <t>LH</t>
  </si>
  <si>
    <t>GLP</t>
  </si>
  <si>
    <t>MOTONIVELADORA</t>
  </si>
  <si>
    <t>MOTONIV</t>
  </si>
  <si>
    <t>10x4</t>
  </si>
  <si>
    <t>TRUCK BOX</t>
  </si>
  <si>
    <t>TBOX</t>
  </si>
  <si>
    <t>Truck DC Truck Box → TRKDCTBOX</t>
  </si>
  <si>
    <t>ZVEH — Motos/ATV</t>
  </si>
  <si>
    <t>[MODELO+VERSION]-[COMB]-[TRAC]-[TRANS]</t>
  </si>
  <si>
    <t>LF125T-2VIII-GSL-2x1-MT</t>
  </si>
  <si>
    <t>Sin cilindrada.</t>
  </si>
  <si>
    <t>BASHAN</t>
  </si>
  <si>
    <t>BSH</t>
  </si>
  <si>
    <t>PLATAFORMA</t>
  </si>
  <si>
    <t>PLAT</t>
  </si>
  <si>
    <t>TRUCK</t>
  </si>
  <si>
    <t>TRK</t>
  </si>
  <si>
    <t>ZMAQ — Maquinaria</t>
  </si>
  <si>
    <t>[CAT_ABREV]-[MODELO]-[COMB]</t>
  </si>
  <si>
    <t>EXCAV-HMK220LC-DSL</t>
  </si>
  <si>
    <t>Fabricante identificado en modelo.</t>
  </si>
  <si>
    <t>INTERNATIONAL</t>
  </si>
  <si>
    <t>INTL</t>
  </si>
  <si>
    <t>PORTACONTENEDOR</t>
  </si>
  <si>
    <t>PORTAC</t>
  </si>
  <si>
    <t>GRAND LION</t>
  </si>
  <si>
    <t>GLN</t>
  </si>
  <si>
    <t>Grand Lion DC → GLNDC</t>
  </si>
  <si>
    <t>ZUSA — Genérico</t>
  </si>
  <si>
    <t>USADO-[TIPO]</t>
  </si>
  <si>
    <t>USADO-CAM</t>
  </si>
  <si>
    <t>Sin especificaciones.</t>
  </si>
  <si>
    <t>LIVAN</t>
  </si>
  <si>
    <t>LVN</t>
  </si>
  <si>
    <t>REACHTRUCK</t>
  </si>
  <si>
    <t>REACHTR</t>
  </si>
  <si>
    <t>TERRALORD</t>
  </si>
  <si>
    <t>TRLD</t>
  </si>
  <si>
    <t>TERRALORD DC → TRLDDC</t>
  </si>
  <si>
    <t>ZUSA — Específico</t>
  </si>
  <si>
    <t>[fórmula del tipo]-U</t>
  </si>
  <si>
    <t>DF-1417-3.8L-DSL-4X2-MT-U</t>
  </si>
  <si>
    <t>Sufijo -U.</t>
  </si>
  <si>
    <t>LYNK &amp; CO</t>
  </si>
  <si>
    <t>LYNK</t>
  </si>
  <si>
    <t>RETROEXCAVADORA</t>
  </si>
  <si>
    <t>RETROEX</t>
  </si>
  <si>
    <t>19.1 KWH</t>
  </si>
  <si>
    <t>19KWH</t>
  </si>
  <si>
    <t>DC ULTRA 19.1 kWh → DCULT19KWH</t>
  </si>
  <si>
    <t>RIDDARA</t>
  </si>
  <si>
    <t>RD</t>
  </si>
  <si>
    <t>RODILLO COMPACTADOR</t>
  </si>
  <si>
    <t>RODILLO</t>
  </si>
  <si>
    <t>2. Cilindrada (cc → litros)</t>
  </si>
  <si>
    <t>ZX</t>
  </si>
  <si>
    <t>TRANSPALETA</t>
  </si>
  <si>
    <t>TRANSP</t>
  </si>
  <si>
    <t>• Se expresa en litros con 1 decimal: cc / 1000 redondeado (ej: 1969 → 2.0L, 2378 → 2.4L, 12520 → 12.5L).</t>
  </si>
  <si>
    <t>OTRAS MARCAS</t>
  </si>
  <si>
    <t>OTRAS</t>
  </si>
  <si>
    <t>MINIEXCAVADORA</t>
  </si>
  <si>
    <t>MEXCAV</t>
  </si>
  <si>
    <t>• Usar 2 decimales (columna J = 2) cuando dos motores del mismo modelo redondearían igual (ej: 6690 → 6.69L vs 6700 → 6.7L).</t>
  </si>
  <si>
    <t>MINICARGADOR</t>
  </si>
  <si>
    <t>MCARG.FR</t>
  </si>
  <si>
    <t>• Motos/cuatrimotos y BEV puros NO llevan cilindrada. PHEV/HEV/MHEV SÍ llevan.</t>
  </si>
  <si>
    <t>YARDTRUCK</t>
  </si>
  <si>
    <t>YARDT</t>
  </si>
  <si>
    <t>REACHSTACKER</t>
  </si>
  <si>
    <t>REACHKER</t>
  </si>
  <si>
    <t>3. Reglas generales</t>
  </si>
  <si>
    <t>ORDER PICKER</t>
  </si>
  <si>
    <t>ORDERPICKER</t>
  </si>
  <si>
    <t>• Límite máximo: 30 caracteres (restricción SAP).</t>
  </si>
  <si>
    <t>EMPTY CONTAINER</t>
  </si>
  <si>
    <t>EMPCONTI</t>
  </si>
  <si>
    <t>• Separador: guión (-) entre cada bloque del NPF.</t>
  </si>
  <si>
    <t>GENERADOR</t>
  </si>
  <si>
    <t>GENER</t>
  </si>
  <si>
    <t>• Modelo y versión se concatenan sin espacios; se eliminan los paréntesis (LF125T-2V(III) → LF125T-2VIII).</t>
  </si>
  <si>
    <t>• Todo en mayúsculas, excepto la L de litros (1.5L) y la tracción de ZVEH (4x2).</t>
  </si>
  <si>
    <t>• Versiones largas se abrevian según la hoja Abreviaciones (objetivo: modelo+versión de 12–14 caracteres).</t>
  </si>
  <si>
    <t>• Combustible, transmisión y categoría de maquinaria se abrevian según la hoja Tablas.</t>
  </si>
  <si>
    <t>• Duplicados: si dos materiales generan el mismo NPF, usar 2 decimales en la cilindrada.</t>
  </si>
  <si>
    <t>Proyecto SAP Integra · Tattersall · Datos Maestros VMS</t>
  </si>
  <si>
    <t>Texto</t>
  </si>
  <si>
    <t>Nivel en la Jerarquía</t>
  </si>
  <si>
    <t>Nivel 1</t>
  </si>
  <si>
    <t>Nivel 2</t>
  </si>
  <si>
    <t>Nivel 3</t>
  </si>
  <si>
    <t>Texto Jerarquía</t>
  </si>
  <si>
    <t>DONGFENG AUT. UNIDAD</t>
  </si>
  <si>
    <t>1</t>
  </si>
  <si>
    <t>00017</t>
  </si>
  <si>
    <t>2</t>
  </si>
  <si>
    <t>00003</t>
  </si>
  <si>
    <t>DONGFENG AUT. UNIDAD - DIESEL</t>
  </si>
  <si>
    <t>COMERCIALES</t>
  </si>
  <si>
    <t>3</t>
  </si>
  <si>
    <t>00000004</t>
  </si>
  <si>
    <t>DONGFENG AUT. UNIDAD - DIESEL - COMERCIALES</t>
  </si>
  <si>
    <t>MOTO</t>
  </si>
  <si>
    <t>00000005</t>
  </si>
  <si>
    <t>DONGFENG AUT. UNIDAD - DIESEL - MOTO</t>
  </si>
  <si>
    <t>PASAJEROS</t>
  </si>
  <si>
    <t>00000001</t>
  </si>
  <si>
    <t>DONGFENG AUT. UNIDAD - DIESEL - PASAJEROS</t>
  </si>
  <si>
    <t>PICK-UP</t>
  </si>
  <si>
    <t>00000003</t>
  </si>
  <si>
    <t>DONGFENG AUT. UNIDAD - DIESEL - PICK-UP</t>
  </si>
  <si>
    <t>STATION WAGON</t>
  </si>
  <si>
    <t>00000006</t>
  </si>
  <si>
    <t>DONGFENG AUT. UNIDAD - DIESEL - STATION WAGON</t>
  </si>
  <si>
    <t>SUV</t>
  </si>
  <si>
    <t>00000002</t>
  </si>
  <si>
    <t>DONGFENG AUT. UNIDAD - DIESEL - SUV</t>
  </si>
  <si>
    <t>ELECTRICOS</t>
  </si>
  <si>
    <t>00001</t>
  </si>
  <si>
    <t>DONGFENG AUT. UNIDAD - ELECTRICOS</t>
  </si>
  <si>
    <t>DONGFENG AUT. UNIDAD - ELECTRICOS - COMERCIALES</t>
  </si>
  <si>
    <t>DONGFENG AUT. UNIDAD - ELECTRICOS - MOTO</t>
  </si>
  <si>
    <t>DONGFENG AUT. UNIDAD - ELECTRICOS - PASAJEROS</t>
  </si>
  <si>
    <t>DONGFENG AUT. UNIDAD - ELECTRICOS - PICK-UP</t>
  </si>
  <si>
    <t>DONGFENG AUT. UNIDAD - ELECTRICOS - STATION WAGON</t>
  </si>
  <si>
    <t>DONGFENG AUT. UNIDAD - ELECTRICOS - SUV</t>
  </si>
  <si>
    <t>00002</t>
  </si>
  <si>
    <t>DONGFENG AUT. UNIDAD - GASOLINA</t>
  </si>
  <si>
    <t>DONGFENG AUT. UNIDAD - GASOLINA - COMERCIALES</t>
  </si>
  <si>
    <t>DONGFENG AUT. UNIDAD - GASOLINA - MOTO</t>
  </si>
  <si>
    <t>DONGFENG AUT. UNIDAD - GASOLINA - PASAJEROS</t>
  </si>
  <si>
    <t>DONGFENG AUT. UNIDAD - GASOLINA - PICK-UP</t>
  </si>
  <si>
    <t>DONGFENG AUT. UNIDAD - GASOLINA - STATION WAGON</t>
  </si>
  <si>
    <t>DONGFENG AUT. UNIDAD - GASOLINA - SUV</t>
  </si>
  <si>
    <t>HIBRIDO</t>
  </si>
  <si>
    <t>00004</t>
  </si>
  <si>
    <t>DONGFENG AUT. UNIDAD - HIBRIDO</t>
  </si>
  <si>
    <t>DONGFENG AUT. UNIDAD - HIBRIDO - COMERCIALES</t>
  </si>
  <si>
    <t>DONGFENG AUT. UNIDAD - HIBRIDO - PASAJEROS</t>
  </si>
  <si>
    <t>DONGFENG AUT. UNIDAD - HIBRIDO - PICK-UP</t>
  </si>
  <si>
    <t>DONGFENG AUT. UNIDAD - HIBRIDO - STATION WAGON</t>
  </si>
  <si>
    <t>DONGFENG AUT. UNIDAD - HIBRIDO - SUV</t>
  </si>
  <si>
    <t>DONGFENG CAM. UNIDADES</t>
  </si>
  <si>
    <t>00108</t>
  </si>
  <si>
    <t>DONGFENG CAM. UNIDADES - DIESEL</t>
  </si>
  <si>
    <t>LIVIANOS</t>
  </si>
  <si>
    <t>DONGFENG CAM. UNIDADES - DIESEL - LIVIANOS</t>
  </si>
  <si>
    <t>MEDIANOS</t>
  </si>
  <si>
    <t>DONGFENG CAM. UNIDADES - DIESEL - MEDIANOS</t>
  </si>
  <si>
    <t>PESADOS</t>
  </si>
  <si>
    <t>DONGFENG CAM. UNIDADES - DIESEL - PESADOS</t>
  </si>
  <si>
    <t>DONGFENG CAM. UNIDADES - ELECTRICOS</t>
  </si>
  <si>
    <t>DONGFENG CAM. UNIDADES - ELECTRICOS - LIVIANOS</t>
  </si>
  <si>
    <t>DONGFENG CAM. UNIDADES - ELECTRICOS - MEDIANOS</t>
  </si>
  <si>
    <t>DONGFENG CAM. UNIDADES - ELECTRICOS - PESADOS</t>
  </si>
  <si>
    <t>GAS</t>
  </si>
  <si>
    <t>DONGFENG CAM. UNIDADES - GAS</t>
  </si>
  <si>
    <t>DONGFENG CAM. UNIDADES - GAS - LIVIANOS</t>
  </si>
  <si>
    <t>DONGFENG CAM. UNIDADES - GAS - MEDIANOS</t>
  </si>
  <si>
    <t>DONGFENG CAM. UNIDADES - GAS - PESADOS</t>
  </si>
  <si>
    <t>FAW TRUCK UNIDADES</t>
  </si>
  <si>
    <t>00105</t>
  </si>
  <si>
    <t>FAW TRUCK UNIDADES - DIESEL</t>
  </si>
  <si>
    <t>FAW TRUCK UNIDADES - DIESEL - LIVIANOS</t>
  </si>
  <si>
    <t>FAW TRUCK UNIDADES - DIESEL - MEDIANOS</t>
  </si>
  <si>
    <t>FAW TRUCK UNIDADES - DIESEL - PESADOS</t>
  </si>
  <si>
    <t>FAW TRUCK UNIDADES - ELECTRICOS</t>
  </si>
  <si>
    <t>FAW TRUCK UNIDADES - ELECTRICOS - LIVIANOS</t>
  </si>
  <si>
    <t>FAW TRUCK UNIDADES - ELECTRICOS - MEDIANOS</t>
  </si>
  <si>
    <t>FAW TRUCK UNIDADES - ELECTRICOS - PESADOS</t>
  </si>
  <si>
    <t>FAW TRUCK UNIDADES - GAS</t>
  </si>
  <si>
    <t>FAW TRUCK UNIDADES - GAS - LIVIANOS</t>
  </si>
  <si>
    <t>FAW TRUCK UNIDADES - GAS - MEDIANOS</t>
  </si>
  <si>
    <t>FAW TRUCK UNIDADES - GAS - PESADOS</t>
  </si>
  <si>
    <t>INTERNATIONAL UNIDADES</t>
  </si>
  <si>
    <t>00102</t>
  </si>
  <si>
    <t>INTERNATIONAL UNIDADES - DIESEL</t>
  </si>
  <si>
    <t>INTERNATIONAL UNIDADES - DIESEL - LIVIANOS</t>
  </si>
  <si>
    <t>INTERNATIONAL UNIDADES - DIESEL - MEDIANOS</t>
  </si>
  <si>
    <t>INTERNATIONAL UNIDADES - DIESEL - PESADOS</t>
  </si>
  <si>
    <t>INTERNATIONAL UNIDADES - ELECTRICOS</t>
  </si>
  <si>
    <t>INTERNATIONAL UNIDADES - ELECTRICOS - LIVIANOS</t>
  </si>
  <si>
    <t>INTERNATIONAL UNIDADES - ELECTRICOS - MEDIANOS</t>
  </si>
  <si>
    <t>INTERNATIONAL UNIDADES - ELECTRICOS - PESADOS</t>
  </si>
  <si>
    <t>INTERNATIONAL UNIDADES - GAS</t>
  </si>
  <si>
    <t>INTERNATIONAL UNIDADES - GAS - LIVIANOS</t>
  </si>
  <si>
    <t>INTERNATIONAL UNIDADES - GAS - MEDIANOS</t>
  </si>
  <si>
    <t>INTERNATIONAL UNIDADES - GAS - PESADOS</t>
  </si>
  <si>
    <t>KYC UNIDAD</t>
  </si>
  <si>
    <t>00020</t>
  </si>
  <si>
    <t>KYC UNIDAD - DIESEL</t>
  </si>
  <si>
    <t>KYC UNIDAD - DIESEL - COMERCIALES</t>
  </si>
  <si>
    <t>KYC UNIDAD - DIESEL - MOTO</t>
  </si>
  <si>
    <t>KYC UNIDAD - DIESEL - PASAJEROS</t>
  </si>
  <si>
    <t>KYC UNIDAD - DIESEL - PICK-UP</t>
  </si>
  <si>
    <t>KYC UNIDAD - DIESEL - SUV</t>
  </si>
  <si>
    <t>KYC UNIDAD - ELECTRICOS</t>
  </si>
  <si>
    <t>KYC UNIDAD - ELECTRICOS - COMERCIALES</t>
  </si>
  <si>
    <t>KYC UNIDAD - ELECTRICOS - MOTO</t>
  </si>
  <si>
    <t>KYC UNIDAD - ELECTRICOS - PASAJEROS</t>
  </si>
  <si>
    <t>KYC UNIDAD - ELECTRICOS - PICK-UP</t>
  </si>
  <si>
    <t>KYC UNIDAD - ELECTRICOS - SUV</t>
  </si>
  <si>
    <t>KYC UNIDAD - GASOLINA</t>
  </si>
  <si>
    <t>KYC UNIDAD - GASOLINA - COMERCIALES</t>
  </si>
  <si>
    <t>KYC UNIDAD - GASOLINA - MOTO</t>
  </si>
  <si>
    <t>KYC UNIDAD - GASOLINA - PASAJEROS</t>
  </si>
  <si>
    <t>KYC UNIDAD - GASOLINA - PICK-UP</t>
  </si>
  <si>
    <t>KYC UNIDAD - GASOLINA - SUV</t>
  </si>
  <si>
    <t>KYC UNIDAD - HIBRIDO</t>
  </si>
  <si>
    <t>KYC UNIDAD - HIBRIDO - COMERCIALES</t>
  </si>
  <si>
    <t>KYC UNIDAD - HIBRIDO - PASAJEROS</t>
  </si>
  <si>
    <t>KYC UNIDAD - HIBRIDO - PICK-UP</t>
  </si>
  <si>
    <t>KYC UNIDAD - HIBRIDO - SUV</t>
  </si>
  <si>
    <t>LIFAN UNIDAD</t>
  </si>
  <si>
    <t>00014</t>
  </si>
  <si>
    <t>LIFAN UNIDAD - DIESEL</t>
  </si>
  <si>
    <t>LIFAN UNIDAD - DIESEL - COMERCIALES</t>
  </si>
  <si>
    <t>LIFAN UNIDAD - DIESEL - MOTO</t>
  </si>
  <si>
    <t>LIFAN UNIDAD - DIESEL - PASAJEROS</t>
  </si>
  <si>
    <t>LIFAN UNIDAD - DIESEL - PICK-UP</t>
  </si>
  <si>
    <t>LIFAN UNIDAD - DIESEL - STATION WAGON</t>
  </si>
  <si>
    <t>LIFAN UNIDAD - DIESEL - SUV</t>
  </si>
  <si>
    <t>LIFAN UNIDAD - ELECTRICOS</t>
  </si>
  <si>
    <t>LIFAN UNIDAD - ELECTRICOS - COMERCIALES</t>
  </si>
  <si>
    <t>LIFAN UNIDAD - ELECTRICOS - MOTO</t>
  </si>
  <si>
    <t>LIFAN UNIDAD - ELECTRICOS - PASAJEROS</t>
  </si>
  <si>
    <t>LIFAN UNIDAD - ELECTRICOS - PICK-UP</t>
  </si>
  <si>
    <t>LIFAN UNIDAD - ELECTRICOS - STATION WAGON</t>
  </si>
  <si>
    <t>LIFAN UNIDAD - ELECTRICOS - SUV</t>
  </si>
  <si>
    <t>LIFAN UNIDAD - GASOLINA</t>
  </si>
  <si>
    <t>LIFAN UNIDAD - GASOLINA - COMERCIALES</t>
  </si>
  <si>
    <t>LIFAN UNIDAD - GASOLINA - MOTO</t>
  </si>
  <si>
    <t>LIFAN UNIDAD - GASOLINA - PASAJEROS</t>
  </si>
  <si>
    <t>LIFAN UNIDAD - GASOLINA - PICK-UP</t>
  </si>
  <si>
    <t>LIFAN UNIDAD - GASOLINA - STATION WAGON</t>
  </si>
  <si>
    <t>LIFAN UNIDAD - GASOLINA - SUV</t>
  </si>
  <si>
    <t>LIFAN UNIDAD - HIBRIDO</t>
  </si>
  <si>
    <t>LIFAN UNIDAD - HIBRIDO - COMERCIALES</t>
  </si>
  <si>
    <t>LIFAN UNIDAD - HIBRIDO - PASAJEROS</t>
  </si>
  <si>
    <t>LIFAN UNIDAD - HIBRIDO - PICK-UP</t>
  </si>
  <si>
    <t>LIFAN UNIDAD - HIBRIDO - STATION WAGON</t>
  </si>
  <si>
    <t>LIFAN UNIDAD - HIBRIDO - SUV</t>
  </si>
  <si>
    <t>LIVAN UNIDAD</t>
  </si>
  <si>
    <t>00011</t>
  </si>
  <si>
    <t>LIVAN UNIDAD - DIESEL</t>
  </si>
  <si>
    <t>LIVAN UNIDAD - DIESEL - COMERCIALES</t>
  </si>
  <si>
    <t>LIVAN UNIDAD - DIESEL - MOTO</t>
  </si>
  <si>
    <t>LIVAN UNIDAD - DIESEL - PASAJEROS</t>
  </si>
  <si>
    <t>LIVAN UNIDAD - DIESEL - PICK-UP</t>
  </si>
  <si>
    <t>LIVAN UNIDAD - DIESEL - STATION WAGON</t>
  </si>
  <si>
    <t>LIVAN UNIDAD - DIESEL - SUV</t>
  </si>
  <si>
    <t>LIVAN UNIDAD - ELECTRICOS</t>
  </si>
  <si>
    <t>LIVAN UNIDAD - ELECTRICOS - COMERCIALES</t>
  </si>
  <si>
    <t>LIVAN UNIDAD - ELECTRICOS - MOTO</t>
  </si>
  <si>
    <t>LIVAN UNIDAD - ELECTRICOS - PASAJEROS</t>
  </si>
  <si>
    <t>LIVAN UNIDAD - ELECTRICOS - PICK-UP</t>
  </si>
  <si>
    <t>LIVAN UNIDAD - ELECTRICOS - STATION WAGON</t>
  </si>
  <si>
    <t>LIVAN UNIDAD - ELECTRICOS - SUV</t>
  </si>
  <si>
    <t>LIVAN UNIDAD - GASOLINA</t>
  </si>
  <si>
    <t>LIVAN UNIDAD - GASOLINA - COMERCIALES</t>
  </si>
  <si>
    <t>LIVAN UNIDAD - GASOLINA - MOTO</t>
  </si>
  <si>
    <t>LIVAN UNIDAD - GASOLINA - PASAJEROS</t>
  </si>
  <si>
    <t>LIVAN UNIDAD - GASOLINA - PICK-UP</t>
  </si>
  <si>
    <t>LIVAN UNIDAD - GASOLINA - STATION WAGON</t>
  </si>
  <si>
    <t>LIVAN UNIDAD - GASOLINA - SUV</t>
  </si>
  <si>
    <t>LIVAN UNIDAD - HIBRIDO</t>
  </si>
  <si>
    <t>LIVAN UNIDAD - HIBRIDO - COMERCIALES</t>
  </si>
  <si>
    <t>LIVAN UNIDAD - HIBRIDO - PASAJEROS</t>
  </si>
  <si>
    <t>LIVAN UNIDAD - HIBRIDO - PICK-UP</t>
  </si>
  <si>
    <t>LIVAN UNIDAD - HIBRIDO - STATION WAGON</t>
  </si>
  <si>
    <t>LIVAN UNIDAD - HIBRIDO - SUV</t>
  </si>
  <si>
    <t>LYNC&amp;CO UNIDAD</t>
  </si>
  <si>
    <t>LYNC&amp;CO UNIDAD - DIESEL</t>
  </si>
  <si>
    <t>LYNC&amp;CO UNIDAD - DIESEL - COMERCIALES</t>
  </si>
  <si>
    <t>LYNC&amp;CO UNIDAD - DIESEL - MOTO</t>
  </si>
  <si>
    <t>LYNC&amp;CO UNIDAD - DIESEL - PASAJEROS</t>
  </si>
  <si>
    <t>LYNC&amp;CO UNIDAD - DIESEL - PICK-UP</t>
  </si>
  <si>
    <t>LYNC&amp;CO UNIDAD - DIESEL - STATION WAGON</t>
  </si>
  <si>
    <t>LYNC&amp;CO UNIDAD - DIESEL - SUV</t>
  </si>
  <si>
    <t>LYNC&amp;CO UNIDAD - ELECTRICOS</t>
  </si>
  <si>
    <t>LYNC&amp;CO UNIDAD - ELECTRICOS - COMERCIALES</t>
  </si>
  <si>
    <t>LYNC&amp;CO UNIDAD - ELECTRICOS - MOTO</t>
  </si>
  <si>
    <t>LYNC&amp;CO UNIDAD - ELECTRICOS - PASAJEROS</t>
  </si>
  <si>
    <t>LYNC&amp;CO UNIDAD - ELECTRICOS - PICK-UP</t>
  </si>
  <si>
    <t>LYNC&amp;CO UNIDAD - ELECTRICOS - STATION WAGON</t>
  </si>
  <si>
    <t>LYNC&amp;CO UNIDAD - ELECTRICOS - SUV</t>
  </si>
  <si>
    <t>LYNC&amp;CO UNIDAD - GASOLINA</t>
  </si>
  <si>
    <t>LYNC&amp;CO UNIDAD - GASOLINA - COMERCIALES</t>
  </si>
  <si>
    <t>LYNC&amp;CO UNIDAD - GASOLINA - MOTO</t>
  </si>
  <si>
    <t>LYNC&amp;CO UNIDAD - GASOLINA - PASAJEROS</t>
  </si>
  <si>
    <t>LYNC&amp;CO UNIDAD - GASOLINA - PICK-UP</t>
  </si>
  <si>
    <t>LYNC&amp;CO UNIDAD - GASOLINA - STATION WAGON</t>
  </si>
  <si>
    <t>LYNC&amp;CO UNIDAD - GASOLINA - SUV</t>
  </si>
  <si>
    <t>LYNC&amp;CO UNIDAD - HIBRIDO</t>
  </si>
  <si>
    <t>LYNC&amp;CO UNIDAD - HIBRIDO - COMERCIALES</t>
  </si>
  <si>
    <t>LYNC&amp;CO UNIDAD - HIBRIDO - PASAJEROS</t>
  </si>
  <si>
    <t>LYNC&amp;CO UNIDAD - HIBRIDO - PICK-UP</t>
  </si>
  <si>
    <t>LYNC&amp;CO UNIDAD - HIBRIDO - STATION WAGON</t>
  </si>
  <si>
    <t>LYNC&amp;CO UNIDAD - HIBRIDO - SUV</t>
  </si>
  <si>
    <t>00009</t>
  </si>
  <si>
    <t>OTRAS MARCAS CAM. UNIDADES</t>
  </si>
  <si>
    <t>00111</t>
  </si>
  <si>
    <t>OTRAS MARCAS CAM. UNIDADES - DIESEL</t>
  </si>
  <si>
    <t>OTRAS MARCAS CAM. UNIDADES - DIESEL - LIVIANOS</t>
  </si>
  <si>
    <t>OTRAS MARCAS CAM. UNIDADES - DIESEL - MEDIANOS</t>
  </si>
  <si>
    <t>OTRAS MARCAS CAM. UNIDADES - DIESEL - PESADOS</t>
  </si>
  <si>
    <t>OTRAS MARCAS CAM. UNIDADES - ELECTRICOS</t>
  </si>
  <si>
    <t>OTRAS MARCAS CAM. UNIDADES - ELECTRICOS - LIVIANOS</t>
  </si>
  <si>
    <t>OTRAS MARCAS CAM. UNIDADES - ELECTRICOS - MEDIANOS</t>
  </si>
  <si>
    <t>OTRAS MARCAS CAM. UNIDADES - ELECTRICOS - PESADOS</t>
  </si>
  <si>
    <t>OTRAS MARCAS CAM. UNIDADES - GAS</t>
  </si>
  <si>
    <t>OTRAS MARCAS CAM. UNIDADES - GAS - LIVIANOS</t>
  </si>
  <si>
    <t>OTRAS MARCAS CAM. UNIDADES - GAS - MEDIANOS</t>
  </si>
  <si>
    <t>OTRAS MARCAS CAM. UNIDADES - GAS - PESADOS</t>
  </si>
  <si>
    <t>OTRAS MARCAS UNIDAD</t>
  </si>
  <si>
    <t>00023</t>
  </si>
  <si>
    <t>OTRAS MARCAS UNIDAD - DIESEL</t>
  </si>
  <si>
    <t>OTRAS MARCAS UNIDAD - DIESEL - COMERCIALES</t>
  </si>
  <si>
    <t>OTRAS MARCAS UNIDAD - DIESEL - MOTO</t>
  </si>
  <si>
    <t>OTRAS MARCAS UNIDAD - DIESEL - PASAJEROS</t>
  </si>
  <si>
    <t>OTRAS MARCAS UNIDAD - DIESEL - PICK-UP</t>
  </si>
  <si>
    <t>OTRAS MARCAS UNIDAD - DIESEL - STATION WAGON</t>
  </si>
  <si>
    <t>OTRAS MARCAS UNIDAD - DIESEL - SUV</t>
  </si>
  <si>
    <t>OTRAS MARCAS UNIDAD - ELECTRICOS</t>
  </si>
  <si>
    <t>OTRAS MARCAS UNIDAD - ELECTRICOS - COMERCIALES</t>
  </si>
  <si>
    <t>OTRAS MARCAS UNIDAD - ELECTRICOS - MOTO</t>
  </si>
  <si>
    <t>OTRAS MARCAS UNIDAD - ELECTRICOS - PASAJEROS</t>
  </si>
  <si>
    <t>OTRAS MARCAS UNIDAD - ELECTRICOS - PICK-UP</t>
  </si>
  <si>
    <t>OTRAS MARCAS UNIDAD - ELECTRICOS - STATION WAGON</t>
  </si>
  <si>
    <t>OTRAS MARCAS UNIDAD - ELECTRICOS - SUV</t>
  </si>
  <si>
    <t>OTRAS MARCAS UNIDAD - GASOLINA</t>
  </si>
  <si>
    <t>OTRAS MARCAS UNIDAD - GASOLINA - COMERCIALES</t>
  </si>
  <si>
    <t>OTRAS MARCAS UNIDAD - GASOLINA - MOTO</t>
  </si>
  <si>
    <t>OTRAS MARCAS UNIDAD - GASOLINA - PASAJEROS</t>
  </si>
  <si>
    <t>OTRAS MARCAS UNIDAD - GASOLINA - PICK-UP</t>
  </si>
  <si>
    <t>OTRAS MARCAS UNIDAD - GASOLINA - STATION WAGON</t>
  </si>
  <si>
    <t>OTRAS MARCAS UNIDAD - GASOLINA - SUV</t>
  </si>
  <si>
    <t>OTRAS MARCAS UNIDAD - HIBRIDO</t>
  </si>
  <si>
    <t>OTRAS MARCAS UNIDAD - HIBRIDO - COMERCIALES</t>
  </si>
  <si>
    <t>OTRAS MARCAS UNIDAD - HIBRIDO - PASAJEROS</t>
  </si>
  <si>
    <t>OTRAS MARCAS UNIDAD - HIBRIDO - PICK-UP</t>
  </si>
  <si>
    <t>OTRAS MARCAS UNIDAD - HIBRIDO - STATION WAGON</t>
  </si>
  <si>
    <t>OTRAS MARCAS UNIDAD - HIBRIDO - SUV</t>
  </si>
  <si>
    <t>RIDDARA ACCESORIOS</t>
  </si>
  <si>
    <t>RIDDARA UNIDAD</t>
  </si>
  <si>
    <t>00008</t>
  </si>
  <si>
    <t>RIDDARA UNIDAD - DIESEL</t>
  </si>
  <si>
    <t>RIDDARA UNIDAD - DIESEL - COMERCIALES</t>
  </si>
  <si>
    <t>RIDDARA UNIDAD - DIESEL - MOTO</t>
  </si>
  <si>
    <t>RIDDARA UNIDAD - DIESEL - PASAJEROS</t>
  </si>
  <si>
    <t>RIDDARA UNIDAD - DIESEL - PICK-UP</t>
  </si>
  <si>
    <t>RIDDARA UNIDAD - DIESEL - STATION WAGON</t>
  </si>
  <si>
    <t>RIDDARA UNIDAD - DIESEL - SUV</t>
  </si>
  <si>
    <t>RIDDARA UNIDAD - ELECTRICOS</t>
  </si>
  <si>
    <t>RIDDARA UNIDAD - ELECTRICOS - COMERCIALES</t>
  </si>
  <si>
    <t>RIDDARA UNIDAD - ELECTRICOS - MOTO</t>
  </si>
  <si>
    <t>RIDDARA UNIDAD - ELECTRICOS - PASAJEROS</t>
  </si>
  <si>
    <t>RIDDARA UNIDAD - ELECTRICOS - PICK-UP</t>
  </si>
  <si>
    <t>RIDDARA UNIDAD - ELECTRICOS - STATION WAGON</t>
  </si>
  <si>
    <t>RIDDARA UNIDAD - ELECTRICOS - SUV</t>
  </si>
  <si>
    <t>RIDDARA UNIDAD - GASOLINA</t>
  </si>
  <si>
    <t>RIDDARA UNIDAD - GASOLINA - COMERCIALES</t>
  </si>
  <si>
    <t>RIDDARA UNIDAD - GASOLINA - MOTO</t>
  </si>
  <si>
    <t>RIDDARA UNIDAD - GASOLINA - PASAJEROS</t>
  </si>
  <si>
    <t>RIDDARA UNIDAD - GASOLINA - PICK-UP</t>
  </si>
  <si>
    <t>RIDDARA UNIDAD - GASOLINA - STATION WAGON</t>
  </si>
  <si>
    <t>RIDDARA UNIDAD - GASOLINA - SUV</t>
  </si>
  <si>
    <t>RIDDARA UNIDAD - HIBRIDO</t>
  </si>
  <si>
    <t>RIDDARA UNIDAD - HIBRIDO - COMERCIALES</t>
  </si>
  <si>
    <t>RIDDARA UNIDAD - HIBRIDO - PASAJEROS</t>
  </si>
  <si>
    <t>RIDDARA UNIDAD - HIBRIDO - PICK-UP</t>
  </si>
  <si>
    <t>RIDDARA UNIDAD - HIBRIDO - STATION WAGON</t>
  </si>
  <si>
    <t>RIDDARA UNIDAD - HIBRIDO - SUV</t>
  </si>
  <si>
    <t>ZXAUTO UNIDAD</t>
  </si>
  <si>
    <t>00005</t>
  </si>
  <si>
    <t>ZXAUTO UNIDAD - DIESEL</t>
  </si>
  <si>
    <t>ZXAUTO UNIDAD - DIESEL - COMERCIALES</t>
  </si>
  <si>
    <t>ZXAUTO UNIDAD - DIESEL - MOTO</t>
  </si>
  <si>
    <t>ZXAUTO UNIDAD - DIESEL - PASAJEROS</t>
  </si>
  <si>
    <t>ZXAUTO UNIDAD - DIESEL - PICK-UP</t>
  </si>
  <si>
    <t>ZXAUTO UNIDAD - DIESEL - STATION WAGON</t>
  </si>
  <si>
    <t>ZXAUTO UNIDAD - DIESEL - SUV</t>
  </si>
  <si>
    <t>ZXAUTO UNIDAD - ELECTRICOS</t>
  </si>
  <si>
    <t>ZXAUTO UNIDAD - ELECTRICOS - COMERCIALES</t>
  </si>
  <si>
    <t>ZXAUTO UNIDAD - ELECTRICOS - MOTO</t>
  </si>
  <si>
    <t>ZXAUTO UNIDAD - ELECTRICOS - PASAJEROS</t>
  </si>
  <si>
    <t>ZXAUTO UNIDAD - ELECTRICOS - PICK-UP</t>
  </si>
  <si>
    <t>ZXAUTO UNIDAD - ELECTRICOS - STATION WAGON</t>
  </si>
  <si>
    <t>ZXAUTO UNIDAD - ELECTRICOS - SUV</t>
  </si>
  <si>
    <t>ZXAUTO UNIDAD - GASOLINA</t>
  </si>
  <si>
    <t>ZXAUTO UNIDAD - GASOLINA - COMERCIALES</t>
  </si>
  <si>
    <t>ZXAUTO UNIDAD - GASOLINA - MOTO</t>
  </si>
  <si>
    <t>ZXAUTO UNIDAD - GASOLINA - PASAJEROS</t>
  </si>
  <si>
    <t>ZXAUTO UNIDAD - GASOLINA - PICK-UP</t>
  </si>
  <si>
    <t>ZXAUTO UNIDAD - GASOLINA - STATION WAGON</t>
  </si>
  <si>
    <t>ZXAUTO UNIDAD - GASOLINA - SUV</t>
  </si>
  <si>
    <t>ZXAUTO UNIDAD - HIBRIDO</t>
  </si>
  <si>
    <t>ZXAUTO UNIDAD - HIBRIDO - COMERCIALES</t>
  </si>
  <si>
    <t>ZXAUTO UNIDAD - HIBRIDO - PASAJEROS</t>
  </si>
  <si>
    <t>ZXAUTO UNIDAD - HIBRIDO - PICK-UP</t>
  </si>
  <si>
    <t>ZXAUTO UNIDAD - HIBRIDO - STATION WAGON</t>
  </si>
  <si>
    <t>ZXAUTO UNIDAD - HIBRIDO - SUV</t>
  </si>
  <si>
    <t>Grupo Artículo</t>
  </si>
  <si>
    <t>Descripción</t>
  </si>
  <si>
    <t>Descripción 2</t>
  </si>
  <si>
    <t>UNID-001</t>
  </si>
  <si>
    <t>AUTOS Y MOTOS</t>
  </si>
  <si>
    <t>Unidades para autos y motos</t>
  </si>
  <si>
    <t>UNID-002</t>
  </si>
  <si>
    <t>Unidades para camiones</t>
  </si>
  <si>
    <t>UNID-003</t>
  </si>
  <si>
    <t>MAQ. INDUSTRIAL</t>
  </si>
  <si>
    <t>Unidades para maquinaria industrial (TTI, TTM, TTMQ)</t>
  </si>
  <si>
    <t>UNID-004</t>
  </si>
  <si>
    <t>MAQ. AGRICOLA</t>
  </si>
  <si>
    <t>Unidades para maquinaria Agricola (TAI)</t>
  </si>
  <si>
    <t>Sociedad/es</t>
  </si>
  <si>
    <t>Nombre Sociedad</t>
  </si>
  <si>
    <t>VA00</t>
  </si>
  <si>
    <t>Maco Tattersall</t>
  </si>
  <si>
    <t>VF00</t>
  </si>
  <si>
    <t>Tattersall Automotriz</t>
  </si>
  <si>
    <t>VF00, VA00</t>
  </si>
  <si>
    <t>Tattersall Automotriz y Maco Tattersall</t>
  </si>
  <si>
    <t>VC00</t>
  </si>
  <si>
    <t>Tattersall Maquinarias</t>
  </si>
  <si>
    <t>VD00</t>
  </si>
  <si>
    <t>Tattersall Multimaq</t>
  </si>
  <si>
    <t>VE00, VC00</t>
  </si>
  <si>
    <t>Tattersall Industrial y Maquinarias</t>
  </si>
  <si>
    <t>Fabricante</t>
  </si>
  <si>
    <t>Nombre Fabricante</t>
  </si>
  <si>
    <t>Fabricante externo</t>
  </si>
  <si>
    <t>F0001</t>
  </si>
  <si>
    <t>CHINA DONG FENG MOTOR INDUSTRY  IMP</t>
  </si>
  <si>
    <t>DFCV</t>
  </si>
  <si>
    <t>F0002</t>
  </si>
  <si>
    <t>ACCURIDE WHEEL</t>
  </si>
  <si>
    <t>ACWHE</t>
  </si>
  <si>
    <t>F0003</t>
  </si>
  <si>
    <t>ADQUIM</t>
  </si>
  <si>
    <t>ADQUI</t>
  </si>
  <si>
    <t>F0004</t>
  </si>
  <si>
    <t>ALLIANCE</t>
  </si>
  <si>
    <t>ALLIA</t>
  </si>
  <si>
    <t>F0005</t>
  </si>
  <si>
    <t>ANKA</t>
  </si>
  <si>
    <t>F0006</t>
  </si>
  <si>
    <t>INTERNATIONAL MOTORS, LLC</t>
  </si>
  <si>
    <t>INT</t>
  </si>
  <si>
    <t>F0007</t>
  </si>
  <si>
    <t>BENDIX</t>
  </si>
  <si>
    <t>BENDI</t>
  </si>
  <si>
    <t>F0008</t>
  </si>
  <si>
    <t>BORGWARNER ALL MAKES</t>
  </si>
  <si>
    <t>BORWA</t>
  </si>
  <si>
    <t>F0009</t>
  </si>
  <si>
    <t>BRAKEDRUM</t>
  </si>
  <si>
    <t>BRAKE</t>
  </si>
  <si>
    <t>F0010</t>
  </si>
  <si>
    <t>HYSTER-YALE MAXIMAL FORKLIFT (ZHEJI</t>
  </si>
  <si>
    <t>MXML</t>
  </si>
  <si>
    <t>F0011</t>
  </si>
  <si>
    <t>TVH FORKLIFT PARTS NV</t>
  </si>
  <si>
    <t>TVH</t>
  </si>
  <si>
    <t>F0012</t>
  </si>
  <si>
    <t>NMHG INC. PARTS DISTRIBUTION CENTER</t>
  </si>
  <si>
    <t>HYST</t>
  </si>
  <si>
    <t>F0013</t>
  </si>
  <si>
    <t>TREL</t>
  </si>
  <si>
    <t>F0014</t>
  </si>
  <si>
    <t>HIDROMEK-HIDROLIK VE MEKNANIK LTD.</t>
  </si>
  <si>
    <t>HMK</t>
  </si>
  <si>
    <t>F0015</t>
  </si>
  <si>
    <t>Terberg Tractors Americas, Inc</t>
  </si>
  <si>
    <t>TERB</t>
  </si>
  <si>
    <t>F0016</t>
  </si>
  <si>
    <t>Guangxi Liugong Machinery Co., Ltd.</t>
  </si>
  <si>
    <t>LIUG</t>
  </si>
  <si>
    <t>F0017</t>
  </si>
  <si>
    <t>DRSS</t>
  </si>
  <si>
    <t>F0018</t>
  </si>
  <si>
    <t>MOTORPEL CO. LTD.</t>
  </si>
  <si>
    <t>MTPL</t>
  </si>
  <si>
    <t>F0019</t>
  </si>
  <si>
    <t>KYC CHONGQING KUAYUE (GROUP) CO.</t>
  </si>
  <si>
    <t>F0020</t>
  </si>
  <si>
    <t>ZXAUTO INTERNATINOAL IMPORT AND EXP</t>
  </si>
  <si>
    <t>ZXAU</t>
  </si>
  <si>
    <t>F0021</t>
  </si>
  <si>
    <t>CHONGQING LIFAN SUZHUI FOREIGN TRAD</t>
  </si>
  <si>
    <t>LIFM</t>
  </si>
  <si>
    <t>F0022</t>
  </si>
  <si>
    <t>DONGFENG AUTOBOBILE CO LTD</t>
  </si>
  <si>
    <t>DFAC</t>
  </si>
  <si>
    <t>F0023</t>
  </si>
  <si>
    <t>LIVAN AUTO IMP. &amp; EXP. CO., LTD</t>
  </si>
  <si>
    <t>LIVN</t>
  </si>
  <si>
    <t>F0024</t>
  </si>
  <si>
    <t>CHONGQING LIJU IMP &amp; EXP CO., LTD</t>
  </si>
  <si>
    <t>LIFA</t>
  </si>
  <si>
    <t>F0025</t>
  </si>
  <si>
    <t>SHANDONG OULING AUTOMOBILE MANUFACT</t>
  </si>
  <si>
    <t>RIDD</t>
  </si>
  <si>
    <t>F0026</t>
  </si>
  <si>
    <t>CHONGQING SHINDARY INDUSTRI</t>
  </si>
  <si>
    <t>SHIN</t>
  </si>
  <si>
    <t>F0027</t>
  </si>
  <si>
    <t>LYNK &amp; CO AUTOMOBILE INTERNATIONAL</t>
  </si>
  <si>
    <t>F0028</t>
  </si>
  <si>
    <t>CHINA FAW GROUP IMPORT &amp; EXPORT CO.</t>
  </si>
  <si>
    <t>F0029</t>
  </si>
  <si>
    <t>CHERY AUTOMOBILE HENAN CO. LT</t>
  </si>
  <si>
    <t>JETR</t>
  </si>
  <si>
    <t>F0030</t>
  </si>
  <si>
    <t>LINHAI CO., LTD.</t>
  </si>
  <si>
    <t>LINH</t>
  </si>
  <si>
    <t>F0032</t>
  </si>
  <si>
    <t>CONTINENT</t>
  </si>
  <si>
    <t>CONTI</t>
  </si>
  <si>
    <t>F0033</t>
  </si>
  <si>
    <t>COPEC</t>
  </si>
  <si>
    <t>F0034</t>
  </si>
  <si>
    <t>CR-SKF</t>
  </si>
  <si>
    <t>CRSKF</t>
  </si>
  <si>
    <t>F0035</t>
  </si>
  <si>
    <t>CUMMINS</t>
  </si>
  <si>
    <t>CUMMI</t>
  </si>
  <si>
    <t>F0036</t>
  </si>
  <si>
    <t>CUMMINS MULTIMARCA</t>
  </si>
  <si>
    <t>CUMMU</t>
  </si>
  <si>
    <t>F0037</t>
  </si>
  <si>
    <t>DANA SPICER</t>
  </si>
  <si>
    <t>DASPI</t>
  </si>
  <si>
    <t>F0038</t>
  </si>
  <si>
    <t>DELCO REMY</t>
  </si>
  <si>
    <t>DELRE</t>
  </si>
  <si>
    <t>F0039</t>
  </si>
  <si>
    <t>DONALDSON</t>
  </si>
  <si>
    <t>DONAL</t>
  </si>
  <si>
    <t>F0040</t>
  </si>
  <si>
    <t>WARREN OIL</t>
  </si>
  <si>
    <t>WAROI</t>
  </si>
  <si>
    <t>F0041</t>
  </si>
  <si>
    <t>EATON CLUTCH</t>
  </si>
  <si>
    <t>EACLU</t>
  </si>
  <si>
    <t>F0042</t>
  </si>
  <si>
    <t>EATON ENDURANT</t>
  </si>
  <si>
    <t>EAEND</t>
  </si>
  <si>
    <t>F0043</t>
  </si>
  <si>
    <t>EATON FULLER</t>
  </si>
  <si>
    <t>EAFUL</t>
  </si>
  <si>
    <t>F0044</t>
  </si>
  <si>
    <t>FLEETRITE BATTERY (MX)</t>
  </si>
  <si>
    <t>FLBAT</t>
  </si>
  <si>
    <t>F0045</t>
  </si>
  <si>
    <t>FLEETRITE CHINA</t>
  </si>
  <si>
    <t>FLCHI</t>
  </si>
  <si>
    <t>F0046</t>
  </si>
  <si>
    <t>FLEETRITE CLUTCH IATCO</t>
  </si>
  <si>
    <t>FLCLU</t>
  </si>
  <si>
    <t>F0047</t>
  </si>
  <si>
    <t>FLEETRITE</t>
  </si>
  <si>
    <t>FLEET</t>
  </si>
  <si>
    <t>F0048</t>
  </si>
  <si>
    <t>FLEETGUARD</t>
  </si>
  <si>
    <t>FLGUA</t>
  </si>
  <si>
    <t>F0049</t>
  </si>
  <si>
    <t>FONTAINE</t>
  </si>
  <si>
    <t>FONTA</t>
  </si>
  <si>
    <t>F0050</t>
  </si>
  <si>
    <t>GABRIEL</t>
  </si>
  <si>
    <t>GABRI</t>
  </si>
  <si>
    <t>F0051</t>
  </si>
  <si>
    <t>HENDRICKSON</t>
  </si>
  <si>
    <t>HENDR</t>
  </si>
  <si>
    <t>F0052</t>
  </si>
  <si>
    <t>HENDRICKSON TRUCK</t>
  </si>
  <si>
    <t>HETRU</t>
  </si>
  <si>
    <t>F0053</t>
  </si>
  <si>
    <t>HORTON</t>
  </si>
  <si>
    <t>HORTO</t>
  </si>
  <si>
    <t>F0054</t>
  </si>
  <si>
    <t>MERITOR</t>
  </si>
  <si>
    <t>MERIT</t>
  </si>
  <si>
    <t>F0055</t>
  </si>
  <si>
    <t>MERITOR USA</t>
  </si>
  <si>
    <t>MERUS</t>
  </si>
  <si>
    <t>F0056</t>
  </si>
  <si>
    <t>MGM BRAKE</t>
  </si>
  <si>
    <t>MGBRA</t>
  </si>
  <si>
    <t>F0057</t>
  </si>
  <si>
    <t>MWM</t>
  </si>
  <si>
    <t>F0058</t>
  </si>
  <si>
    <t>NACIONAL</t>
  </si>
  <si>
    <t>NAC</t>
  </si>
  <si>
    <t>F0059</t>
  </si>
  <si>
    <t>NELSON</t>
  </si>
  <si>
    <t>NELSO</t>
  </si>
  <si>
    <t>F0060</t>
  </si>
  <si>
    <t>NEWSTREAM</t>
  </si>
  <si>
    <t>NEWST</t>
  </si>
  <si>
    <t>F0061</t>
  </si>
  <si>
    <t>NTN</t>
  </si>
  <si>
    <t>F0063</t>
  </si>
  <si>
    <t>SAF HOLLAND</t>
  </si>
  <si>
    <t>SAFHO</t>
  </si>
  <si>
    <t>F0064</t>
  </si>
  <si>
    <t>SKF</t>
  </si>
  <si>
    <t>F0065</t>
  </si>
  <si>
    <t>SPICER</t>
  </si>
  <si>
    <t>SPICE</t>
  </si>
  <si>
    <t>F0066</t>
  </si>
  <si>
    <t>STARCLUCH</t>
  </si>
  <si>
    <t>STARC</t>
  </si>
  <si>
    <t>F0067</t>
  </si>
  <si>
    <t>TAS</t>
  </si>
  <si>
    <t>F0068</t>
  </si>
  <si>
    <t>TIMKEN</t>
  </si>
  <si>
    <t>TIMKE</t>
  </si>
  <si>
    <t>F0069</t>
  </si>
  <si>
    <t>TRUCK LITE</t>
  </si>
  <si>
    <t>TRULI</t>
  </si>
  <si>
    <t>F0070</t>
  </si>
  <si>
    <t>VALVOLINE</t>
  </si>
  <si>
    <t>VALVO</t>
  </si>
  <si>
    <t>F0071</t>
  </si>
  <si>
    <t>ALTERNATIVO IMPORTACION</t>
  </si>
  <si>
    <t>ALT</t>
  </si>
  <si>
    <t>F0072</t>
  </si>
  <si>
    <t>REMANUFACTURADO</t>
  </si>
  <si>
    <t>REMAN</t>
  </si>
  <si>
    <t>F0073</t>
  </si>
  <si>
    <t>CABMATE LINK</t>
  </si>
  <si>
    <t>CABLI</t>
  </si>
  <si>
    <t>F0074</t>
  </si>
  <si>
    <t>PHILLIPS</t>
  </si>
  <si>
    <t>PHILL</t>
  </si>
  <si>
    <t>F0075</t>
  </si>
  <si>
    <t>KIT Tattersall</t>
  </si>
  <si>
    <t>TKIT</t>
  </si>
  <si>
    <t>F9999</t>
  </si>
  <si>
    <t>OTRO</t>
  </si>
  <si>
    <t>Marca</t>
  </si>
  <si>
    <t>Descripción Marca</t>
  </si>
  <si>
    <t>010</t>
  </si>
  <si>
    <t>040</t>
  </si>
  <si>
    <t>050</t>
  </si>
  <si>
    <t>D&amp;P</t>
  </si>
  <si>
    <t>060</t>
  </si>
  <si>
    <t>070</t>
  </si>
  <si>
    <t>DRESSTA</t>
  </si>
  <si>
    <t>080</t>
  </si>
  <si>
    <t>110</t>
  </si>
  <si>
    <t>120</t>
  </si>
  <si>
    <t>JETOUR</t>
  </si>
  <si>
    <t>130</t>
  </si>
  <si>
    <t>140</t>
  </si>
  <si>
    <t>160</t>
  </si>
  <si>
    <t>170</t>
  </si>
  <si>
    <t>190</t>
  </si>
  <si>
    <t>MICHELIN</t>
  </si>
  <si>
    <t>200</t>
  </si>
  <si>
    <t>MODASA</t>
  </si>
  <si>
    <t>210</t>
  </si>
  <si>
    <t>MUSTANG</t>
  </si>
  <si>
    <t>220</t>
  </si>
  <si>
    <t>240</t>
  </si>
  <si>
    <t>TRELLEBORG</t>
  </si>
  <si>
    <t>250</t>
  </si>
  <si>
    <t>WATTS</t>
  </si>
  <si>
    <t>260</t>
  </si>
  <si>
    <t>270</t>
  </si>
  <si>
    <t>280</t>
  </si>
  <si>
    <t>290</t>
  </si>
  <si>
    <t>codigo</t>
  </si>
  <si>
    <t>descripcion Grupo</t>
  </si>
  <si>
    <t>50</t>
  </si>
  <si>
    <t>Motos</t>
  </si>
  <si>
    <t>51</t>
  </si>
  <si>
    <t>Cuatrimotos</t>
  </si>
  <si>
    <t>52</t>
  </si>
  <si>
    <t>Unidad Nueva</t>
  </si>
  <si>
    <t>CHUCHU</t>
  </si>
  <si>
    <t>PLUSS</t>
  </si>
  <si>
    <t>TEXTO BREVE CALCULADO (MAX 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</si>
</sst>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1"/>
      <color rgb="FF000000"/>
      <name val="Aptos Display"/>
      <family val="2"/>
    </font>
    <font>
      <b/>
      <sz val="11"/>
      <color rgb="FF000000"/>
      <name val="Calibri"/>
      <family val="2"/>
      <scheme val="minor"/>
    </font>
    <font>
      <sz val="10"/>
      <color rgb="FF101828"/>
      <name val="Segoe UI"/>
      <family val="2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4"/>
      <color rgb="FF1F3864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sz val="1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1F3864"/>
        <bgColor rgb="FF333399"/>
      </patternFill>
    </fill>
    <fill>
      <patternFill patternType="solid">
        <fgColor rgb="FFFFF9DB"/>
        <bgColor rgb="FFF2F2F2"/>
      </patternFill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2" fillId="3" borderId="1" xfId="0" applyNumberFormat="1" applyFont="1" applyFill="1" applyBorder="1"/>
    <xf numFmtId="0" fontId="3" fillId="0" borderId="0" xfId="0" applyFont="1"/>
    <xf numFmtId="49" fontId="0" fillId="0" borderId="1" xfId="0" applyNumberFormat="1" applyBorder="1"/>
    <xf numFmtId="0" fontId="4" fillId="0" borderId="0" xfId="0" applyFont="1"/>
    <xf numFmtId="0" fontId="5" fillId="3" borderId="1" xfId="0" applyFont="1" applyFill="1" applyBorder="1"/>
    <xf numFmtId="0" fontId="3" fillId="0" borderId="1" xfId="0" applyFont="1" applyBorder="1"/>
    <xf numFmtId="0" fontId="6" fillId="0" borderId="0" xfId="0" applyFont="1" applyAlignment="1">
      <alignment horizontal="left"/>
    </xf>
    <xf numFmtId="49" fontId="5" fillId="4" borderId="1" xfId="0" applyNumberFormat="1" applyFont="1" applyFill="1" applyBorder="1"/>
    <xf numFmtId="0" fontId="5" fillId="4" borderId="1" xfId="0" applyFont="1" applyFill="1" applyBorder="1"/>
    <xf numFmtId="49" fontId="7" fillId="0" borderId="1" xfId="0" applyNumberFormat="1" applyFont="1" applyBorder="1"/>
    <xf numFmtId="49" fontId="3" fillId="0" borderId="1" xfId="0" applyNumberFormat="1" applyFont="1" applyBorder="1"/>
    <xf numFmtId="0" fontId="4" fillId="0" borderId="1" xfId="0" applyFont="1" applyBorder="1"/>
    <xf numFmtId="49" fontId="3" fillId="5" borderId="1" xfId="0" applyNumberFormat="1" applyFont="1" applyFill="1" applyBorder="1"/>
    <xf numFmtId="0" fontId="4" fillId="5" borderId="1" xfId="0" applyFont="1" applyFill="1" applyBorder="1"/>
    <xf numFmtId="49" fontId="3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0" fontId="1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0" fillId="8" borderId="0" xfId="0" applyFill="1" applyProtection="1">
      <protection locked="0"/>
    </xf>
    <xf numFmtId="0" fontId="8" fillId="0" borderId="0" xfId="0" applyFont="1" applyProtection="1">
      <protection locked="0"/>
    </xf>
    <xf numFmtId="0" fontId="1" fillId="2" borderId="0" xfId="0" applyFont="1" applyFill="1"/>
    <xf numFmtId="0" fontId="3" fillId="8" borderId="0" xfId="0" applyFont="1" applyFill="1"/>
    <xf numFmtId="0" fontId="9" fillId="0" borderId="0" xfId="0" applyFont="1"/>
    <xf numFmtId="0" fontId="13" fillId="0" borderId="0" xfId="0" applyFont="1"/>
    <xf numFmtId="0" fontId="12" fillId="0" borderId="0" xfId="0" applyFont="1"/>
    <xf numFmtId="0" fontId="10" fillId="6" borderId="2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0" borderId="2" xfId="0" applyFont="1" applyBorder="1"/>
    <xf numFmtId="0" fontId="11" fillId="7" borderId="2" xfId="0" applyFont="1" applyFill="1" applyBorder="1"/>
    <xf numFmtId="0" fontId="14" fillId="0" borderId="0" xfId="0" applyFont="1"/>
    <xf numFmtId="0" fontId="17" fillId="0" borderId="2" xfId="0" applyFont="1" applyBorder="1"/>
    <xf numFmtId="0" fontId="15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1" fillId="0" borderId="0" xfId="0" applyFont="1"/>
    <xf numFmtId="0" fontId="16" fillId="0" borderId="0" xfId="0" applyFont="1"/>
    <xf numFmtId="0" fontId="15" fillId="0" borderId="0" xfId="0" applyFont="1"/>
    <xf numFmtId="0" fontId="0" fillId="0" borderId="0" xfId="0"/>
    <xf numFmtId="0" fontId="18" fillId="0" borderId="0" xfId="0" applyFont="1"/>
    <xf numFmtId="0" fontId="12" fillId="0" borderId="0" xfId="0" applyFont="1" applyAlignment="1">
      <alignment wrapText="1"/>
    </xf>
  </cellXfs>
  <cellStyles count="1">
    <cellStyle name="Normal" xfId="0" builtinId="0"/>
  </cellStyles>
  <dxfs count="6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5062CE-6D19-45AB-B3B5-838FDE25E65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203e926-617e-4fc1-aa83-bf823700fd6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"/>
  <sheetViews>
    <sheetView tabSelected="1" zoomScale="85" zoomScaleNormal="85" workbookViewId="0">
      <selection activeCell="D3" sqref="D3"/>
    </sheetView>
  </sheetViews>
  <sheetFormatPr baseColWidth="10" defaultColWidth="9.140625" defaultRowHeight="15" x14ac:dyDescent="0.25"/>
  <cols>
    <col min="1" max="1" width="19.85546875" style="19" bestFit="1" customWidth="1"/>
    <col min="2" max="2" width="14.42578125" style="19" bestFit="1" customWidth="1"/>
    <col min="3" max="3" width="42.140625" bestFit="1" customWidth="1"/>
    <col min="4" max="4" width="38.140625" bestFit="1" customWidth="1"/>
    <col min="5" max="7" width="18.5703125" style="19" customWidth="1"/>
    <col min="8" max="8" width="13.28515625" style="19" bestFit="1" customWidth="1"/>
    <col min="9" max="9" width="13.28515625" style="19" customWidth="1"/>
    <col min="10" max="10" width="13.5703125" style="19" bestFit="1" customWidth="1"/>
    <col min="11" max="11" width="29.42578125" style="19" bestFit="1" customWidth="1"/>
    <col min="12" max="12" width="16.5703125" style="19" bestFit="1" customWidth="1"/>
    <col min="13" max="13" width="45.28515625" style="19" bestFit="1" customWidth="1"/>
    <col min="14" max="14" width="15.85546875" style="19" bestFit="1" customWidth="1"/>
    <col min="15" max="15" width="20.42578125" style="19" bestFit="1" customWidth="1"/>
    <col min="16" max="16" width="20.42578125" style="19" customWidth="1"/>
    <col min="17" max="17" width="27.5703125" style="19" bestFit="1" customWidth="1"/>
    <col min="18" max="18" width="19.140625" style="19" bestFit="1" customWidth="1"/>
    <col min="19" max="20" width="9.140625" style="19" customWidth="1"/>
    <col min="21" max="16384" width="9.140625" style="19"/>
  </cols>
  <sheetData>
    <row r="1" spans="1:18" x14ac:dyDescent="0.25">
      <c r="A1" s="18" t="s">
        <v>0</v>
      </c>
      <c r="B1" s="18" t="s">
        <v>1</v>
      </c>
      <c r="C1" s="23" t="s">
        <v>824</v>
      </c>
      <c r="D1" s="23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</row>
    <row r="2" spans="1:18" x14ac:dyDescent="0.25">
      <c r="A2" s="20" t="s">
        <v>558</v>
      </c>
      <c r="B2" s="19" t="s">
        <v>65</v>
      </c>
      <c r="C2" s="24" t="str">
        <f>_xlfn.LET(_xlpm.comb,_xlfn.XLOOKUP(H2,NPF!$A$4:$A$10,NPF!$B$4:$B$10,""),_xlpm.trans,_xlfn.XLOOKUP(J2,NPF!$D$4:$D$7,NPF!$E$4:$E$7,""),_xlpm.kwh,IF(AND(ISNUMBER(K2),OR(_xlpm.comb="BEV",_xlpm.comb="PHEV",_xlpm.comb="MHEV")),ROUND(K2,0)&amp;"KWH",""),_xlpm.dec,1,_xlpm.cil,IF(OR(_xlpm.comb="BEV",P2="Motos",P2="Cuatrimotos",G2=""),"",SUBSTITUTE(FIXED(G2/1000,_xlpm.dec,TRUE),",",".")&amp;"L"),IF(E2="","",UPPER(_xlfn.TEXTJOIN(" ",TRUE,E2,F2,_xlpm.cil,_xlpm.kwh,_xlpm.comb,I2,_xlpm.trans))))</f>
        <v>CHUCHU PLUSS 15.0L DSL 6X2 MT</v>
      </c>
      <c r="D2" s="24" t="str" cm="1">
        <f t="array" ref="D2">_xlfn.LET(_xlpm.comb,_xlfn.XLOOKUP(H2,NPF!$A$4:$A$10,NPF!$B$4:$B$10,""),_xlpm.trans,_xlfn.XLOOKUP(J2,NPF!$D$4:$D$7,NPF!$E$4:$E$7,""),_xlpm.orig,NPF!$W$4:$W$33,_xlpm.abr,NPF!$X$4:$X$33,_xlpm.txt,_xlfn.REDUCE(UPPER(TRIM(E2&amp;" "&amp;F2)),_xlfn.SEQUENCE(ROWS(_xlpm.orig)),_xlfn.LAMBDA(_xlpm.a,_xlpm.i,IF(INDEX(_xlpm.orig,_xlpm.i)="",_xlpm.a,SUBSTITUTE(_xlpm.a,UPPER(INDEX(_xlpm.orig,_xlpm.i)),INDEX(_xlpm.abr,_xlpm.i))))),_xlpm.mv,SUBSTITUTE(SUBSTITUTE(SUBSTITUTE(_xlpm.txt,"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2),OR(_xlpm.comb="BEV",_xlpm.comb="PHEV",_xlpm.comb="MHEV")),ROUND(K2,0)&amp;"KWH",""),_xlpm.dec,1,_xlpm.cil,IF(OR(_xlpm.comb="BEV",P2="Motos",P2="Cuatrimotos",G2=""),"",SUBSTITUTE(FIXED(G2/1000,_xlpm.dec,TRUE),",",".")&amp;"L"),_xlpm.modelo,_xlpm.mv&amp;_xlpm.kwh,_xlpm.res,IF(B2="CAMIONES",_xlfn.TEXTJOIN("-",TRUE,_xlpm.modelo,_xlpm.cil,_xlpm.comb,UPPER(I2),_xlpm.trans),IF(B2="VEHICULOS",_xlfn.TEXTJOIN("-",TRUE,_xlpm.modelo,_xlpm.comb,_xlpm.cil,LOWER(I2),_xlpm.trans),"Elija TIPO MATERIAL")),IF(E2="","",_xlpm.res))</f>
        <v>CHUCHUPLUSS-15.0L-DSL-6X2-MT</v>
      </c>
      <c r="E2" s="19" t="s">
        <v>822</v>
      </c>
      <c r="F2" s="19" t="s">
        <v>823</v>
      </c>
      <c r="G2" s="19">
        <v>15000</v>
      </c>
      <c r="H2" s="19" t="s">
        <v>57</v>
      </c>
      <c r="I2" s="19" t="s">
        <v>98</v>
      </c>
      <c r="J2" s="19" t="s">
        <v>41</v>
      </c>
      <c r="L2" s="19" t="s">
        <v>65</v>
      </c>
      <c r="M2" s="19" t="s">
        <v>287</v>
      </c>
      <c r="N2" s="19" t="s">
        <v>55</v>
      </c>
      <c r="O2" s="19" t="s">
        <v>633</v>
      </c>
      <c r="P2" s="19" t="s">
        <v>821</v>
      </c>
      <c r="Q2" s="21">
        <f t="shared" ref="Q2:Q33" si="0">IF(C2="","",LEN(C2))</f>
        <v>29</v>
      </c>
      <c r="R2" s="21">
        <f t="shared" ref="R2:R33" si="1">IF(D2="","",LEN(D2))</f>
        <v>28</v>
      </c>
    </row>
    <row r="3" spans="1:18" x14ac:dyDescent="0.25">
      <c r="C3" s="24" t="str">
        <f>_xlfn.LET(_xlpm.comb,_xlfn.XLOOKUP(H3,NPF!$A$4:$A$10,NPF!$B$4:$B$10,""),_xlpm.trans,_xlfn.XLOOKUP(J3,NPF!$D$4:$D$7,NPF!$E$4:$E$7,""),_xlpm.kwh,IF(AND(ISNUMBER(K3),OR(_xlpm.comb="BEV",_xlpm.comb="PHEV",_xlpm.comb="MHEV")),ROUND(K3,0)&amp;"KWH",""),_xlpm.dec,1,_xlpm.cil,IF(OR(_xlpm.comb="BEV",P3="Motos",P3="Cuatrimotos",G3=""),"",SUBSTITUTE(FIXED(G3/1000,_xlpm.dec,TRUE),",",".")&amp;"L"),IF(E3="","",UPPER(_xlfn.TEXTJOIN(" ",TRUE,E3,F3,_xlpm.cil,_xlpm.kwh,_xlpm.comb,I3,_xlpm.trans))))</f>
        <v/>
      </c>
      <c r="D3" s="24" t="str" cm="1">
        <f t="array" ref="D3">_xlfn.LET(_xlpm.comb,_xlfn.XLOOKUP(H3,NPF!$A$4:$A$10,NPF!$B$4:$B$10,""),_xlpm.trans,_xlfn.XLOOKUP(J3,NPF!$D$4:$D$7,NPF!$E$4:$E$7,""),_xlpm.orig,NPF!$W$4:$W$33,_xlpm.abr,NPF!$X$4:$X$33,_xlpm.txt,_xlfn.REDUCE(UPPER(TRIM(E3&amp;" "&amp;F3)),_xlfn.SEQUENCE(ROWS(_xlpm.orig)),_xlfn.LAMBDA(_xlpm.a,_xlpm.i,IF(INDEX(_xlpm.orig,_xlpm.i)="",_xlpm.a,SUBSTITUTE(_xlpm.a,UPPER(INDEX(_xlpm.orig,_xlpm.i)),INDEX(_xlpm.abr,_xlpm.i))))),_xlpm.mv,SUBSTITUTE(SUBSTITUTE(SUBSTITUTE(_xlpm.txt,"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3),OR(_xlpm.comb="BEV",_xlpm.comb="PHEV",_xlpm.comb="MHEV")),ROUND(K3,0)&amp;"KWH",""),_xlpm.dec,1,_xlpm.cil,IF(OR(_xlpm.comb="BEV",P3="Motos",P3="Cuatrimotos",G3=""),"",SUBSTITUTE(FIXED(G3/1000,_xlpm.dec,TRUE),",",".")&amp;"L"),_xlpm.modelo,_xlpm.mv&amp;_xlpm.kwh,_xlpm.res,IF(B3="CAMIONES",_xlfn.TEXTJOIN("-",TRUE,_xlpm.modelo,_xlpm.cil,_xlpm.comb,UPPER(I3),_xlpm.trans),IF(B3="VEHICULOS",_xlfn.TEXTJOIN("-",TRUE,_xlpm.modelo,_xlpm.comb,_xlpm.cil,LOWER(I3),_xlpm.trans),"Elija TIPO MATERIAL")),IF(E3="","",_xlpm.res))</f>
        <v/>
      </c>
      <c r="Q3" s="21" t="str">
        <f t="shared" si="0"/>
        <v/>
      </c>
      <c r="R3" s="21" t="str">
        <f t="shared" si="1"/>
        <v/>
      </c>
    </row>
    <row r="4" spans="1:18" x14ac:dyDescent="0.25">
      <c r="C4" s="24" t="str">
        <f>_xlfn.LET(_xlpm.comb,_xlfn.XLOOKUP(H4,NPF!$A$4:$A$10,NPF!$B$4:$B$10,""),_xlpm.trans,_xlfn.XLOOKUP(J4,NPF!$D$4:$D$7,NPF!$E$4:$E$7,""),_xlpm.kwh,IF(AND(ISNUMBER(K4),OR(_xlpm.comb="BEV",_xlpm.comb="PHEV",_xlpm.comb="MHEV")),ROUND(K4,0)&amp;"KWH",""),_xlpm.dec,1,_xlpm.cil,IF(OR(_xlpm.comb="BEV",P4="Motos",P4="Cuatrimotos",G4=""),"",SUBSTITUTE(FIXED(G4/1000,_xlpm.dec,TRUE),",",".")&amp;"L"),IF(E4="","",UPPER(_xlfn.TEXTJOIN(" ",TRUE,E4,F4,_xlpm.cil,_xlpm.kwh,_xlpm.comb,I4,_xlpm.trans))))</f>
        <v/>
      </c>
      <c r="D4" s="24" t="str" cm="1">
        <f t="array" ref="D4">_xlfn.LET(_xlpm.comb,_xlfn.XLOOKUP(H4,NPF!$A$4:$A$10,NPF!$B$4:$B$10,""),_xlpm.trans,_xlfn.XLOOKUP(J4,NPF!$D$4:$D$7,NPF!$E$4:$E$7,""),_xlpm.orig,NPF!$W$4:$W$33,_xlpm.abr,NPF!$X$4:$X$33,_xlpm.txt,_xlfn.REDUCE(UPPER(TRIM(E4&amp;" "&amp;F4)),_xlfn.SEQUENCE(ROWS(_xlpm.orig)),_xlfn.LAMBDA(_xlpm.a,_xlpm.i,IF(INDEX(_xlpm.orig,_xlpm.i)="",_xlpm.a,SUBSTITUTE(_xlpm.a,UPPER(INDEX(_xlpm.orig,_xlpm.i)),INDEX(_xlpm.abr,_xlpm.i))))),_xlpm.mv,SUBSTITUTE(SUBSTITUTE(SUBSTITUTE(_xlpm.txt,"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4),OR(_xlpm.comb="BEV",_xlpm.comb="PHEV",_xlpm.comb="MHEV")),ROUND(K4,0)&amp;"KWH",""),_xlpm.dec,1,_xlpm.cil,IF(OR(_xlpm.comb="BEV",P4="Motos",P4="Cuatrimotos",G4=""),"",SUBSTITUTE(FIXED(G4/1000,_xlpm.dec,TRUE),",",".")&amp;"L"),_xlpm.modelo,_xlpm.mv&amp;_xlpm.kwh,_xlpm.res,IF(B4="CAMIONES",_xlfn.TEXTJOIN("-",TRUE,_xlpm.modelo,_xlpm.cil,_xlpm.comb,UPPER(I4),_xlpm.trans),IF(B4="VEHICULOS",_xlfn.TEXTJOIN("-",TRUE,_xlpm.modelo,_xlpm.comb,_xlpm.cil,LOWER(I4),_xlpm.trans),"Elija TIPO MATERIAL")),IF(E4="","",_xlpm.res))</f>
        <v/>
      </c>
      <c r="E4" s="22"/>
      <c r="Q4" s="21" t="str">
        <f t="shared" si="0"/>
        <v/>
      </c>
      <c r="R4" s="21" t="str">
        <f t="shared" si="1"/>
        <v/>
      </c>
    </row>
    <row r="5" spans="1:18" x14ac:dyDescent="0.25">
      <c r="C5" s="24" t="str">
        <f>_xlfn.LET(_xlpm.comb,_xlfn.XLOOKUP(H5,NPF!$A$4:$A$10,NPF!$B$4:$B$10,""),_xlpm.trans,_xlfn.XLOOKUP(J5,NPF!$D$4:$D$7,NPF!$E$4:$E$7,""),_xlpm.kwh,IF(AND(ISNUMBER(K5),OR(_xlpm.comb="BEV",_xlpm.comb="PHEV",_xlpm.comb="MHEV")),ROUND(K5,0)&amp;"KWH",""),_xlpm.dec,1,_xlpm.cil,IF(OR(_xlpm.comb="BEV",P5="Motos",P5="Cuatrimotos",G5=""),"",SUBSTITUTE(FIXED(G5/1000,_xlpm.dec,TRUE),",",".")&amp;"L"),IF(E5="","",UPPER(_xlfn.TEXTJOIN(" ",TRUE,E5,F5,_xlpm.cil,_xlpm.kwh,_xlpm.comb,I5,_xlpm.trans))))</f>
        <v/>
      </c>
      <c r="D5" s="24" t="str" cm="1">
        <f t="array" ref="D5">_xlfn.LET(_xlpm.comb,_xlfn.XLOOKUP(H5,NPF!$A$4:$A$10,NPF!$B$4:$B$10,""),_xlpm.trans,_xlfn.XLOOKUP(J5,NPF!$D$4:$D$7,NPF!$E$4:$E$7,""),_xlpm.orig,NPF!$W$4:$W$33,_xlpm.abr,NPF!$X$4:$X$33,_xlpm.txt,_xlfn.REDUCE(UPPER(TRIM(E5&amp;" "&amp;F5)),_xlfn.SEQUENCE(ROWS(_xlpm.orig)),_xlfn.LAMBDA(_xlpm.a,_xlpm.i,IF(INDEX(_xlpm.orig,_xlpm.i)="",_xlpm.a,SUBSTITUTE(_xlpm.a,UPPER(INDEX(_xlpm.orig,_xlpm.i)),INDEX(_xlpm.abr,_xlpm.i))))),_xlpm.mv,SUBSTITUTE(SUBSTITUTE(SUBSTITUTE(_xlpm.txt,"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5),OR(_xlpm.comb="BEV",_xlpm.comb="PHEV",_xlpm.comb="MHEV")),ROUND(K5,0)&amp;"KWH",""),_xlpm.dec,1,_xlpm.cil,IF(OR(_xlpm.comb="BEV",P5="Motos",P5="Cuatrimotos",G5=""),"",SUBSTITUTE(FIXED(G5/1000,_xlpm.dec,TRUE),",",".")&amp;"L"),_xlpm.modelo,_xlpm.mv&amp;_xlpm.kwh,_xlpm.res,IF(B5="CAMIONES",_xlfn.TEXTJOIN("-",TRUE,_xlpm.modelo,_xlpm.cil,_xlpm.comb,UPPER(I5),_xlpm.trans),IF(B5="VEHICULOS",_xlfn.TEXTJOIN("-",TRUE,_xlpm.modelo,_xlpm.comb,_xlpm.cil,LOWER(I5),_xlpm.trans),"Elija TIPO MATERIAL")),IF(E5="","",_xlpm.res))</f>
        <v/>
      </c>
      <c r="Q5" s="21" t="str">
        <f t="shared" si="0"/>
        <v/>
      </c>
      <c r="R5" s="21" t="str">
        <f t="shared" si="1"/>
        <v/>
      </c>
    </row>
    <row r="6" spans="1:18" x14ac:dyDescent="0.25">
      <c r="C6" s="24" t="str">
        <f>_xlfn.LET(_xlpm.comb,_xlfn.XLOOKUP(H6,NPF!$A$4:$A$10,NPF!$B$4:$B$10,""),_xlpm.trans,_xlfn.XLOOKUP(J6,NPF!$D$4:$D$7,NPF!$E$4:$E$7,""),_xlpm.kwh,IF(AND(ISNUMBER(K6),OR(_xlpm.comb="BEV",_xlpm.comb="PHEV",_xlpm.comb="MHEV")),ROUND(K6,0)&amp;"KWH",""),_xlpm.dec,1,_xlpm.cil,IF(OR(_xlpm.comb="BEV",P6="Motos",P6="Cuatrimotos",G6=""),"",SUBSTITUTE(FIXED(G6/1000,_xlpm.dec,TRUE),",",".")&amp;"L"),IF(E6="","",UPPER(_xlfn.TEXTJOIN(" ",TRUE,E6,F6,_xlpm.cil,_xlpm.kwh,_xlpm.comb,I6,_xlpm.trans))))</f>
        <v/>
      </c>
      <c r="D6" s="24" t="str" cm="1">
        <f t="array" ref="D6">_xlfn.LET(_xlpm.comb,_xlfn.XLOOKUP(H6,NPF!$A$4:$A$10,NPF!$B$4:$B$10,""),_xlpm.trans,_xlfn.XLOOKUP(J6,NPF!$D$4:$D$7,NPF!$E$4:$E$7,""),_xlpm.orig,NPF!$W$4:$W$33,_xlpm.abr,NPF!$X$4:$X$33,_xlpm.txt,_xlfn.REDUCE(UPPER(TRIM(E6&amp;" "&amp;F6)),_xlfn.SEQUENCE(ROWS(_xlpm.orig)),_xlfn.LAMBDA(_xlpm.a,_xlpm.i,IF(INDEX(_xlpm.orig,_xlpm.i)="",_xlpm.a,SUBSTITUTE(_xlpm.a,UPPER(INDEX(_xlpm.orig,_xlpm.i)),INDEX(_xlpm.abr,_xlpm.i))))),_xlpm.mv,SUBSTITUTE(SUBSTITUTE(SUBSTITUTE(_xlpm.txt,"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6),OR(_xlpm.comb="BEV",_xlpm.comb="PHEV",_xlpm.comb="MHEV")),ROUND(K6,0)&amp;"KWH",""),_xlpm.dec,1,_xlpm.cil,IF(OR(_xlpm.comb="BEV",P6="Motos",P6="Cuatrimotos",G6=""),"",SUBSTITUTE(FIXED(G6/1000,_xlpm.dec,TRUE),",",".")&amp;"L"),_xlpm.modelo,_xlpm.mv&amp;_xlpm.kwh,_xlpm.res,IF(B6="CAMIONES",_xlfn.TEXTJOIN("-",TRUE,_xlpm.modelo,_xlpm.cil,_xlpm.comb,UPPER(I6),_xlpm.trans),IF(B6="VEHICULOS",_xlfn.TEXTJOIN("-",TRUE,_xlpm.modelo,_xlpm.comb,_xlpm.cil,LOWER(I6),_xlpm.trans),"Elija TIPO MATERIAL")),IF(E6="","",_xlpm.res))</f>
        <v/>
      </c>
      <c r="Q6" s="21" t="str">
        <f t="shared" si="0"/>
        <v/>
      </c>
      <c r="R6" s="21" t="str">
        <f t="shared" si="1"/>
        <v/>
      </c>
    </row>
    <row r="7" spans="1:18" x14ac:dyDescent="0.25">
      <c r="C7" s="24" t="str">
        <f>_xlfn.LET(_xlpm.comb,_xlfn.XLOOKUP(H7,NPF!$A$4:$A$10,NPF!$B$4:$B$10,""),_xlpm.trans,_xlfn.XLOOKUP(J7,NPF!$D$4:$D$7,NPF!$E$4:$E$7,""),_xlpm.kwh,IF(AND(ISNUMBER(K7),OR(_xlpm.comb="BEV",_xlpm.comb="PHEV",_xlpm.comb="MHEV")),ROUND(K7,0)&amp;"KWH",""),_xlpm.dec,1,_xlpm.cil,IF(OR(_xlpm.comb="BEV",P7="Motos",P7="Cuatrimotos",G7=""),"",SUBSTITUTE(FIXED(G7/1000,_xlpm.dec,TRUE),",",".")&amp;"L"),IF(E7="","",UPPER(_xlfn.TEXTJOIN(" ",TRUE,E7,F7,_xlpm.cil,_xlpm.kwh,_xlpm.comb,I7,_xlpm.trans))))</f>
        <v/>
      </c>
      <c r="D7" s="24" t="str" cm="1">
        <f t="array" ref="D7">_xlfn.LET(_xlpm.comb,_xlfn.XLOOKUP(H7,NPF!$A$4:$A$10,NPF!$B$4:$B$10,""),_xlpm.trans,_xlfn.XLOOKUP(J7,NPF!$D$4:$D$7,NPF!$E$4:$E$7,""),_xlpm.orig,NPF!$W$4:$W$33,_xlpm.abr,NPF!$X$4:$X$33,_xlpm.txt,_xlfn.REDUCE(UPPER(TRIM(E7&amp;" "&amp;F7)),_xlfn.SEQUENCE(ROWS(_xlpm.orig)),_xlfn.LAMBDA(_xlpm.a,_xlpm.i,IF(INDEX(_xlpm.orig,_xlpm.i)="",_xlpm.a,SUBSTITUTE(_xlpm.a,UPPER(INDEX(_xlpm.orig,_xlpm.i)),INDEX(_xlpm.abr,_xlpm.i))))),_xlpm.mv,SUBSTITUTE(SUBSTITUTE(SUBSTITUTE(_xlpm.txt,"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7),OR(_xlpm.comb="BEV",_xlpm.comb="PHEV",_xlpm.comb="MHEV")),ROUND(K7,0)&amp;"KWH",""),_xlpm.dec,1,_xlpm.cil,IF(OR(_xlpm.comb="BEV",P7="Motos",P7="Cuatrimotos",G7=""),"",SUBSTITUTE(FIXED(G7/1000,_xlpm.dec,TRUE),",",".")&amp;"L"),_xlpm.modelo,_xlpm.mv&amp;_xlpm.kwh,_xlpm.res,IF(B7="CAMIONES",_xlfn.TEXTJOIN("-",TRUE,_xlpm.modelo,_xlpm.cil,_xlpm.comb,UPPER(I7),_xlpm.trans),IF(B7="VEHICULOS",_xlfn.TEXTJOIN("-",TRUE,_xlpm.modelo,_xlpm.comb,_xlpm.cil,LOWER(I7),_xlpm.trans),"Elija TIPO MATERIAL")),IF(E7="","",_xlpm.res))</f>
        <v/>
      </c>
      <c r="Q7" s="21" t="str">
        <f t="shared" si="0"/>
        <v/>
      </c>
      <c r="R7" s="21" t="str">
        <f t="shared" si="1"/>
        <v/>
      </c>
    </row>
    <row r="8" spans="1:18" x14ac:dyDescent="0.25">
      <c r="C8" s="24" t="str">
        <f>_xlfn.LET(_xlpm.comb,_xlfn.XLOOKUP(H8,NPF!$A$4:$A$10,NPF!$B$4:$B$10,""),_xlpm.trans,_xlfn.XLOOKUP(J8,NPF!$D$4:$D$7,NPF!$E$4:$E$7,""),_xlpm.kwh,IF(AND(ISNUMBER(K8),OR(_xlpm.comb="BEV",_xlpm.comb="PHEV",_xlpm.comb="MHEV")),ROUND(K8,0)&amp;"KWH",""),_xlpm.dec,1,_xlpm.cil,IF(OR(_xlpm.comb="BEV",P8="Motos",P8="Cuatrimotos",G8=""),"",SUBSTITUTE(FIXED(G8/1000,_xlpm.dec,TRUE),",",".")&amp;"L"),IF(E8="","",UPPER(_xlfn.TEXTJOIN(" ",TRUE,E8,F8,_xlpm.cil,_xlpm.kwh,_xlpm.comb,I8,_xlpm.trans))))</f>
        <v/>
      </c>
      <c r="D8" s="24" t="str" cm="1">
        <f t="array" ref="D8">_xlfn.LET(_xlpm.comb,_xlfn.XLOOKUP(H8,NPF!$A$4:$A$10,NPF!$B$4:$B$10,""),_xlpm.trans,_xlfn.XLOOKUP(J8,NPF!$D$4:$D$7,NPF!$E$4:$E$7,""),_xlpm.orig,NPF!$W$4:$W$33,_xlpm.abr,NPF!$X$4:$X$33,_xlpm.txt,_xlfn.REDUCE(UPPER(TRIM(E8&amp;" "&amp;F8)),_xlfn.SEQUENCE(ROWS(_xlpm.orig)),_xlfn.LAMBDA(_xlpm.a,_xlpm.i,IF(INDEX(_xlpm.orig,_xlpm.i)="",_xlpm.a,SUBSTITUTE(_xlpm.a,UPPER(INDEX(_xlpm.orig,_xlpm.i)),INDEX(_xlpm.abr,_xlpm.i))))),_xlpm.mv,SUBSTITUTE(SUBSTITUTE(SUBSTITUTE(_xlpm.txt,"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8),OR(_xlpm.comb="BEV",_xlpm.comb="PHEV",_xlpm.comb="MHEV")),ROUND(K8,0)&amp;"KWH",""),_xlpm.dec,1,_xlpm.cil,IF(OR(_xlpm.comb="BEV",P8="Motos",P8="Cuatrimotos",G8=""),"",SUBSTITUTE(FIXED(G8/1000,_xlpm.dec,TRUE),",",".")&amp;"L"),_xlpm.modelo,_xlpm.mv&amp;_xlpm.kwh,_xlpm.res,IF(B8="CAMIONES",_xlfn.TEXTJOIN("-",TRUE,_xlpm.modelo,_xlpm.cil,_xlpm.comb,UPPER(I8),_xlpm.trans),IF(B8="VEHICULOS",_xlfn.TEXTJOIN("-",TRUE,_xlpm.modelo,_xlpm.comb,_xlpm.cil,LOWER(I8),_xlpm.trans),"Elija TIPO MATERIAL")),IF(E8="","",_xlpm.res))</f>
        <v/>
      </c>
      <c r="Q8" s="21" t="str">
        <f t="shared" si="0"/>
        <v/>
      </c>
      <c r="R8" s="21" t="str">
        <f t="shared" si="1"/>
        <v/>
      </c>
    </row>
    <row r="9" spans="1:18" x14ac:dyDescent="0.25">
      <c r="C9" s="24" t="str">
        <f>_xlfn.LET(_xlpm.comb,_xlfn.XLOOKUP(H9,NPF!$A$4:$A$10,NPF!$B$4:$B$10,""),_xlpm.trans,_xlfn.XLOOKUP(J9,NPF!$D$4:$D$7,NPF!$E$4:$E$7,""),_xlpm.kwh,IF(AND(ISNUMBER(K9),OR(_xlpm.comb="BEV",_xlpm.comb="PHEV",_xlpm.comb="MHEV")),ROUND(K9,0)&amp;"KWH",""),_xlpm.dec,1,_xlpm.cil,IF(OR(_xlpm.comb="BEV",P9="Motos",P9="Cuatrimotos",G9=""),"",SUBSTITUTE(FIXED(G9/1000,_xlpm.dec,TRUE),",",".")&amp;"L"),IF(E9="","",UPPER(_xlfn.TEXTJOIN(" ",TRUE,E9,F9,_xlpm.cil,_xlpm.kwh,_xlpm.comb,I9,_xlpm.trans))))</f>
        <v/>
      </c>
      <c r="D9" s="24" t="str" cm="1">
        <f t="array" ref="D9">_xlfn.LET(_xlpm.comb,_xlfn.XLOOKUP(H9,NPF!$A$4:$A$10,NPF!$B$4:$B$10,""),_xlpm.trans,_xlfn.XLOOKUP(J9,NPF!$D$4:$D$7,NPF!$E$4:$E$7,""),_xlpm.orig,NPF!$W$4:$W$33,_xlpm.abr,NPF!$X$4:$X$33,_xlpm.txt,_xlfn.REDUCE(UPPER(TRIM(E9&amp;" "&amp;F9)),_xlfn.SEQUENCE(ROWS(_xlpm.orig)),_xlfn.LAMBDA(_xlpm.a,_xlpm.i,IF(INDEX(_xlpm.orig,_xlpm.i)="",_xlpm.a,SUBSTITUTE(_xlpm.a,UPPER(INDEX(_xlpm.orig,_xlpm.i)),INDEX(_xlpm.abr,_xlpm.i))))),_xlpm.mv,SUBSTITUTE(SUBSTITUTE(SUBSTITUTE(_xlpm.txt,"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9),OR(_xlpm.comb="BEV",_xlpm.comb="PHEV",_xlpm.comb="MHEV")),ROUND(K9,0)&amp;"KWH",""),_xlpm.dec,1,_xlpm.cil,IF(OR(_xlpm.comb="BEV",P9="Motos",P9="Cuatrimotos",G9=""),"",SUBSTITUTE(FIXED(G9/1000,_xlpm.dec,TRUE),",",".")&amp;"L"),_xlpm.modelo,_xlpm.mv&amp;_xlpm.kwh,_xlpm.res,IF(B9="CAMIONES",_xlfn.TEXTJOIN("-",TRUE,_xlpm.modelo,_xlpm.cil,_xlpm.comb,UPPER(I9),_xlpm.trans),IF(B9="VEHICULOS",_xlfn.TEXTJOIN("-",TRUE,_xlpm.modelo,_xlpm.comb,_xlpm.cil,LOWER(I9),_xlpm.trans),"Elija TIPO MATERIAL")),IF(E9="","",_xlpm.res))</f>
        <v/>
      </c>
      <c r="Q9" s="21" t="str">
        <f t="shared" si="0"/>
        <v/>
      </c>
      <c r="R9" s="21" t="str">
        <f t="shared" si="1"/>
        <v/>
      </c>
    </row>
    <row r="10" spans="1:18" x14ac:dyDescent="0.25">
      <c r="C10" s="24" t="str">
        <f>_xlfn.LET(_xlpm.comb,_xlfn.XLOOKUP(H10,NPF!$A$4:$A$10,NPF!$B$4:$B$10,""),_xlpm.trans,_xlfn.XLOOKUP(J10,NPF!$D$4:$D$7,NPF!$E$4:$E$7,""),_xlpm.kwh,IF(AND(ISNUMBER(K10),OR(_xlpm.comb="BEV",_xlpm.comb="PHEV",_xlpm.comb="MHEV")),ROUND(K10,0)&amp;"KWH",""),_xlpm.dec,1,_xlpm.cil,IF(OR(_xlpm.comb="BEV",P10="Motos",P10="Cuatrimotos",G10=""),"",SUBSTITUTE(FIXED(G10/1000,_xlpm.dec,TRUE),",",".")&amp;"L"),IF(E10="","",UPPER(_xlfn.TEXTJOIN(" ",TRUE,E10,F10,_xlpm.cil,_xlpm.kwh,_xlpm.comb,I10,_xlpm.trans))))</f>
        <v/>
      </c>
      <c r="D10" s="24" t="str" cm="1">
        <f t="array" ref="D10">_xlfn.LET(_xlpm.comb,_xlfn.XLOOKUP(H10,NPF!$A$4:$A$10,NPF!$B$4:$B$10,""),_xlpm.trans,_xlfn.XLOOKUP(J10,NPF!$D$4:$D$7,NPF!$E$4:$E$7,""),_xlpm.orig,NPF!$W$4:$W$33,_xlpm.abr,NPF!$X$4:$X$33,_xlpm.txt,_xlfn.REDUCE(UPPER(TRIM(E10&amp;" "&amp;F10)),_xlfn.SEQUENCE(ROWS(_xlpm.orig)),_xlfn.LAMBDA(_xlpm.a,_xlpm.i,IF(INDEX(_xlpm.orig,_xlpm.i)="",_xlpm.a,SUBSTITUTE(_xlpm.a,UPPER(INDEX(_xlpm.orig,_xlpm.i)),INDEX(_xlpm.abr,_xlpm.i))))),_xlpm.mv,SUBSTITUTE(SUBSTITUTE(SUBSTITUTE(_xlpm.txt,"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10),OR(_xlpm.comb="BEV",_xlpm.comb="PHEV",_xlpm.comb="MHEV")),ROUND(K10,0)&amp;"KWH",""),_xlpm.dec,1,_xlpm.cil,IF(OR(_xlpm.comb="BEV",P10="Motos",P10="Cuatrimotos",G10=""),"",SUBSTITUTE(FIXED(G10/1000,_xlpm.dec,TRUE),",",".")&amp;"L"),_xlpm.modelo,_xlpm.mv&amp;_xlpm.kwh,_xlpm.res,IF(B10="CAMIONES",_xlfn.TEXTJOIN("-",TRUE,_xlpm.modelo,_xlpm.cil,_xlpm.comb,UPPER(I10),_xlpm.trans),IF(B10="VEHICULOS",_xlfn.TEXTJOIN("-",TRUE,_xlpm.modelo,_xlpm.comb,_xlpm.cil,LOWER(I10),_xlpm.trans),"Elija TIPO MATERIAL")),IF(E10="","",_xlpm.res))</f>
        <v/>
      </c>
      <c r="Q10" s="21" t="str">
        <f t="shared" si="0"/>
        <v/>
      </c>
      <c r="R10" s="21" t="str">
        <f t="shared" si="1"/>
        <v/>
      </c>
    </row>
    <row r="11" spans="1:18" x14ac:dyDescent="0.25">
      <c r="C11" s="24" t="str">
        <f>_xlfn.LET(_xlpm.comb,_xlfn.XLOOKUP(H11,NPF!$A$4:$A$10,NPF!$B$4:$B$10,""),_xlpm.trans,_xlfn.XLOOKUP(J11,NPF!$D$4:$D$7,NPF!$E$4:$E$7,""),_xlpm.kwh,IF(AND(ISNUMBER(K11),OR(_xlpm.comb="BEV",_xlpm.comb="PHEV",_xlpm.comb="MHEV")),ROUND(K11,0)&amp;"KWH",""),_xlpm.dec,1,_xlpm.cil,IF(OR(_xlpm.comb="BEV",P11="Motos",P11="Cuatrimotos",G11=""),"",SUBSTITUTE(FIXED(G11/1000,_xlpm.dec,TRUE),",",".")&amp;"L"),IF(E11="","",UPPER(_xlfn.TEXTJOIN(" ",TRUE,E11,F11,_xlpm.cil,_xlpm.kwh,_xlpm.comb,I11,_xlpm.trans))))</f>
        <v/>
      </c>
      <c r="D11" s="24" t="str" cm="1">
        <f t="array" ref="D11">_xlfn.LET(_xlpm.comb,_xlfn.XLOOKUP(H11,NPF!$A$4:$A$10,NPF!$B$4:$B$10,""),_xlpm.trans,_xlfn.XLOOKUP(J11,NPF!$D$4:$D$7,NPF!$E$4:$E$7,""),_xlpm.orig,NPF!$W$4:$W$33,_xlpm.abr,NPF!$X$4:$X$33,_xlpm.txt,_xlfn.REDUCE(UPPER(TRIM(E11&amp;" "&amp;F11)),_xlfn.SEQUENCE(ROWS(_xlpm.orig)),_xlfn.LAMBDA(_xlpm.a,_xlpm.i,IF(INDEX(_xlpm.orig,_xlpm.i)="",_xlpm.a,SUBSTITUTE(_xlpm.a,UPPER(INDEX(_xlpm.orig,_xlpm.i)),INDEX(_xlpm.abr,_xlpm.i))))),_xlpm.mv,SUBSTITUTE(SUBSTITUTE(SUBSTITUTE(_xlpm.txt,"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11),OR(_xlpm.comb="BEV",_xlpm.comb="PHEV",_xlpm.comb="MHEV")),ROUND(K11,0)&amp;"KWH",""),_xlpm.dec,1,_xlpm.cil,IF(OR(_xlpm.comb="BEV",P11="Motos",P11="Cuatrimotos",G11=""),"",SUBSTITUTE(FIXED(G11/1000,_xlpm.dec,TRUE),",",".")&amp;"L"),_xlpm.modelo,_xlpm.mv&amp;_xlpm.kwh,_xlpm.res,IF(B11="CAMIONES",_xlfn.TEXTJOIN("-",TRUE,_xlpm.modelo,_xlpm.cil,_xlpm.comb,UPPER(I11),_xlpm.trans),IF(B11="VEHICULOS",_xlfn.TEXTJOIN("-",TRUE,_xlpm.modelo,_xlpm.comb,_xlpm.cil,LOWER(I11),_xlpm.trans),"Elija TIPO MATERIAL")),IF(E11="","",_xlpm.res))</f>
        <v/>
      </c>
      <c r="Q11" s="21" t="str">
        <f t="shared" si="0"/>
        <v/>
      </c>
      <c r="R11" s="21" t="str">
        <f t="shared" si="1"/>
        <v/>
      </c>
    </row>
    <row r="12" spans="1:18" x14ac:dyDescent="0.25">
      <c r="C12" s="24" t="str">
        <f>_xlfn.LET(_xlpm.comb,_xlfn.XLOOKUP(H12,NPF!$A$4:$A$10,NPF!$B$4:$B$10,""),_xlpm.trans,_xlfn.XLOOKUP(J12,NPF!$D$4:$D$7,NPF!$E$4:$E$7,""),_xlpm.kwh,IF(AND(ISNUMBER(K12),OR(_xlpm.comb="BEV",_xlpm.comb="PHEV",_xlpm.comb="MHEV")),ROUND(K12,0)&amp;"KWH",""),_xlpm.dec,1,_xlpm.cil,IF(OR(_xlpm.comb="BEV",P12="Motos",P12="Cuatrimotos",G12=""),"",SUBSTITUTE(FIXED(G12/1000,_xlpm.dec,TRUE),",",".")&amp;"L"),IF(E12="","",UPPER(_xlfn.TEXTJOIN(" ",TRUE,E12,F12,_xlpm.cil,_xlpm.kwh,_xlpm.comb,I12,_xlpm.trans))))</f>
        <v/>
      </c>
      <c r="D12" s="24" t="str" cm="1">
        <f t="array" ref="D12">_xlfn.LET(_xlpm.comb,_xlfn.XLOOKUP(H12,NPF!$A$4:$A$10,NPF!$B$4:$B$10,""),_xlpm.trans,_xlfn.XLOOKUP(J12,NPF!$D$4:$D$7,NPF!$E$4:$E$7,""),_xlpm.orig,NPF!$W$4:$W$33,_xlpm.abr,NPF!$X$4:$X$33,_xlpm.txt,_xlfn.REDUCE(UPPER(TRIM(E12&amp;" "&amp;F12)),_xlfn.SEQUENCE(ROWS(_xlpm.orig)),_xlfn.LAMBDA(_xlpm.a,_xlpm.i,IF(INDEX(_xlpm.orig,_xlpm.i)="",_xlpm.a,SUBSTITUTE(_xlpm.a,UPPER(INDEX(_xlpm.orig,_xlpm.i)),INDEX(_xlpm.abr,_xlpm.i))))),_xlpm.mv,SUBSTITUTE(SUBSTITUTE(SUBSTITUTE(_xlpm.txt,"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12),OR(_xlpm.comb="BEV",_xlpm.comb="PHEV",_xlpm.comb="MHEV")),ROUND(K12,0)&amp;"KWH",""),_xlpm.dec,1,_xlpm.cil,IF(OR(_xlpm.comb="BEV",P12="Motos",P12="Cuatrimotos",G12=""),"",SUBSTITUTE(FIXED(G12/1000,_xlpm.dec,TRUE),",",".")&amp;"L"),_xlpm.modelo,_xlpm.mv&amp;_xlpm.kwh,_xlpm.res,IF(B12="CAMIONES",_xlfn.TEXTJOIN("-",TRUE,_xlpm.modelo,_xlpm.cil,_xlpm.comb,UPPER(I12),_xlpm.trans),IF(B12="VEHICULOS",_xlfn.TEXTJOIN("-",TRUE,_xlpm.modelo,_xlpm.comb,_xlpm.cil,LOWER(I12),_xlpm.trans),"Elija TIPO MATERIAL")),IF(E12="","",_xlpm.res))</f>
        <v/>
      </c>
      <c r="Q12" s="21" t="str">
        <f t="shared" si="0"/>
        <v/>
      </c>
      <c r="R12" s="21" t="str">
        <f t="shared" si="1"/>
        <v/>
      </c>
    </row>
    <row r="13" spans="1:18" x14ac:dyDescent="0.25">
      <c r="C13" s="24" t="str">
        <f>_xlfn.LET(_xlpm.comb,_xlfn.XLOOKUP(H13,NPF!$A$4:$A$10,NPF!$B$4:$B$10,""),_xlpm.trans,_xlfn.XLOOKUP(J13,NPF!$D$4:$D$7,NPF!$E$4:$E$7,""),_xlpm.kwh,IF(AND(ISNUMBER(K13),OR(_xlpm.comb="BEV",_xlpm.comb="PHEV",_xlpm.comb="MHEV")),ROUND(K13,0)&amp;"KWH",""),_xlpm.dec,1,_xlpm.cil,IF(OR(_xlpm.comb="BEV",P13="Motos",P13="Cuatrimotos",G13=""),"",SUBSTITUTE(FIXED(G13/1000,_xlpm.dec,TRUE),",",".")&amp;"L"),IF(E13="","",UPPER(_xlfn.TEXTJOIN(" ",TRUE,E13,F13,_xlpm.cil,_xlpm.kwh,_xlpm.comb,I13,_xlpm.trans))))</f>
        <v/>
      </c>
      <c r="D13" s="24" t="str" cm="1">
        <f t="array" ref="D13">_xlfn.LET(_xlpm.comb,_xlfn.XLOOKUP(H13,NPF!$A$4:$A$10,NPF!$B$4:$B$10,""),_xlpm.trans,_xlfn.XLOOKUP(J13,NPF!$D$4:$D$7,NPF!$E$4:$E$7,""),_xlpm.orig,NPF!$W$4:$W$33,_xlpm.abr,NPF!$X$4:$X$33,_xlpm.txt,_xlfn.REDUCE(UPPER(TRIM(E13&amp;" "&amp;F13)),_xlfn.SEQUENCE(ROWS(_xlpm.orig)),_xlfn.LAMBDA(_xlpm.a,_xlpm.i,IF(INDEX(_xlpm.orig,_xlpm.i)="",_xlpm.a,SUBSTITUTE(_xlpm.a,UPPER(INDEX(_xlpm.orig,_xlpm.i)),INDEX(_xlpm.abr,_xlpm.i))))),_xlpm.mv,SUBSTITUTE(SUBSTITUTE(SUBSTITUTE(_xlpm.txt,"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13),OR(_xlpm.comb="BEV",_xlpm.comb="PHEV",_xlpm.comb="MHEV")),ROUND(K13,0)&amp;"KWH",""),_xlpm.dec,1,_xlpm.cil,IF(OR(_xlpm.comb="BEV",P13="Motos",P13="Cuatrimotos",G13=""),"",SUBSTITUTE(FIXED(G13/1000,_xlpm.dec,TRUE),",",".")&amp;"L"),_xlpm.modelo,_xlpm.mv&amp;_xlpm.kwh,_xlpm.res,IF(B13="CAMIONES",_xlfn.TEXTJOIN("-",TRUE,_xlpm.modelo,_xlpm.cil,_xlpm.comb,UPPER(I13),_xlpm.trans),IF(B13="VEHICULOS",_xlfn.TEXTJOIN("-",TRUE,_xlpm.modelo,_xlpm.comb,_xlpm.cil,LOWER(I13),_xlpm.trans),"Elija TIPO MATERIAL")),IF(E13="","",_xlpm.res))</f>
        <v/>
      </c>
      <c r="Q13" s="21" t="str">
        <f t="shared" si="0"/>
        <v/>
      </c>
      <c r="R13" s="21" t="str">
        <f t="shared" si="1"/>
        <v/>
      </c>
    </row>
    <row r="14" spans="1:18" x14ac:dyDescent="0.25">
      <c r="C14" s="24" t="str">
        <f>_xlfn.LET(_xlpm.comb,_xlfn.XLOOKUP(H14,NPF!$A$4:$A$10,NPF!$B$4:$B$10,""),_xlpm.trans,_xlfn.XLOOKUP(J14,NPF!$D$4:$D$7,NPF!$E$4:$E$7,""),_xlpm.kwh,IF(AND(ISNUMBER(K14),OR(_xlpm.comb="BEV",_xlpm.comb="PHEV",_xlpm.comb="MHEV")),ROUND(K14,0)&amp;"KWH",""),_xlpm.dec,1,_xlpm.cil,IF(OR(_xlpm.comb="BEV",P14="Motos",P14="Cuatrimotos",G14=""),"",SUBSTITUTE(FIXED(G14/1000,_xlpm.dec,TRUE),",",".")&amp;"L"),IF(E14="","",UPPER(_xlfn.TEXTJOIN(" ",TRUE,E14,F14,_xlpm.cil,_xlpm.kwh,_xlpm.comb,I14,_xlpm.trans))))</f>
        <v/>
      </c>
      <c r="D14" s="24" t="str" cm="1">
        <f t="array" ref="D14">_xlfn.LET(_xlpm.comb,_xlfn.XLOOKUP(H14,NPF!$A$4:$A$10,NPF!$B$4:$B$10,""),_xlpm.trans,_xlfn.XLOOKUP(J14,NPF!$D$4:$D$7,NPF!$E$4:$E$7,""),_xlpm.orig,NPF!$W$4:$W$33,_xlpm.abr,NPF!$X$4:$X$33,_xlpm.txt,_xlfn.REDUCE(UPPER(TRIM(E14&amp;" "&amp;F14)),_xlfn.SEQUENCE(ROWS(_xlpm.orig)),_xlfn.LAMBDA(_xlpm.a,_xlpm.i,IF(INDEX(_xlpm.orig,_xlpm.i)="",_xlpm.a,SUBSTITUTE(_xlpm.a,UPPER(INDEX(_xlpm.orig,_xlpm.i)),INDEX(_xlpm.abr,_xlpm.i))))),_xlpm.mv,SUBSTITUTE(SUBSTITUTE(SUBSTITUTE(_xlpm.txt,"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14),OR(_xlpm.comb="BEV",_xlpm.comb="PHEV",_xlpm.comb="MHEV")),ROUND(K14,0)&amp;"KWH",""),_xlpm.dec,1,_xlpm.cil,IF(OR(_xlpm.comb="BEV",P14="Motos",P14="Cuatrimotos",G14=""),"",SUBSTITUTE(FIXED(G14/1000,_xlpm.dec,TRUE),",",".")&amp;"L"),_xlpm.modelo,_xlpm.mv&amp;_xlpm.kwh,_xlpm.res,IF(B14="CAMIONES",_xlfn.TEXTJOIN("-",TRUE,_xlpm.modelo,_xlpm.cil,_xlpm.comb,UPPER(I14),_xlpm.trans),IF(B14="VEHICULOS",_xlfn.TEXTJOIN("-",TRUE,_xlpm.modelo,_xlpm.comb,_xlpm.cil,LOWER(I14),_xlpm.trans),"Elija TIPO MATERIAL")),IF(E14="","",_xlpm.res))</f>
        <v/>
      </c>
      <c r="Q14" s="21" t="str">
        <f t="shared" si="0"/>
        <v/>
      </c>
      <c r="R14" s="21" t="str">
        <f t="shared" si="1"/>
        <v/>
      </c>
    </row>
    <row r="15" spans="1:18" x14ac:dyDescent="0.25">
      <c r="C15" s="24" t="str">
        <f>_xlfn.LET(_xlpm.comb,_xlfn.XLOOKUP(H15,NPF!$A$4:$A$10,NPF!$B$4:$B$10,""),_xlpm.trans,_xlfn.XLOOKUP(J15,NPF!$D$4:$D$7,NPF!$E$4:$E$7,""),_xlpm.kwh,IF(AND(ISNUMBER(K15),OR(_xlpm.comb="BEV",_xlpm.comb="PHEV",_xlpm.comb="MHEV")),ROUND(K15,0)&amp;"KWH",""),_xlpm.dec,1,_xlpm.cil,IF(OR(_xlpm.comb="BEV",P15="Motos",P15="Cuatrimotos",G15=""),"",SUBSTITUTE(FIXED(G15/1000,_xlpm.dec,TRUE),",",".")&amp;"L"),IF(E15="","",UPPER(_xlfn.TEXTJOIN(" ",TRUE,E15,F15,_xlpm.cil,_xlpm.kwh,_xlpm.comb,I15,_xlpm.trans))))</f>
        <v/>
      </c>
      <c r="D15" s="24" t="str" cm="1">
        <f t="array" ref="D15">_xlfn.LET(_xlpm.comb,_xlfn.XLOOKUP(H15,NPF!$A$4:$A$10,NPF!$B$4:$B$10,""),_xlpm.trans,_xlfn.XLOOKUP(J15,NPF!$D$4:$D$7,NPF!$E$4:$E$7,""),_xlpm.orig,NPF!$W$4:$W$33,_xlpm.abr,NPF!$X$4:$X$33,_xlpm.txt,_xlfn.REDUCE(UPPER(TRIM(E15&amp;" "&amp;F15)),_xlfn.SEQUENCE(ROWS(_xlpm.orig)),_xlfn.LAMBDA(_xlpm.a,_xlpm.i,IF(INDEX(_xlpm.orig,_xlpm.i)="",_xlpm.a,SUBSTITUTE(_xlpm.a,UPPER(INDEX(_xlpm.orig,_xlpm.i)),INDEX(_xlpm.abr,_xlpm.i))))),_xlpm.mv,SUBSTITUTE(SUBSTITUTE(SUBSTITUTE(_xlpm.txt,"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15),OR(_xlpm.comb="BEV",_xlpm.comb="PHEV",_xlpm.comb="MHEV")),ROUND(K15,0)&amp;"KWH",""),_xlpm.dec,1,_xlpm.cil,IF(OR(_xlpm.comb="BEV",P15="Motos",P15="Cuatrimotos",G15=""),"",SUBSTITUTE(FIXED(G15/1000,_xlpm.dec,TRUE),",",".")&amp;"L"),_xlpm.modelo,_xlpm.mv&amp;_xlpm.kwh,_xlpm.res,IF(B15="CAMIONES",_xlfn.TEXTJOIN("-",TRUE,_xlpm.modelo,_xlpm.cil,_xlpm.comb,UPPER(I15),_xlpm.trans),IF(B15="VEHICULOS",_xlfn.TEXTJOIN("-",TRUE,_xlpm.modelo,_xlpm.comb,_xlpm.cil,LOWER(I15),_xlpm.trans),"Elija TIPO MATERIAL")),IF(E15="","",_xlpm.res))</f>
        <v/>
      </c>
      <c r="Q15" s="21" t="str">
        <f t="shared" si="0"/>
        <v/>
      </c>
      <c r="R15" s="21" t="str">
        <f t="shared" si="1"/>
        <v/>
      </c>
    </row>
    <row r="16" spans="1:18" x14ac:dyDescent="0.25">
      <c r="C16" s="24" t="str">
        <f>_xlfn.LET(_xlpm.comb,_xlfn.XLOOKUP(H16,NPF!$A$4:$A$10,NPF!$B$4:$B$10,""),_xlpm.trans,_xlfn.XLOOKUP(J16,NPF!$D$4:$D$7,NPF!$E$4:$E$7,""),_xlpm.kwh,IF(AND(ISNUMBER(K16),OR(_xlpm.comb="BEV",_xlpm.comb="PHEV",_xlpm.comb="MHEV")),ROUND(K16,0)&amp;"KWH",""),_xlpm.dec,1,_xlpm.cil,IF(OR(_xlpm.comb="BEV",P16="Motos",P16="Cuatrimotos",G16=""),"",SUBSTITUTE(FIXED(G16/1000,_xlpm.dec,TRUE),",",".")&amp;"L"),IF(E16="","",UPPER(_xlfn.TEXTJOIN(" ",TRUE,E16,F16,_xlpm.cil,_xlpm.kwh,_xlpm.comb,I16,_xlpm.trans))))</f>
        <v/>
      </c>
      <c r="D16" s="24" t="str" cm="1">
        <f t="array" ref="D16">_xlfn.LET(_xlpm.comb,_xlfn.XLOOKUP(H16,NPF!$A$4:$A$10,NPF!$B$4:$B$10,""),_xlpm.trans,_xlfn.XLOOKUP(J16,NPF!$D$4:$D$7,NPF!$E$4:$E$7,""),_xlpm.orig,NPF!$W$4:$W$33,_xlpm.abr,NPF!$X$4:$X$33,_xlpm.txt,_xlfn.REDUCE(UPPER(TRIM(E16&amp;" "&amp;F16)),_xlfn.SEQUENCE(ROWS(_xlpm.orig)),_xlfn.LAMBDA(_xlpm.a,_xlpm.i,IF(INDEX(_xlpm.orig,_xlpm.i)="",_xlpm.a,SUBSTITUTE(_xlpm.a,UPPER(INDEX(_xlpm.orig,_xlpm.i)),INDEX(_xlpm.abr,_xlpm.i))))),_xlpm.mv,SUBSTITUTE(SUBSTITUTE(SUBSTITUTE(_xlpm.txt,"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16),OR(_xlpm.comb="BEV",_xlpm.comb="PHEV",_xlpm.comb="MHEV")),ROUND(K16,0)&amp;"KWH",""),_xlpm.dec,1,_xlpm.cil,IF(OR(_xlpm.comb="BEV",P16="Motos",P16="Cuatrimotos",G16=""),"",SUBSTITUTE(FIXED(G16/1000,_xlpm.dec,TRUE),",",".")&amp;"L"),_xlpm.modelo,_xlpm.mv&amp;_xlpm.kwh,_xlpm.res,IF(B16="CAMIONES",_xlfn.TEXTJOIN("-",TRUE,_xlpm.modelo,_xlpm.cil,_xlpm.comb,UPPER(I16),_xlpm.trans),IF(B16="VEHICULOS",_xlfn.TEXTJOIN("-",TRUE,_xlpm.modelo,_xlpm.comb,_xlpm.cil,LOWER(I16),_xlpm.trans),"Elija TIPO MATERIAL")),IF(E16="","",_xlpm.res))</f>
        <v/>
      </c>
      <c r="Q16" s="21" t="str">
        <f t="shared" si="0"/>
        <v/>
      </c>
      <c r="R16" s="21" t="str">
        <f t="shared" si="1"/>
        <v/>
      </c>
    </row>
    <row r="17" spans="3:18" x14ac:dyDescent="0.25">
      <c r="C17" s="24" t="str">
        <f>_xlfn.LET(_xlpm.comb,_xlfn.XLOOKUP(H17,NPF!$A$4:$A$10,NPF!$B$4:$B$10,""),_xlpm.trans,_xlfn.XLOOKUP(J17,NPF!$D$4:$D$7,NPF!$E$4:$E$7,""),_xlpm.kwh,IF(AND(ISNUMBER(K17),OR(_xlpm.comb="BEV",_xlpm.comb="PHEV",_xlpm.comb="MHEV")),ROUND(K17,0)&amp;"KWH",""),_xlpm.dec,1,_xlpm.cil,IF(OR(_xlpm.comb="BEV",P17="Motos",P17="Cuatrimotos",G17=""),"",SUBSTITUTE(FIXED(G17/1000,_xlpm.dec,TRUE),",",".")&amp;"L"),IF(E17="","",UPPER(_xlfn.TEXTJOIN(" ",TRUE,E17,F17,_xlpm.cil,_xlpm.kwh,_xlpm.comb,I17,_xlpm.trans))))</f>
        <v/>
      </c>
      <c r="D17" s="24" t="str" cm="1">
        <f t="array" ref="D17">_xlfn.LET(_xlpm.comb,_xlfn.XLOOKUP(H17,NPF!$A$4:$A$10,NPF!$B$4:$B$10,""),_xlpm.trans,_xlfn.XLOOKUP(J17,NPF!$D$4:$D$7,NPF!$E$4:$E$7,""),_xlpm.orig,NPF!$W$4:$W$33,_xlpm.abr,NPF!$X$4:$X$33,_xlpm.txt,_xlfn.REDUCE(UPPER(TRIM(E17&amp;" "&amp;F17)),_xlfn.SEQUENCE(ROWS(_xlpm.orig)),_xlfn.LAMBDA(_xlpm.a,_xlpm.i,IF(INDEX(_xlpm.orig,_xlpm.i)="",_xlpm.a,SUBSTITUTE(_xlpm.a,UPPER(INDEX(_xlpm.orig,_xlpm.i)),INDEX(_xlpm.abr,_xlpm.i))))),_xlpm.mv,SUBSTITUTE(SUBSTITUTE(SUBSTITUTE(_xlpm.txt,"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17),OR(_xlpm.comb="BEV",_xlpm.comb="PHEV",_xlpm.comb="MHEV")),ROUND(K17,0)&amp;"KWH",""),_xlpm.dec,1,_xlpm.cil,IF(OR(_xlpm.comb="BEV",P17="Motos",P17="Cuatrimotos",G17=""),"",SUBSTITUTE(FIXED(G17/1000,_xlpm.dec,TRUE),",",".")&amp;"L"),_xlpm.modelo,_xlpm.mv&amp;_xlpm.kwh,_xlpm.res,IF(B17="CAMIONES",_xlfn.TEXTJOIN("-",TRUE,_xlpm.modelo,_xlpm.cil,_xlpm.comb,UPPER(I17),_xlpm.trans),IF(B17="VEHICULOS",_xlfn.TEXTJOIN("-",TRUE,_xlpm.modelo,_xlpm.comb,_xlpm.cil,LOWER(I17),_xlpm.trans),"Elija TIPO MATERIAL")),IF(E17="","",_xlpm.res))</f>
        <v/>
      </c>
      <c r="Q17" s="21" t="str">
        <f t="shared" si="0"/>
        <v/>
      </c>
      <c r="R17" s="21" t="str">
        <f t="shared" si="1"/>
        <v/>
      </c>
    </row>
    <row r="18" spans="3:18" x14ac:dyDescent="0.25">
      <c r="C18" s="24" t="str">
        <f>_xlfn.LET(_xlpm.comb,_xlfn.XLOOKUP(H18,NPF!$A$4:$A$10,NPF!$B$4:$B$10,""),_xlpm.trans,_xlfn.XLOOKUP(J18,NPF!$D$4:$D$7,NPF!$E$4:$E$7,""),_xlpm.kwh,IF(AND(ISNUMBER(K18),OR(_xlpm.comb="BEV",_xlpm.comb="PHEV",_xlpm.comb="MHEV")),ROUND(K18,0)&amp;"KWH",""),_xlpm.dec,1,_xlpm.cil,IF(OR(_xlpm.comb="BEV",P18="Motos",P18="Cuatrimotos",G18=""),"",SUBSTITUTE(FIXED(G18/1000,_xlpm.dec,TRUE),",",".")&amp;"L"),IF(E18="","",UPPER(_xlfn.TEXTJOIN(" ",TRUE,E18,F18,_xlpm.cil,_xlpm.kwh,_xlpm.comb,I18,_xlpm.trans))))</f>
        <v/>
      </c>
      <c r="D18" s="24" t="str" cm="1">
        <f t="array" ref="D18">_xlfn.LET(_xlpm.comb,_xlfn.XLOOKUP(H18,NPF!$A$4:$A$10,NPF!$B$4:$B$10,""),_xlpm.trans,_xlfn.XLOOKUP(J18,NPF!$D$4:$D$7,NPF!$E$4:$E$7,""),_xlpm.orig,NPF!$W$4:$W$33,_xlpm.abr,NPF!$X$4:$X$33,_xlpm.txt,_xlfn.REDUCE(UPPER(TRIM(E18&amp;" "&amp;F18)),_xlfn.SEQUENCE(ROWS(_xlpm.orig)),_xlfn.LAMBDA(_xlpm.a,_xlpm.i,IF(INDEX(_xlpm.orig,_xlpm.i)="",_xlpm.a,SUBSTITUTE(_xlpm.a,UPPER(INDEX(_xlpm.orig,_xlpm.i)),INDEX(_xlpm.abr,_xlpm.i))))),_xlpm.mv,SUBSTITUTE(SUBSTITUTE(SUBSTITUTE(_xlpm.txt,"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18),OR(_xlpm.comb="BEV",_xlpm.comb="PHEV",_xlpm.comb="MHEV")),ROUND(K18,0)&amp;"KWH",""),_xlpm.dec,1,_xlpm.cil,IF(OR(_xlpm.comb="BEV",P18="Motos",P18="Cuatrimotos",G18=""),"",SUBSTITUTE(FIXED(G18/1000,_xlpm.dec,TRUE),",",".")&amp;"L"),_xlpm.modelo,_xlpm.mv&amp;_xlpm.kwh,_xlpm.res,IF(B18="CAMIONES",_xlfn.TEXTJOIN("-",TRUE,_xlpm.modelo,_xlpm.cil,_xlpm.comb,UPPER(I18),_xlpm.trans),IF(B18="VEHICULOS",_xlfn.TEXTJOIN("-",TRUE,_xlpm.modelo,_xlpm.comb,_xlpm.cil,LOWER(I18),_xlpm.trans),"Elija TIPO MATERIAL")),IF(E18="","",_xlpm.res))</f>
        <v/>
      </c>
      <c r="Q18" s="21" t="str">
        <f t="shared" si="0"/>
        <v/>
      </c>
      <c r="R18" s="21" t="str">
        <f t="shared" si="1"/>
        <v/>
      </c>
    </row>
    <row r="19" spans="3:18" x14ac:dyDescent="0.25">
      <c r="C19" s="24" t="str">
        <f>_xlfn.LET(_xlpm.comb,_xlfn.XLOOKUP(H19,NPF!$A$4:$A$10,NPF!$B$4:$B$10,""),_xlpm.trans,_xlfn.XLOOKUP(J19,NPF!$D$4:$D$7,NPF!$E$4:$E$7,""),_xlpm.kwh,IF(AND(ISNUMBER(K19),OR(_xlpm.comb="BEV",_xlpm.comb="PHEV",_xlpm.comb="MHEV")),ROUND(K19,0)&amp;"KWH",""),_xlpm.dec,1,_xlpm.cil,IF(OR(_xlpm.comb="BEV",P19="Motos",P19="Cuatrimotos",G19=""),"",SUBSTITUTE(FIXED(G19/1000,_xlpm.dec,TRUE),",",".")&amp;"L"),IF(E19="","",UPPER(_xlfn.TEXTJOIN(" ",TRUE,E19,F19,_xlpm.cil,_xlpm.kwh,_xlpm.comb,I19,_xlpm.trans))))</f>
        <v/>
      </c>
      <c r="D19" s="24" t="str" cm="1">
        <f t="array" ref="D19">_xlfn.LET(_xlpm.comb,_xlfn.XLOOKUP(H19,NPF!$A$4:$A$10,NPF!$B$4:$B$10,""),_xlpm.trans,_xlfn.XLOOKUP(J19,NPF!$D$4:$D$7,NPF!$E$4:$E$7,""),_xlpm.orig,NPF!$W$4:$W$33,_xlpm.abr,NPF!$X$4:$X$33,_xlpm.txt,_xlfn.REDUCE(UPPER(TRIM(E19&amp;" "&amp;F19)),_xlfn.SEQUENCE(ROWS(_xlpm.orig)),_xlfn.LAMBDA(_xlpm.a,_xlpm.i,IF(INDEX(_xlpm.orig,_xlpm.i)="",_xlpm.a,SUBSTITUTE(_xlpm.a,UPPER(INDEX(_xlpm.orig,_xlpm.i)),INDEX(_xlpm.abr,_xlpm.i))))),_xlpm.mv,SUBSTITUTE(SUBSTITUTE(SUBSTITUTE(_xlpm.txt,"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19),OR(_xlpm.comb="BEV",_xlpm.comb="PHEV",_xlpm.comb="MHEV")),ROUND(K19,0)&amp;"KWH",""),_xlpm.dec,1,_xlpm.cil,IF(OR(_xlpm.comb="BEV",P19="Motos",P19="Cuatrimotos",G19=""),"",SUBSTITUTE(FIXED(G19/1000,_xlpm.dec,TRUE),",",".")&amp;"L"),_xlpm.modelo,_xlpm.mv&amp;_xlpm.kwh,_xlpm.res,IF(B19="CAMIONES",_xlfn.TEXTJOIN("-",TRUE,_xlpm.modelo,_xlpm.cil,_xlpm.comb,UPPER(I19),_xlpm.trans),IF(B19="VEHICULOS",_xlfn.TEXTJOIN("-",TRUE,_xlpm.modelo,_xlpm.comb,_xlpm.cil,LOWER(I19),_xlpm.trans),"Elija TIPO MATERIAL")),IF(E19="","",_xlpm.res))</f>
        <v/>
      </c>
      <c r="Q19" s="21" t="str">
        <f t="shared" si="0"/>
        <v/>
      </c>
      <c r="R19" s="21" t="str">
        <f t="shared" si="1"/>
        <v/>
      </c>
    </row>
    <row r="20" spans="3:18" x14ac:dyDescent="0.25">
      <c r="C20" s="24" t="str">
        <f>_xlfn.LET(_xlpm.comb,_xlfn.XLOOKUP(H20,NPF!$A$4:$A$10,NPF!$B$4:$B$10,""),_xlpm.trans,_xlfn.XLOOKUP(J20,NPF!$D$4:$D$7,NPF!$E$4:$E$7,""),_xlpm.kwh,IF(AND(ISNUMBER(K20),OR(_xlpm.comb="BEV",_xlpm.comb="PHEV",_xlpm.comb="MHEV")),ROUND(K20,0)&amp;"KWH",""),_xlpm.dec,1,_xlpm.cil,IF(OR(_xlpm.comb="BEV",P20="Motos",P20="Cuatrimotos",G20=""),"",SUBSTITUTE(FIXED(G20/1000,_xlpm.dec,TRUE),",",".")&amp;"L"),IF(E20="","",UPPER(_xlfn.TEXTJOIN(" ",TRUE,E20,F20,_xlpm.cil,_xlpm.kwh,_xlpm.comb,I20,_xlpm.trans))))</f>
        <v/>
      </c>
      <c r="D20" s="24" t="str" cm="1">
        <f t="array" ref="D20">_xlfn.LET(_xlpm.comb,_xlfn.XLOOKUP(H20,NPF!$A$4:$A$10,NPF!$B$4:$B$10,""),_xlpm.trans,_xlfn.XLOOKUP(J20,NPF!$D$4:$D$7,NPF!$E$4:$E$7,""),_xlpm.orig,NPF!$W$4:$W$33,_xlpm.abr,NPF!$X$4:$X$33,_xlpm.txt,_xlfn.REDUCE(UPPER(TRIM(E20&amp;" "&amp;F20)),_xlfn.SEQUENCE(ROWS(_xlpm.orig)),_xlfn.LAMBDA(_xlpm.a,_xlpm.i,IF(INDEX(_xlpm.orig,_xlpm.i)="",_xlpm.a,SUBSTITUTE(_xlpm.a,UPPER(INDEX(_xlpm.orig,_xlpm.i)),INDEX(_xlpm.abr,_xlpm.i))))),_xlpm.mv,SUBSTITUTE(SUBSTITUTE(SUBSTITUTE(_xlpm.txt,"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20),OR(_xlpm.comb="BEV",_xlpm.comb="PHEV",_xlpm.comb="MHEV")),ROUND(K20,0)&amp;"KWH",""),_xlpm.dec,1,_xlpm.cil,IF(OR(_xlpm.comb="BEV",P20="Motos",P20="Cuatrimotos",G20=""),"",SUBSTITUTE(FIXED(G20/1000,_xlpm.dec,TRUE),",",".")&amp;"L"),_xlpm.modelo,_xlpm.mv&amp;_xlpm.kwh,_xlpm.res,IF(B20="CAMIONES",_xlfn.TEXTJOIN("-",TRUE,_xlpm.modelo,_xlpm.cil,_xlpm.comb,UPPER(I20),_xlpm.trans),IF(B20="VEHICULOS",_xlfn.TEXTJOIN("-",TRUE,_xlpm.modelo,_xlpm.comb,_xlpm.cil,LOWER(I20),_xlpm.trans),"Elija TIPO MATERIAL")),IF(E20="","",_xlpm.res))</f>
        <v/>
      </c>
      <c r="Q20" s="21" t="str">
        <f t="shared" si="0"/>
        <v/>
      </c>
      <c r="R20" s="21" t="str">
        <f t="shared" si="1"/>
        <v/>
      </c>
    </row>
    <row r="21" spans="3:18" x14ac:dyDescent="0.25">
      <c r="C21" s="24" t="str">
        <f>_xlfn.LET(_xlpm.comb,_xlfn.XLOOKUP(H21,NPF!$A$4:$A$10,NPF!$B$4:$B$10,""),_xlpm.trans,_xlfn.XLOOKUP(J21,NPF!$D$4:$D$7,NPF!$E$4:$E$7,""),_xlpm.kwh,IF(AND(ISNUMBER(K21),OR(_xlpm.comb="BEV",_xlpm.comb="PHEV",_xlpm.comb="MHEV")),ROUND(K21,0)&amp;"KWH",""),_xlpm.dec,1,_xlpm.cil,IF(OR(_xlpm.comb="BEV",P21="Motos",P21="Cuatrimotos",G21=""),"",SUBSTITUTE(FIXED(G21/1000,_xlpm.dec,TRUE),",",".")&amp;"L"),IF(E21="","",UPPER(_xlfn.TEXTJOIN(" ",TRUE,E21,F21,_xlpm.cil,_xlpm.kwh,_xlpm.comb,I21,_xlpm.trans))))</f>
        <v/>
      </c>
      <c r="D21" s="24" t="str" cm="1">
        <f t="array" ref="D21">_xlfn.LET(_xlpm.comb,_xlfn.XLOOKUP(H21,NPF!$A$4:$A$10,NPF!$B$4:$B$10,""),_xlpm.trans,_xlfn.XLOOKUP(J21,NPF!$D$4:$D$7,NPF!$E$4:$E$7,""),_xlpm.orig,NPF!$W$4:$W$33,_xlpm.abr,NPF!$X$4:$X$33,_xlpm.txt,_xlfn.REDUCE(UPPER(TRIM(E21&amp;" "&amp;F21)),_xlfn.SEQUENCE(ROWS(_xlpm.orig)),_xlfn.LAMBDA(_xlpm.a,_xlpm.i,IF(INDEX(_xlpm.orig,_xlpm.i)="",_xlpm.a,SUBSTITUTE(_xlpm.a,UPPER(INDEX(_xlpm.orig,_xlpm.i)),INDEX(_xlpm.abr,_xlpm.i))))),_xlpm.mv,SUBSTITUTE(SUBSTITUTE(SUBSTITUTE(_xlpm.txt,"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21),OR(_xlpm.comb="BEV",_xlpm.comb="PHEV",_xlpm.comb="MHEV")),ROUND(K21,0)&amp;"KWH",""),_xlpm.dec,1,_xlpm.cil,IF(OR(_xlpm.comb="BEV",P21="Motos",P21="Cuatrimotos",G21=""),"",SUBSTITUTE(FIXED(G21/1000,_xlpm.dec,TRUE),",",".")&amp;"L"),_xlpm.modelo,_xlpm.mv&amp;_xlpm.kwh,_xlpm.res,IF(B21="CAMIONES",_xlfn.TEXTJOIN("-",TRUE,_xlpm.modelo,_xlpm.cil,_xlpm.comb,UPPER(I21),_xlpm.trans),IF(B21="VEHICULOS",_xlfn.TEXTJOIN("-",TRUE,_xlpm.modelo,_xlpm.comb,_xlpm.cil,LOWER(I21),_xlpm.trans),"Elija TIPO MATERIAL")),IF(E21="","",_xlpm.res))</f>
        <v/>
      </c>
      <c r="Q21" s="21" t="str">
        <f t="shared" si="0"/>
        <v/>
      </c>
      <c r="R21" s="21" t="str">
        <f t="shared" si="1"/>
        <v/>
      </c>
    </row>
    <row r="22" spans="3:18" x14ac:dyDescent="0.25">
      <c r="C22" s="24" t="str">
        <f>_xlfn.LET(_xlpm.comb,_xlfn.XLOOKUP(H22,NPF!$A$4:$A$10,NPF!$B$4:$B$10,""),_xlpm.trans,_xlfn.XLOOKUP(J22,NPF!$D$4:$D$7,NPF!$E$4:$E$7,""),_xlpm.kwh,IF(AND(ISNUMBER(K22),OR(_xlpm.comb="BEV",_xlpm.comb="PHEV",_xlpm.comb="MHEV")),ROUND(K22,0)&amp;"KWH",""),_xlpm.dec,1,_xlpm.cil,IF(OR(_xlpm.comb="BEV",P22="Motos",P22="Cuatrimotos",G22=""),"",SUBSTITUTE(FIXED(G22/1000,_xlpm.dec,TRUE),",",".")&amp;"L"),IF(E22="","",UPPER(_xlfn.TEXTJOIN(" ",TRUE,E22,F22,_xlpm.cil,_xlpm.kwh,_xlpm.comb,I22,_xlpm.trans))))</f>
        <v/>
      </c>
      <c r="D22" s="24" t="str" cm="1">
        <f t="array" ref="D22">_xlfn.LET(_xlpm.comb,_xlfn.XLOOKUP(H22,NPF!$A$4:$A$10,NPF!$B$4:$B$10,""),_xlpm.trans,_xlfn.XLOOKUP(J22,NPF!$D$4:$D$7,NPF!$E$4:$E$7,""),_xlpm.orig,NPF!$W$4:$W$33,_xlpm.abr,NPF!$X$4:$X$33,_xlpm.txt,_xlfn.REDUCE(UPPER(TRIM(E22&amp;" "&amp;F22)),_xlfn.SEQUENCE(ROWS(_xlpm.orig)),_xlfn.LAMBDA(_xlpm.a,_xlpm.i,IF(INDEX(_xlpm.orig,_xlpm.i)="",_xlpm.a,SUBSTITUTE(_xlpm.a,UPPER(INDEX(_xlpm.orig,_xlpm.i)),INDEX(_xlpm.abr,_xlpm.i))))),_xlpm.mv,SUBSTITUTE(SUBSTITUTE(SUBSTITUTE(_xlpm.txt,"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22),OR(_xlpm.comb="BEV",_xlpm.comb="PHEV",_xlpm.comb="MHEV")),ROUND(K22,0)&amp;"KWH",""),_xlpm.dec,1,_xlpm.cil,IF(OR(_xlpm.comb="BEV",P22="Motos",P22="Cuatrimotos",G22=""),"",SUBSTITUTE(FIXED(G22/1000,_xlpm.dec,TRUE),",",".")&amp;"L"),_xlpm.modelo,_xlpm.mv&amp;_xlpm.kwh,_xlpm.res,IF(B22="CAMIONES",_xlfn.TEXTJOIN("-",TRUE,_xlpm.modelo,_xlpm.cil,_xlpm.comb,UPPER(I22),_xlpm.trans),IF(B22="VEHICULOS",_xlfn.TEXTJOIN("-",TRUE,_xlpm.modelo,_xlpm.comb,_xlpm.cil,LOWER(I22),_xlpm.trans),"Elija TIPO MATERIAL")),IF(E22="","",_xlpm.res))</f>
        <v/>
      </c>
      <c r="Q22" s="21" t="str">
        <f t="shared" si="0"/>
        <v/>
      </c>
      <c r="R22" s="21" t="str">
        <f t="shared" si="1"/>
        <v/>
      </c>
    </row>
    <row r="23" spans="3:18" x14ac:dyDescent="0.25">
      <c r="C23" s="24" t="str">
        <f>_xlfn.LET(_xlpm.comb,_xlfn.XLOOKUP(H23,NPF!$A$4:$A$10,NPF!$B$4:$B$10,""),_xlpm.trans,_xlfn.XLOOKUP(J23,NPF!$D$4:$D$7,NPF!$E$4:$E$7,""),_xlpm.kwh,IF(AND(ISNUMBER(K23),OR(_xlpm.comb="BEV",_xlpm.comb="PHEV",_xlpm.comb="MHEV")),ROUND(K23,0)&amp;"KWH",""),_xlpm.dec,1,_xlpm.cil,IF(OR(_xlpm.comb="BEV",P23="Motos",P23="Cuatrimotos",G23=""),"",SUBSTITUTE(FIXED(G23/1000,_xlpm.dec,TRUE),",",".")&amp;"L"),IF(E23="","",UPPER(_xlfn.TEXTJOIN(" ",TRUE,E23,F23,_xlpm.cil,_xlpm.kwh,_xlpm.comb,I23,_xlpm.trans))))</f>
        <v/>
      </c>
      <c r="D23" s="24" t="str" cm="1">
        <f t="array" ref="D23">_xlfn.LET(_xlpm.comb,_xlfn.XLOOKUP(H23,NPF!$A$4:$A$10,NPF!$B$4:$B$10,""),_xlpm.trans,_xlfn.XLOOKUP(J23,NPF!$D$4:$D$7,NPF!$E$4:$E$7,""),_xlpm.orig,NPF!$W$4:$W$33,_xlpm.abr,NPF!$X$4:$X$33,_xlpm.txt,_xlfn.REDUCE(UPPER(TRIM(E23&amp;" "&amp;F23)),_xlfn.SEQUENCE(ROWS(_xlpm.orig)),_xlfn.LAMBDA(_xlpm.a,_xlpm.i,IF(INDEX(_xlpm.orig,_xlpm.i)="",_xlpm.a,SUBSTITUTE(_xlpm.a,UPPER(INDEX(_xlpm.orig,_xlpm.i)),INDEX(_xlpm.abr,_xlpm.i))))),_xlpm.mv,SUBSTITUTE(SUBSTITUTE(SUBSTITUTE(_xlpm.txt,"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23),OR(_xlpm.comb="BEV",_xlpm.comb="PHEV",_xlpm.comb="MHEV")),ROUND(K23,0)&amp;"KWH",""),_xlpm.dec,1,_xlpm.cil,IF(OR(_xlpm.comb="BEV",P23="Motos",P23="Cuatrimotos",G23=""),"",SUBSTITUTE(FIXED(G23/1000,_xlpm.dec,TRUE),",",".")&amp;"L"),_xlpm.modelo,_xlpm.mv&amp;_xlpm.kwh,_xlpm.res,IF(B23="CAMIONES",_xlfn.TEXTJOIN("-",TRUE,_xlpm.modelo,_xlpm.cil,_xlpm.comb,UPPER(I23),_xlpm.trans),IF(B23="VEHICULOS",_xlfn.TEXTJOIN("-",TRUE,_xlpm.modelo,_xlpm.comb,_xlpm.cil,LOWER(I23),_xlpm.trans),"Elija TIPO MATERIAL")),IF(E23="","",_xlpm.res))</f>
        <v/>
      </c>
      <c r="Q23" s="21" t="str">
        <f t="shared" si="0"/>
        <v/>
      </c>
      <c r="R23" s="21" t="str">
        <f t="shared" si="1"/>
        <v/>
      </c>
    </row>
    <row r="24" spans="3:18" x14ac:dyDescent="0.25">
      <c r="C24" s="24" t="str">
        <f>_xlfn.LET(_xlpm.comb,_xlfn.XLOOKUP(H24,NPF!$A$4:$A$10,NPF!$B$4:$B$10,""),_xlpm.trans,_xlfn.XLOOKUP(J24,NPF!$D$4:$D$7,NPF!$E$4:$E$7,""),_xlpm.kwh,IF(AND(ISNUMBER(K24),OR(_xlpm.comb="BEV",_xlpm.comb="PHEV",_xlpm.comb="MHEV")),ROUND(K24,0)&amp;"KWH",""),_xlpm.dec,1,_xlpm.cil,IF(OR(_xlpm.comb="BEV",P24="Motos",P24="Cuatrimotos",G24=""),"",SUBSTITUTE(FIXED(G24/1000,_xlpm.dec,TRUE),",",".")&amp;"L"),IF(E24="","",UPPER(_xlfn.TEXTJOIN(" ",TRUE,E24,F24,_xlpm.cil,_xlpm.kwh,_xlpm.comb,I24,_xlpm.trans))))</f>
        <v/>
      </c>
      <c r="D24" s="24" t="str" cm="1">
        <f t="array" ref="D24">_xlfn.LET(_xlpm.comb,_xlfn.XLOOKUP(H24,NPF!$A$4:$A$10,NPF!$B$4:$B$10,""),_xlpm.trans,_xlfn.XLOOKUP(J24,NPF!$D$4:$D$7,NPF!$E$4:$E$7,""),_xlpm.orig,NPF!$W$4:$W$33,_xlpm.abr,NPF!$X$4:$X$33,_xlpm.txt,_xlfn.REDUCE(UPPER(TRIM(E24&amp;" "&amp;F24)),_xlfn.SEQUENCE(ROWS(_xlpm.orig)),_xlfn.LAMBDA(_xlpm.a,_xlpm.i,IF(INDEX(_xlpm.orig,_xlpm.i)="",_xlpm.a,SUBSTITUTE(_xlpm.a,UPPER(INDEX(_xlpm.orig,_xlpm.i)),INDEX(_xlpm.abr,_xlpm.i))))),_xlpm.mv,SUBSTITUTE(SUBSTITUTE(SUBSTITUTE(_xlpm.txt,"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24),OR(_xlpm.comb="BEV",_xlpm.comb="PHEV",_xlpm.comb="MHEV")),ROUND(K24,0)&amp;"KWH",""),_xlpm.dec,1,_xlpm.cil,IF(OR(_xlpm.comb="BEV",P24="Motos",P24="Cuatrimotos",G24=""),"",SUBSTITUTE(FIXED(G24/1000,_xlpm.dec,TRUE),",",".")&amp;"L"),_xlpm.modelo,_xlpm.mv&amp;_xlpm.kwh,_xlpm.res,IF(B24="CAMIONES",_xlfn.TEXTJOIN("-",TRUE,_xlpm.modelo,_xlpm.cil,_xlpm.comb,UPPER(I24),_xlpm.trans),IF(B24="VEHICULOS",_xlfn.TEXTJOIN("-",TRUE,_xlpm.modelo,_xlpm.comb,_xlpm.cil,LOWER(I24),_xlpm.trans),"Elija TIPO MATERIAL")),IF(E24="","",_xlpm.res))</f>
        <v/>
      </c>
      <c r="Q24" s="21" t="str">
        <f t="shared" si="0"/>
        <v/>
      </c>
      <c r="R24" s="21" t="str">
        <f t="shared" si="1"/>
        <v/>
      </c>
    </row>
    <row r="25" spans="3:18" x14ac:dyDescent="0.25">
      <c r="C25" s="24" t="str">
        <f>_xlfn.LET(_xlpm.comb,_xlfn.XLOOKUP(H25,NPF!$A$4:$A$10,NPF!$B$4:$B$10,""),_xlpm.trans,_xlfn.XLOOKUP(J25,NPF!$D$4:$D$7,NPF!$E$4:$E$7,""),_xlpm.kwh,IF(AND(ISNUMBER(K25),OR(_xlpm.comb="BEV",_xlpm.comb="PHEV",_xlpm.comb="MHEV")),ROUND(K25,0)&amp;"KWH",""),_xlpm.dec,1,_xlpm.cil,IF(OR(_xlpm.comb="BEV",P25="Motos",P25="Cuatrimotos",G25=""),"",SUBSTITUTE(FIXED(G25/1000,_xlpm.dec,TRUE),",",".")&amp;"L"),IF(E25="","",UPPER(_xlfn.TEXTJOIN(" ",TRUE,E25,F25,_xlpm.cil,_xlpm.kwh,_xlpm.comb,I25,_xlpm.trans))))</f>
        <v/>
      </c>
      <c r="D25" s="24" t="str" cm="1">
        <f t="array" ref="D25">_xlfn.LET(_xlpm.comb,_xlfn.XLOOKUP(H25,NPF!$A$4:$A$10,NPF!$B$4:$B$10,""),_xlpm.trans,_xlfn.XLOOKUP(J25,NPF!$D$4:$D$7,NPF!$E$4:$E$7,""),_xlpm.orig,NPF!$W$4:$W$33,_xlpm.abr,NPF!$X$4:$X$33,_xlpm.txt,_xlfn.REDUCE(UPPER(TRIM(E25&amp;" "&amp;F25)),_xlfn.SEQUENCE(ROWS(_xlpm.orig)),_xlfn.LAMBDA(_xlpm.a,_xlpm.i,IF(INDEX(_xlpm.orig,_xlpm.i)="",_xlpm.a,SUBSTITUTE(_xlpm.a,UPPER(INDEX(_xlpm.orig,_xlpm.i)),INDEX(_xlpm.abr,_xlpm.i))))),_xlpm.mv,SUBSTITUTE(SUBSTITUTE(SUBSTITUTE(_xlpm.txt,"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25),OR(_xlpm.comb="BEV",_xlpm.comb="PHEV",_xlpm.comb="MHEV")),ROUND(K25,0)&amp;"KWH",""),_xlpm.dec,1,_xlpm.cil,IF(OR(_xlpm.comb="BEV",P25="Motos",P25="Cuatrimotos",G25=""),"",SUBSTITUTE(FIXED(G25/1000,_xlpm.dec,TRUE),",",".")&amp;"L"),_xlpm.modelo,_xlpm.mv&amp;_xlpm.kwh,_xlpm.res,IF(B25="CAMIONES",_xlfn.TEXTJOIN("-",TRUE,_xlpm.modelo,_xlpm.cil,_xlpm.comb,UPPER(I25),_xlpm.trans),IF(B25="VEHICULOS",_xlfn.TEXTJOIN("-",TRUE,_xlpm.modelo,_xlpm.comb,_xlpm.cil,LOWER(I25),_xlpm.trans),"Elija TIPO MATERIAL")),IF(E25="","",_xlpm.res))</f>
        <v/>
      </c>
      <c r="Q25" s="21" t="str">
        <f t="shared" si="0"/>
        <v/>
      </c>
      <c r="R25" s="21" t="str">
        <f t="shared" si="1"/>
        <v/>
      </c>
    </row>
    <row r="26" spans="3:18" x14ac:dyDescent="0.25">
      <c r="C26" s="24" t="str">
        <f>_xlfn.LET(_xlpm.comb,_xlfn.XLOOKUP(H26,NPF!$A$4:$A$10,NPF!$B$4:$B$10,""),_xlpm.trans,_xlfn.XLOOKUP(J26,NPF!$D$4:$D$7,NPF!$E$4:$E$7,""),_xlpm.kwh,IF(AND(ISNUMBER(K26),OR(_xlpm.comb="BEV",_xlpm.comb="PHEV",_xlpm.comb="MHEV")),ROUND(K26,0)&amp;"KWH",""),_xlpm.dec,1,_xlpm.cil,IF(OR(_xlpm.comb="BEV",P26="Motos",P26="Cuatrimotos",G26=""),"",SUBSTITUTE(FIXED(G26/1000,_xlpm.dec,TRUE),",",".")&amp;"L"),IF(E26="","",UPPER(_xlfn.TEXTJOIN(" ",TRUE,E26,F26,_xlpm.cil,_xlpm.kwh,_xlpm.comb,I26,_xlpm.trans))))</f>
        <v/>
      </c>
      <c r="D26" s="24" t="str" cm="1">
        <f t="array" ref="D26">_xlfn.LET(_xlpm.comb,_xlfn.XLOOKUP(H26,NPF!$A$4:$A$10,NPF!$B$4:$B$10,""),_xlpm.trans,_xlfn.XLOOKUP(J26,NPF!$D$4:$D$7,NPF!$E$4:$E$7,""),_xlpm.orig,NPF!$W$4:$W$33,_xlpm.abr,NPF!$X$4:$X$33,_xlpm.txt,_xlfn.REDUCE(UPPER(TRIM(E26&amp;" "&amp;F26)),_xlfn.SEQUENCE(ROWS(_xlpm.orig)),_xlfn.LAMBDA(_xlpm.a,_xlpm.i,IF(INDEX(_xlpm.orig,_xlpm.i)="",_xlpm.a,SUBSTITUTE(_xlpm.a,UPPER(INDEX(_xlpm.orig,_xlpm.i)),INDEX(_xlpm.abr,_xlpm.i))))),_xlpm.mv,SUBSTITUTE(SUBSTITUTE(SUBSTITUTE(_xlpm.txt,"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26),OR(_xlpm.comb="BEV",_xlpm.comb="PHEV",_xlpm.comb="MHEV")),ROUND(K26,0)&amp;"KWH",""),_xlpm.dec,1,_xlpm.cil,IF(OR(_xlpm.comb="BEV",P26="Motos",P26="Cuatrimotos",G26=""),"",SUBSTITUTE(FIXED(G26/1000,_xlpm.dec,TRUE),",",".")&amp;"L"),_xlpm.modelo,_xlpm.mv&amp;_xlpm.kwh,_xlpm.res,IF(B26="CAMIONES",_xlfn.TEXTJOIN("-",TRUE,_xlpm.modelo,_xlpm.cil,_xlpm.comb,UPPER(I26),_xlpm.trans),IF(B26="VEHICULOS",_xlfn.TEXTJOIN("-",TRUE,_xlpm.modelo,_xlpm.comb,_xlpm.cil,LOWER(I26),_xlpm.trans),"Elija TIPO MATERIAL")),IF(E26="","",_xlpm.res))</f>
        <v/>
      </c>
      <c r="Q26" s="21" t="str">
        <f t="shared" si="0"/>
        <v/>
      </c>
      <c r="R26" s="21" t="str">
        <f t="shared" si="1"/>
        <v/>
      </c>
    </row>
    <row r="27" spans="3:18" x14ac:dyDescent="0.25">
      <c r="C27" s="24" t="str">
        <f>_xlfn.LET(_xlpm.comb,_xlfn.XLOOKUP(H27,NPF!$A$4:$A$10,NPF!$B$4:$B$10,""),_xlpm.trans,_xlfn.XLOOKUP(J27,NPF!$D$4:$D$7,NPF!$E$4:$E$7,""),_xlpm.kwh,IF(AND(ISNUMBER(K27),OR(_xlpm.comb="BEV",_xlpm.comb="PHEV",_xlpm.comb="MHEV")),ROUND(K27,0)&amp;"KWH",""),_xlpm.dec,1,_xlpm.cil,IF(OR(_xlpm.comb="BEV",P27="Motos",P27="Cuatrimotos",G27=""),"",SUBSTITUTE(FIXED(G27/1000,_xlpm.dec,TRUE),",",".")&amp;"L"),IF(E27="","",UPPER(_xlfn.TEXTJOIN(" ",TRUE,E27,F27,_xlpm.cil,_xlpm.kwh,_xlpm.comb,I27,_xlpm.trans))))</f>
        <v/>
      </c>
      <c r="D27" s="24" t="str" cm="1">
        <f t="array" ref="D27">_xlfn.LET(_xlpm.comb,_xlfn.XLOOKUP(H27,NPF!$A$4:$A$10,NPF!$B$4:$B$10,""),_xlpm.trans,_xlfn.XLOOKUP(J27,NPF!$D$4:$D$7,NPF!$E$4:$E$7,""),_xlpm.orig,NPF!$W$4:$W$33,_xlpm.abr,NPF!$X$4:$X$33,_xlpm.txt,_xlfn.REDUCE(UPPER(TRIM(E27&amp;" "&amp;F27)),_xlfn.SEQUENCE(ROWS(_xlpm.orig)),_xlfn.LAMBDA(_xlpm.a,_xlpm.i,IF(INDEX(_xlpm.orig,_xlpm.i)="",_xlpm.a,SUBSTITUTE(_xlpm.a,UPPER(INDEX(_xlpm.orig,_xlpm.i)),INDEX(_xlpm.abr,_xlpm.i))))),_xlpm.mv,SUBSTITUTE(SUBSTITUTE(SUBSTITUTE(_xlpm.txt,"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27),OR(_xlpm.comb="BEV",_xlpm.comb="PHEV",_xlpm.comb="MHEV")),ROUND(K27,0)&amp;"KWH",""),_xlpm.dec,1,_xlpm.cil,IF(OR(_xlpm.comb="BEV",P27="Motos",P27="Cuatrimotos",G27=""),"",SUBSTITUTE(FIXED(G27/1000,_xlpm.dec,TRUE),",",".")&amp;"L"),_xlpm.modelo,_xlpm.mv&amp;_xlpm.kwh,_xlpm.res,IF(B27="CAMIONES",_xlfn.TEXTJOIN("-",TRUE,_xlpm.modelo,_xlpm.cil,_xlpm.comb,UPPER(I27),_xlpm.trans),IF(B27="VEHICULOS",_xlfn.TEXTJOIN("-",TRUE,_xlpm.modelo,_xlpm.comb,_xlpm.cil,LOWER(I27),_xlpm.trans),"Elija TIPO MATERIAL")),IF(E27="","",_xlpm.res))</f>
        <v/>
      </c>
      <c r="Q27" s="21" t="str">
        <f t="shared" si="0"/>
        <v/>
      </c>
      <c r="R27" s="21" t="str">
        <f t="shared" si="1"/>
        <v/>
      </c>
    </row>
    <row r="28" spans="3:18" x14ac:dyDescent="0.25">
      <c r="C28" s="24" t="str">
        <f>_xlfn.LET(_xlpm.comb,_xlfn.XLOOKUP(H28,NPF!$A$4:$A$10,NPF!$B$4:$B$10,""),_xlpm.trans,_xlfn.XLOOKUP(J28,NPF!$D$4:$D$7,NPF!$E$4:$E$7,""),_xlpm.kwh,IF(AND(ISNUMBER(K28),OR(_xlpm.comb="BEV",_xlpm.comb="PHEV",_xlpm.comb="MHEV")),ROUND(K28,0)&amp;"KWH",""),_xlpm.dec,1,_xlpm.cil,IF(OR(_xlpm.comb="BEV",P28="Motos",P28="Cuatrimotos",G28=""),"",SUBSTITUTE(FIXED(G28/1000,_xlpm.dec,TRUE),",",".")&amp;"L"),IF(E28="","",UPPER(_xlfn.TEXTJOIN(" ",TRUE,E28,F28,_xlpm.cil,_xlpm.kwh,_xlpm.comb,I28,_xlpm.trans))))</f>
        <v/>
      </c>
      <c r="D28" s="24" t="str" cm="1">
        <f t="array" ref="D28">_xlfn.LET(_xlpm.comb,_xlfn.XLOOKUP(H28,NPF!$A$4:$A$10,NPF!$B$4:$B$10,""),_xlpm.trans,_xlfn.XLOOKUP(J28,NPF!$D$4:$D$7,NPF!$E$4:$E$7,""),_xlpm.orig,NPF!$W$4:$W$33,_xlpm.abr,NPF!$X$4:$X$33,_xlpm.txt,_xlfn.REDUCE(UPPER(TRIM(E28&amp;" "&amp;F28)),_xlfn.SEQUENCE(ROWS(_xlpm.orig)),_xlfn.LAMBDA(_xlpm.a,_xlpm.i,IF(INDEX(_xlpm.orig,_xlpm.i)="",_xlpm.a,SUBSTITUTE(_xlpm.a,UPPER(INDEX(_xlpm.orig,_xlpm.i)),INDEX(_xlpm.abr,_xlpm.i))))),_xlpm.mv,SUBSTITUTE(SUBSTITUTE(SUBSTITUTE(_xlpm.txt,"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28),OR(_xlpm.comb="BEV",_xlpm.comb="PHEV",_xlpm.comb="MHEV")),ROUND(K28,0)&amp;"KWH",""),_xlpm.dec,1,_xlpm.cil,IF(OR(_xlpm.comb="BEV",P28="Motos",P28="Cuatrimotos",G28=""),"",SUBSTITUTE(FIXED(G28/1000,_xlpm.dec,TRUE),",",".")&amp;"L"),_xlpm.modelo,_xlpm.mv&amp;_xlpm.kwh,_xlpm.res,IF(B28="CAMIONES",_xlfn.TEXTJOIN("-",TRUE,_xlpm.modelo,_xlpm.cil,_xlpm.comb,UPPER(I28),_xlpm.trans),IF(B28="VEHICULOS",_xlfn.TEXTJOIN("-",TRUE,_xlpm.modelo,_xlpm.comb,_xlpm.cil,LOWER(I28),_xlpm.trans),"Elija TIPO MATERIAL")),IF(E28="","",_xlpm.res))</f>
        <v/>
      </c>
      <c r="Q28" s="21" t="str">
        <f t="shared" si="0"/>
        <v/>
      </c>
      <c r="R28" s="21" t="str">
        <f t="shared" si="1"/>
        <v/>
      </c>
    </row>
    <row r="29" spans="3:18" x14ac:dyDescent="0.25">
      <c r="C29" s="24" t="str">
        <f>_xlfn.LET(_xlpm.comb,_xlfn.XLOOKUP(H29,NPF!$A$4:$A$10,NPF!$B$4:$B$10,""),_xlpm.trans,_xlfn.XLOOKUP(J29,NPF!$D$4:$D$7,NPF!$E$4:$E$7,""),_xlpm.kwh,IF(AND(ISNUMBER(K29),OR(_xlpm.comb="BEV",_xlpm.comb="PHEV",_xlpm.comb="MHEV")),ROUND(K29,0)&amp;"KWH",""),_xlpm.dec,1,_xlpm.cil,IF(OR(_xlpm.comb="BEV",P29="Motos",P29="Cuatrimotos",G29=""),"",SUBSTITUTE(FIXED(G29/1000,_xlpm.dec,TRUE),",",".")&amp;"L"),IF(E29="","",UPPER(_xlfn.TEXTJOIN(" ",TRUE,E29,F29,_xlpm.cil,_xlpm.kwh,_xlpm.comb,I29,_xlpm.trans))))</f>
        <v/>
      </c>
      <c r="D29" s="24" t="str" cm="1">
        <f t="array" ref="D29">_xlfn.LET(_xlpm.comb,_xlfn.XLOOKUP(H29,NPF!$A$4:$A$10,NPF!$B$4:$B$10,""),_xlpm.trans,_xlfn.XLOOKUP(J29,NPF!$D$4:$D$7,NPF!$E$4:$E$7,""),_xlpm.orig,NPF!$W$4:$W$33,_xlpm.abr,NPF!$X$4:$X$33,_xlpm.txt,_xlfn.REDUCE(UPPER(TRIM(E29&amp;" "&amp;F29)),_xlfn.SEQUENCE(ROWS(_xlpm.orig)),_xlfn.LAMBDA(_xlpm.a,_xlpm.i,IF(INDEX(_xlpm.orig,_xlpm.i)="",_xlpm.a,SUBSTITUTE(_xlpm.a,UPPER(INDEX(_xlpm.orig,_xlpm.i)),INDEX(_xlpm.abr,_xlpm.i))))),_xlpm.mv,SUBSTITUTE(SUBSTITUTE(SUBSTITUTE(_xlpm.txt,"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29),OR(_xlpm.comb="BEV",_xlpm.comb="PHEV",_xlpm.comb="MHEV")),ROUND(K29,0)&amp;"KWH",""),_xlpm.dec,1,_xlpm.cil,IF(OR(_xlpm.comb="BEV",P29="Motos",P29="Cuatrimotos",G29=""),"",SUBSTITUTE(FIXED(G29/1000,_xlpm.dec,TRUE),",",".")&amp;"L"),_xlpm.modelo,_xlpm.mv&amp;_xlpm.kwh,_xlpm.res,IF(B29="CAMIONES",_xlfn.TEXTJOIN("-",TRUE,_xlpm.modelo,_xlpm.cil,_xlpm.comb,UPPER(I29),_xlpm.trans),IF(B29="VEHICULOS",_xlfn.TEXTJOIN("-",TRUE,_xlpm.modelo,_xlpm.comb,_xlpm.cil,LOWER(I29),_xlpm.trans),"Elija TIPO MATERIAL")),IF(E29="","",_xlpm.res))</f>
        <v/>
      </c>
      <c r="Q29" s="21" t="str">
        <f t="shared" si="0"/>
        <v/>
      </c>
      <c r="R29" s="21" t="str">
        <f t="shared" si="1"/>
        <v/>
      </c>
    </row>
    <row r="30" spans="3:18" x14ac:dyDescent="0.25">
      <c r="C30" s="24" t="str">
        <f>_xlfn.LET(_xlpm.comb,_xlfn.XLOOKUP(H30,NPF!$A$4:$A$10,NPF!$B$4:$B$10,""),_xlpm.trans,_xlfn.XLOOKUP(J30,NPF!$D$4:$D$7,NPF!$E$4:$E$7,""),_xlpm.kwh,IF(AND(ISNUMBER(K30),OR(_xlpm.comb="BEV",_xlpm.comb="PHEV",_xlpm.comb="MHEV")),ROUND(K30,0)&amp;"KWH",""),_xlpm.dec,1,_xlpm.cil,IF(OR(_xlpm.comb="BEV",P30="Motos",P30="Cuatrimotos",G30=""),"",SUBSTITUTE(FIXED(G30/1000,_xlpm.dec,TRUE),",",".")&amp;"L"),IF(E30="","",UPPER(_xlfn.TEXTJOIN(" ",TRUE,E30,F30,_xlpm.cil,_xlpm.kwh,_xlpm.comb,I30,_xlpm.trans))))</f>
        <v/>
      </c>
      <c r="D30" s="24" t="str" cm="1">
        <f t="array" ref="D30">_xlfn.LET(_xlpm.comb,_xlfn.XLOOKUP(H30,NPF!$A$4:$A$10,NPF!$B$4:$B$10,""),_xlpm.trans,_xlfn.XLOOKUP(J30,NPF!$D$4:$D$7,NPF!$E$4:$E$7,""),_xlpm.orig,NPF!$W$4:$W$33,_xlpm.abr,NPF!$X$4:$X$33,_xlpm.txt,_xlfn.REDUCE(UPPER(TRIM(E30&amp;" "&amp;F30)),_xlfn.SEQUENCE(ROWS(_xlpm.orig)),_xlfn.LAMBDA(_xlpm.a,_xlpm.i,IF(INDEX(_xlpm.orig,_xlpm.i)="",_xlpm.a,SUBSTITUTE(_xlpm.a,UPPER(INDEX(_xlpm.orig,_xlpm.i)),INDEX(_xlpm.abr,_xlpm.i))))),_xlpm.mv,SUBSTITUTE(SUBSTITUTE(SUBSTITUTE(_xlpm.txt,"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30),OR(_xlpm.comb="BEV",_xlpm.comb="PHEV",_xlpm.comb="MHEV")),ROUND(K30,0)&amp;"KWH",""),_xlpm.dec,1,_xlpm.cil,IF(OR(_xlpm.comb="BEV",P30="Motos",P30="Cuatrimotos",G30=""),"",SUBSTITUTE(FIXED(G30/1000,_xlpm.dec,TRUE),",",".")&amp;"L"),_xlpm.modelo,_xlpm.mv&amp;_xlpm.kwh,_xlpm.res,IF(B30="CAMIONES",_xlfn.TEXTJOIN("-",TRUE,_xlpm.modelo,_xlpm.cil,_xlpm.comb,UPPER(I30),_xlpm.trans),IF(B30="VEHICULOS",_xlfn.TEXTJOIN("-",TRUE,_xlpm.modelo,_xlpm.comb,_xlpm.cil,LOWER(I30),_xlpm.trans),"Elija TIPO MATERIAL")),IF(E30="","",_xlpm.res))</f>
        <v/>
      </c>
      <c r="Q30" s="21" t="str">
        <f t="shared" si="0"/>
        <v/>
      </c>
      <c r="R30" s="21" t="str">
        <f t="shared" si="1"/>
        <v/>
      </c>
    </row>
    <row r="31" spans="3:18" x14ac:dyDescent="0.25">
      <c r="C31" s="24" t="str">
        <f>_xlfn.LET(_xlpm.comb,_xlfn.XLOOKUP(H31,NPF!$A$4:$A$10,NPF!$B$4:$B$10,""),_xlpm.trans,_xlfn.XLOOKUP(J31,NPF!$D$4:$D$7,NPF!$E$4:$E$7,""),_xlpm.kwh,IF(AND(ISNUMBER(K31),OR(_xlpm.comb="BEV",_xlpm.comb="PHEV",_xlpm.comb="MHEV")),ROUND(K31,0)&amp;"KWH",""),_xlpm.dec,1,_xlpm.cil,IF(OR(_xlpm.comb="BEV",P31="Motos",P31="Cuatrimotos",G31=""),"",SUBSTITUTE(FIXED(G31/1000,_xlpm.dec,TRUE),",",".")&amp;"L"),IF(E31="","",UPPER(_xlfn.TEXTJOIN(" ",TRUE,E31,F31,_xlpm.cil,_xlpm.kwh,_xlpm.comb,I31,_xlpm.trans))))</f>
        <v/>
      </c>
      <c r="D31" s="24" t="str" cm="1">
        <f t="array" ref="D31">_xlfn.LET(_xlpm.comb,_xlfn.XLOOKUP(H31,NPF!$A$4:$A$10,NPF!$B$4:$B$10,""),_xlpm.trans,_xlfn.XLOOKUP(J31,NPF!$D$4:$D$7,NPF!$E$4:$E$7,""),_xlpm.orig,NPF!$W$4:$W$33,_xlpm.abr,NPF!$X$4:$X$33,_xlpm.txt,_xlfn.REDUCE(UPPER(TRIM(E31&amp;" "&amp;F31)),_xlfn.SEQUENCE(ROWS(_xlpm.orig)),_xlfn.LAMBDA(_xlpm.a,_xlpm.i,IF(INDEX(_xlpm.orig,_xlpm.i)="",_xlpm.a,SUBSTITUTE(_xlpm.a,UPPER(INDEX(_xlpm.orig,_xlpm.i)),INDEX(_xlpm.abr,_xlpm.i))))),_xlpm.mv,SUBSTITUTE(SUBSTITUTE(SUBSTITUTE(_xlpm.txt,"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31),OR(_xlpm.comb="BEV",_xlpm.comb="PHEV",_xlpm.comb="MHEV")),ROUND(K31,0)&amp;"KWH",""),_xlpm.dec,1,_xlpm.cil,IF(OR(_xlpm.comb="BEV",P31="Motos",P31="Cuatrimotos",G31=""),"",SUBSTITUTE(FIXED(G31/1000,_xlpm.dec,TRUE),",",".")&amp;"L"),_xlpm.modelo,_xlpm.mv&amp;_xlpm.kwh,_xlpm.res,IF(B31="CAMIONES",_xlfn.TEXTJOIN("-",TRUE,_xlpm.modelo,_xlpm.cil,_xlpm.comb,UPPER(I31),_xlpm.trans),IF(B31="VEHICULOS",_xlfn.TEXTJOIN("-",TRUE,_xlpm.modelo,_xlpm.comb,_xlpm.cil,LOWER(I31),_xlpm.trans),"Elija TIPO MATERIAL")),IF(E31="","",_xlpm.res))</f>
        <v/>
      </c>
      <c r="Q31" s="21" t="str">
        <f t="shared" si="0"/>
        <v/>
      </c>
      <c r="R31" s="21" t="str">
        <f t="shared" si="1"/>
        <v/>
      </c>
    </row>
    <row r="32" spans="3:18" x14ac:dyDescent="0.25">
      <c r="C32" s="24" t="str">
        <f>_xlfn.LET(_xlpm.comb,_xlfn.XLOOKUP(H32,NPF!$A$4:$A$10,NPF!$B$4:$B$10,""),_xlpm.trans,_xlfn.XLOOKUP(J32,NPF!$D$4:$D$7,NPF!$E$4:$E$7,""),_xlpm.kwh,IF(AND(ISNUMBER(K32),OR(_xlpm.comb="BEV",_xlpm.comb="PHEV",_xlpm.comb="MHEV")),ROUND(K32,0)&amp;"KWH",""),_xlpm.dec,1,_xlpm.cil,IF(OR(_xlpm.comb="BEV",P32="Motos",P32="Cuatrimotos",G32=""),"",SUBSTITUTE(FIXED(G32/1000,_xlpm.dec,TRUE),",",".")&amp;"L"),IF(E32="","",UPPER(_xlfn.TEXTJOIN(" ",TRUE,E32,F32,_xlpm.cil,_xlpm.kwh,_xlpm.comb,I32,_xlpm.trans))))</f>
        <v/>
      </c>
      <c r="D32" s="24" t="str" cm="1">
        <f t="array" ref="D32">_xlfn.LET(_xlpm.comb,_xlfn.XLOOKUP(H32,NPF!$A$4:$A$10,NPF!$B$4:$B$10,""),_xlpm.trans,_xlfn.XLOOKUP(J32,NPF!$D$4:$D$7,NPF!$E$4:$E$7,""),_xlpm.orig,NPF!$W$4:$W$33,_xlpm.abr,NPF!$X$4:$X$33,_xlpm.txt,_xlfn.REDUCE(UPPER(TRIM(E32&amp;" "&amp;F32)),_xlfn.SEQUENCE(ROWS(_xlpm.orig)),_xlfn.LAMBDA(_xlpm.a,_xlpm.i,IF(INDEX(_xlpm.orig,_xlpm.i)="",_xlpm.a,SUBSTITUTE(_xlpm.a,UPPER(INDEX(_xlpm.orig,_xlpm.i)),INDEX(_xlpm.abr,_xlpm.i))))),_xlpm.mv,SUBSTITUTE(SUBSTITUTE(SUBSTITUTE(_xlpm.txt,"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32),OR(_xlpm.comb="BEV",_xlpm.comb="PHEV",_xlpm.comb="MHEV")),ROUND(K32,0)&amp;"KWH",""),_xlpm.dec,1,_xlpm.cil,IF(OR(_xlpm.comb="BEV",P32="Motos",P32="Cuatrimotos",G32=""),"",SUBSTITUTE(FIXED(G32/1000,_xlpm.dec,TRUE),",",".")&amp;"L"),_xlpm.modelo,_xlpm.mv&amp;_xlpm.kwh,_xlpm.res,IF(B32="CAMIONES",_xlfn.TEXTJOIN("-",TRUE,_xlpm.modelo,_xlpm.cil,_xlpm.comb,UPPER(I32),_xlpm.trans),IF(B32="VEHICULOS",_xlfn.TEXTJOIN("-",TRUE,_xlpm.modelo,_xlpm.comb,_xlpm.cil,LOWER(I32),_xlpm.trans),"Elija TIPO MATERIAL")),IF(E32="","",_xlpm.res))</f>
        <v/>
      </c>
      <c r="Q32" s="21" t="str">
        <f t="shared" si="0"/>
        <v/>
      </c>
      <c r="R32" s="21" t="str">
        <f t="shared" si="1"/>
        <v/>
      </c>
    </row>
    <row r="33" spans="3:18" x14ac:dyDescent="0.25">
      <c r="C33" s="24" t="str">
        <f>_xlfn.LET(_xlpm.comb,_xlfn.XLOOKUP(H33,NPF!$A$4:$A$10,NPF!$B$4:$B$10,""),_xlpm.trans,_xlfn.XLOOKUP(J33,NPF!$D$4:$D$7,NPF!$E$4:$E$7,""),_xlpm.kwh,IF(AND(ISNUMBER(K33),OR(_xlpm.comb="BEV",_xlpm.comb="PHEV",_xlpm.comb="MHEV")),ROUND(K33,0)&amp;"KWH",""),_xlpm.dec,1,_xlpm.cil,IF(OR(_xlpm.comb="BEV",P33="Motos",P33="Cuatrimotos",G33=""),"",SUBSTITUTE(FIXED(G33/1000,_xlpm.dec,TRUE),",",".")&amp;"L"),IF(E33="","",UPPER(_xlfn.TEXTJOIN(" ",TRUE,E33,F33,_xlpm.cil,_xlpm.kwh,_xlpm.comb,I33,_xlpm.trans))))</f>
        <v/>
      </c>
      <c r="D33" s="24" t="str" cm="1">
        <f t="array" ref="D33">_xlfn.LET(_xlpm.comb,_xlfn.XLOOKUP(H33,NPF!$A$4:$A$10,NPF!$B$4:$B$10,""),_xlpm.trans,_xlfn.XLOOKUP(J33,NPF!$D$4:$D$7,NPF!$E$4:$E$7,""),_xlpm.orig,NPF!$W$4:$W$33,_xlpm.abr,NPF!$X$4:$X$33,_xlpm.txt,_xlfn.REDUCE(UPPER(TRIM(E33&amp;" "&amp;F33)),_xlfn.SEQUENCE(ROWS(_xlpm.orig)),_xlfn.LAMBDA(_xlpm.a,_xlpm.i,IF(INDEX(_xlpm.orig,_xlpm.i)="",_xlpm.a,SUBSTITUTE(_xlpm.a,UPPER(INDEX(_xlpm.orig,_xlpm.i)),INDEX(_xlpm.abr,_xlpm.i))))),_xlpm.mv,SUBSTITUTE(SUBSTITUTE(SUBSTITUTE(_xlpm.txt,"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33),OR(_xlpm.comb="BEV",_xlpm.comb="PHEV",_xlpm.comb="MHEV")),ROUND(K33,0)&amp;"KWH",""),_xlpm.dec,1,_xlpm.cil,IF(OR(_xlpm.comb="BEV",P33="Motos",P33="Cuatrimotos",G33=""),"",SUBSTITUTE(FIXED(G33/1000,_xlpm.dec,TRUE),",",".")&amp;"L"),_xlpm.modelo,_xlpm.mv&amp;_xlpm.kwh,_xlpm.res,IF(B33="CAMIONES",_xlfn.TEXTJOIN("-",TRUE,_xlpm.modelo,_xlpm.cil,_xlpm.comb,UPPER(I33),_xlpm.trans),IF(B33="VEHICULOS",_xlfn.TEXTJOIN("-",TRUE,_xlpm.modelo,_xlpm.comb,_xlpm.cil,LOWER(I33),_xlpm.trans),"Elija TIPO MATERIAL")),IF(E33="","",_xlpm.res))</f>
        <v/>
      </c>
      <c r="Q33" s="21" t="str">
        <f t="shared" si="0"/>
        <v/>
      </c>
      <c r="R33" s="21" t="str">
        <f t="shared" si="1"/>
        <v/>
      </c>
    </row>
    <row r="34" spans="3:18" x14ac:dyDescent="0.25">
      <c r="C34" s="24" t="str">
        <f>_xlfn.LET(_xlpm.comb,_xlfn.XLOOKUP(H34,NPF!$A$4:$A$10,NPF!$B$4:$B$10,""),_xlpm.trans,_xlfn.XLOOKUP(J34,NPF!$D$4:$D$7,NPF!$E$4:$E$7,""),_xlpm.kwh,IF(AND(ISNUMBER(K34),OR(_xlpm.comb="BEV",_xlpm.comb="PHEV",_xlpm.comb="MHEV")),ROUND(K34,0)&amp;"KWH",""),_xlpm.dec,1,_xlpm.cil,IF(OR(_xlpm.comb="BEV",P34="Motos",P34="Cuatrimotos",G34=""),"",SUBSTITUTE(FIXED(G34/1000,_xlpm.dec,TRUE),",",".")&amp;"L"),IF(E34="","",UPPER(_xlfn.TEXTJOIN(" ",TRUE,E34,F34,_xlpm.cil,_xlpm.kwh,_xlpm.comb,I34,_xlpm.trans))))</f>
        <v/>
      </c>
      <c r="D34" s="24" t="str" cm="1">
        <f t="array" ref="D34">_xlfn.LET(_xlpm.comb,_xlfn.XLOOKUP(H34,NPF!$A$4:$A$10,NPF!$B$4:$B$10,""),_xlpm.trans,_xlfn.XLOOKUP(J34,NPF!$D$4:$D$7,NPF!$E$4:$E$7,""),_xlpm.orig,NPF!$W$4:$W$33,_xlpm.abr,NPF!$X$4:$X$33,_xlpm.txt,_xlfn.REDUCE(UPPER(TRIM(E34&amp;" "&amp;F34)),_xlfn.SEQUENCE(ROWS(_xlpm.orig)),_xlfn.LAMBDA(_xlpm.a,_xlpm.i,IF(INDEX(_xlpm.orig,_xlpm.i)="",_xlpm.a,SUBSTITUTE(_xlpm.a,UPPER(INDEX(_xlpm.orig,_xlpm.i)),INDEX(_xlpm.abr,_xlpm.i))))),_xlpm.mv,SUBSTITUTE(SUBSTITUTE(SUBSTITUTE(_xlpm.txt,"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34),OR(_xlpm.comb="BEV",_xlpm.comb="PHEV",_xlpm.comb="MHEV")),ROUND(K34,0)&amp;"KWH",""),_xlpm.dec,1,_xlpm.cil,IF(OR(_xlpm.comb="BEV",P34="Motos",P34="Cuatrimotos",G34=""),"",SUBSTITUTE(FIXED(G34/1000,_xlpm.dec,TRUE),",",".")&amp;"L"),_xlpm.modelo,_xlpm.mv&amp;_xlpm.kwh,_xlpm.res,IF(B34="CAMIONES",_xlfn.TEXTJOIN("-",TRUE,_xlpm.modelo,_xlpm.cil,_xlpm.comb,UPPER(I34),_xlpm.trans),IF(B34="VEHICULOS",_xlfn.TEXTJOIN("-",TRUE,_xlpm.modelo,_xlpm.comb,_xlpm.cil,LOWER(I34),_xlpm.trans),"Elija TIPO MATERIAL")),IF(E34="","",_xlpm.res))</f>
        <v/>
      </c>
      <c r="Q34" s="21" t="str">
        <f t="shared" ref="Q34:Q65" si="2">IF(C34="","",LEN(C34))</f>
        <v/>
      </c>
      <c r="R34" s="21" t="str">
        <f t="shared" ref="R34:R65" si="3">IF(D34="","",LEN(D34))</f>
        <v/>
      </c>
    </row>
    <row r="35" spans="3:18" x14ac:dyDescent="0.25">
      <c r="C35" s="24" t="str">
        <f>_xlfn.LET(_xlpm.comb,_xlfn.XLOOKUP(H35,NPF!$A$4:$A$10,NPF!$B$4:$B$10,""),_xlpm.trans,_xlfn.XLOOKUP(J35,NPF!$D$4:$D$7,NPF!$E$4:$E$7,""),_xlpm.kwh,IF(AND(ISNUMBER(K35),OR(_xlpm.comb="BEV",_xlpm.comb="PHEV",_xlpm.comb="MHEV")),ROUND(K35,0)&amp;"KWH",""),_xlpm.dec,1,_xlpm.cil,IF(OR(_xlpm.comb="BEV",P35="Motos",P35="Cuatrimotos",G35=""),"",SUBSTITUTE(FIXED(G35/1000,_xlpm.dec,TRUE),",",".")&amp;"L"),IF(E35="","",UPPER(_xlfn.TEXTJOIN(" ",TRUE,E35,F35,_xlpm.cil,_xlpm.kwh,_xlpm.comb,I35,_xlpm.trans))))</f>
        <v/>
      </c>
      <c r="D35" s="24" t="str" cm="1">
        <f t="array" ref="D35">_xlfn.LET(_xlpm.comb,_xlfn.XLOOKUP(H35,NPF!$A$4:$A$10,NPF!$B$4:$B$10,""),_xlpm.trans,_xlfn.XLOOKUP(J35,NPF!$D$4:$D$7,NPF!$E$4:$E$7,""),_xlpm.orig,NPF!$W$4:$W$33,_xlpm.abr,NPF!$X$4:$X$33,_xlpm.txt,_xlfn.REDUCE(UPPER(TRIM(E35&amp;" "&amp;F35)),_xlfn.SEQUENCE(ROWS(_xlpm.orig)),_xlfn.LAMBDA(_xlpm.a,_xlpm.i,IF(INDEX(_xlpm.orig,_xlpm.i)="",_xlpm.a,SUBSTITUTE(_xlpm.a,UPPER(INDEX(_xlpm.orig,_xlpm.i)),INDEX(_xlpm.abr,_xlpm.i))))),_xlpm.mv,SUBSTITUTE(SUBSTITUTE(SUBSTITUTE(_xlpm.txt,"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35),OR(_xlpm.comb="BEV",_xlpm.comb="PHEV",_xlpm.comb="MHEV")),ROUND(K35,0)&amp;"KWH",""),_xlpm.dec,1,_xlpm.cil,IF(OR(_xlpm.comb="BEV",P35="Motos",P35="Cuatrimotos",G35=""),"",SUBSTITUTE(FIXED(G35/1000,_xlpm.dec,TRUE),",",".")&amp;"L"),_xlpm.modelo,_xlpm.mv&amp;_xlpm.kwh,_xlpm.res,IF(B35="CAMIONES",_xlfn.TEXTJOIN("-",TRUE,_xlpm.modelo,_xlpm.cil,_xlpm.comb,UPPER(I35),_xlpm.trans),IF(B35="VEHICULOS",_xlfn.TEXTJOIN("-",TRUE,_xlpm.modelo,_xlpm.comb,_xlpm.cil,LOWER(I35),_xlpm.trans),"Elija TIPO MATERIAL")),IF(E35="","",_xlpm.res))</f>
        <v/>
      </c>
      <c r="Q35" s="21" t="str">
        <f t="shared" si="2"/>
        <v/>
      </c>
      <c r="R35" s="21" t="str">
        <f t="shared" si="3"/>
        <v/>
      </c>
    </row>
    <row r="36" spans="3:18" x14ac:dyDescent="0.25">
      <c r="C36" s="24" t="str">
        <f>_xlfn.LET(_xlpm.comb,_xlfn.XLOOKUP(H36,NPF!$A$4:$A$10,NPF!$B$4:$B$10,""),_xlpm.trans,_xlfn.XLOOKUP(J36,NPF!$D$4:$D$7,NPF!$E$4:$E$7,""),_xlpm.kwh,IF(AND(ISNUMBER(K36),OR(_xlpm.comb="BEV",_xlpm.comb="PHEV",_xlpm.comb="MHEV")),ROUND(K36,0)&amp;"KWH",""),_xlpm.dec,1,_xlpm.cil,IF(OR(_xlpm.comb="BEV",P36="Motos",P36="Cuatrimotos",G36=""),"",SUBSTITUTE(FIXED(G36/1000,_xlpm.dec,TRUE),",",".")&amp;"L"),IF(E36="","",UPPER(_xlfn.TEXTJOIN(" ",TRUE,E36,F36,_xlpm.cil,_xlpm.kwh,_xlpm.comb,I36,_xlpm.trans))))</f>
        <v/>
      </c>
      <c r="D36" s="24" t="str" cm="1">
        <f t="array" ref="D36">_xlfn.LET(_xlpm.comb,_xlfn.XLOOKUP(H36,NPF!$A$4:$A$10,NPF!$B$4:$B$10,""),_xlpm.trans,_xlfn.XLOOKUP(J36,NPF!$D$4:$D$7,NPF!$E$4:$E$7,""),_xlpm.orig,NPF!$W$4:$W$33,_xlpm.abr,NPF!$X$4:$X$33,_xlpm.txt,_xlfn.REDUCE(UPPER(TRIM(E36&amp;" "&amp;F36)),_xlfn.SEQUENCE(ROWS(_xlpm.orig)),_xlfn.LAMBDA(_xlpm.a,_xlpm.i,IF(INDEX(_xlpm.orig,_xlpm.i)="",_xlpm.a,SUBSTITUTE(_xlpm.a,UPPER(INDEX(_xlpm.orig,_xlpm.i)),INDEX(_xlpm.abr,_xlpm.i))))),_xlpm.mv,SUBSTITUTE(SUBSTITUTE(SUBSTITUTE(_xlpm.txt,"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36),OR(_xlpm.comb="BEV",_xlpm.comb="PHEV",_xlpm.comb="MHEV")),ROUND(K36,0)&amp;"KWH",""),_xlpm.dec,1,_xlpm.cil,IF(OR(_xlpm.comb="BEV",P36="Motos",P36="Cuatrimotos",G36=""),"",SUBSTITUTE(FIXED(G36/1000,_xlpm.dec,TRUE),",",".")&amp;"L"),_xlpm.modelo,_xlpm.mv&amp;_xlpm.kwh,_xlpm.res,IF(B36="CAMIONES",_xlfn.TEXTJOIN("-",TRUE,_xlpm.modelo,_xlpm.cil,_xlpm.comb,UPPER(I36),_xlpm.trans),IF(B36="VEHICULOS",_xlfn.TEXTJOIN("-",TRUE,_xlpm.modelo,_xlpm.comb,_xlpm.cil,LOWER(I36),_xlpm.trans),"Elija TIPO MATERIAL")),IF(E36="","",_xlpm.res))</f>
        <v/>
      </c>
      <c r="Q36" s="21" t="str">
        <f t="shared" si="2"/>
        <v/>
      </c>
      <c r="R36" s="21" t="str">
        <f t="shared" si="3"/>
        <v/>
      </c>
    </row>
    <row r="37" spans="3:18" x14ac:dyDescent="0.25">
      <c r="C37" s="24" t="str">
        <f>_xlfn.LET(_xlpm.comb,_xlfn.XLOOKUP(H37,NPF!$A$4:$A$10,NPF!$B$4:$B$10,""),_xlpm.trans,_xlfn.XLOOKUP(J37,NPF!$D$4:$D$7,NPF!$E$4:$E$7,""),_xlpm.kwh,IF(AND(ISNUMBER(K37),OR(_xlpm.comb="BEV",_xlpm.comb="PHEV",_xlpm.comb="MHEV")),ROUND(K37,0)&amp;"KWH",""),_xlpm.dec,1,_xlpm.cil,IF(OR(_xlpm.comb="BEV",P37="Motos",P37="Cuatrimotos",G37=""),"",SUBSTITUTE(FIXED(G37/1000,_xlpm.dec,TRUE),",",".")&amp;"L"),IF(E37="","",UPPER(_xlfn.TEXTJOIN(" ",TRUE,E37,F37,_xlpm.cil,_xlpm.kwh,_xlpm.comb,I37,_xlpm.trans))))</f>
        <v/>
      </c>
      <c r="D37" s="24" t="str" cm="1">
        <f t="array" ref="D37">_xlfn.LET(_xlpm.comb,_xlfn.XLOOKUP(H37,NPF!$A$4:$A$10,NPF!$B$4:$B$10,""),_xlpm.trans,_xlfn.XLOOKUP(J37,NPF!$D$4:$D$7,NPF!$E$4:$E$7,""),_xlpm.orig,NPF!$W$4:$W$33,_xlpm.abr,NPF!$X$4:$X$33,_xlpm.txt,_xlfn.REDUCE(UPPER(TRIM(E37&amp;" "&amp;F37)),_xlfn.SEQUENCE(ROWS(_xlpm.orig)),_xlfn.LAMBDA(_xlpm.a,_xlpm.i,IF(INDEX(_xlpm.orig,_xlpm.i)="",_xlpm.a,SUBSTITUTE(_xlpm.a,UPPER(INDEX(_xlpm.orig,_xlpm.i)),INDEX(_xlpm.abr,_xlpm.i))))),_xlpm.mv,SUBSTITUTE(SUBSTITUTE(SUBSTITUTE(_xlpm.txt,"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37),OR(_xlpm.comb="BEV",_xlpm.comb="PHEV",_xlpm.comb="MHEV")),ROUND(K37,0)&amp;"KWH",""),_xlpm.dec,1,_xlpm.cil,IF(OR(_xlpm.comb="BEV",P37="Motos",P37="Cuatrimotos",G37=""),"",SUBSTITUTE(FIXED(G37/1000,_xlpm.dec,TRUE),",",".")&amp;"L"),_xlpm.modelo,_xlpm.mv&amp;_xlpm.kwh,_xlpm.res,IF(B37="CAMIONES",_xlfn.TEXTJOIN("-",TRUE,_xlpm.modelo,_xlpm.cil,_xlpm.comb,UPPER(I37),_xlpm.trans),IF(B37="VEHICULOS",_xlfn.TEXTJOIN("-",TRUE,_xlpm.modelo,_xlpm.comb,_xlpm.cil,LOWER(I37),_xlpm.trans),"Elija TIPO MATERIAL")),IF(E37="","",_xlpm.res))</f>
        <v/>
      </c>
      <c r="Q37" s="21" t="str">
        <f t="shared" si="2"/>
        <v/>
      </c>
      <c r="R37" s="21" t="str">
        <f t="shared" si="3"/>
        <v/>
      </c>
    </row>
    <row r="38" spans="3:18" x14ac:dyDescent="0.25">
      <c r="C38" s="24" t="str">
        <f>_xlfn.LET(_xlpm.comb,_xlfn.XLOOKUP(H38,NPF!$A$4:$A$10,NPF!$B$4:$B$10,""),_xlpm.trans,_xlfn.XLOOKUP(J38,NPF!$D$4:$D$7,NPF!$E$4:$E$7,""),_xlpm.kwh,IF(AND(ISNUMBER(K38),OR(_xlpm.comb="BEV",_xlpm.comb="PHEV",_xlpm.comb="MHEV")),ROUND(K38,0)&amp;"KWH",""),_xlpm.dec,1,_xlpm.cil,IF(OR(_xlpm.comb="BEV",P38="Motos",P38="Cuatrimotos",G38=""),"",SUBSTITUTE(FIXED(G38/1000,_xlpm.dec,TRUE),",",".")&amp;"L"),IF(E38="","",UPPER(_xlfn.TEXTJOIN(" ",TRUE,E38,F38,_xlpm.cil,_xlpm.kwh,_xlpm.comb,I38,_xlpm.trans))))</f>
        <v/>
      </c>
      <c r="D38" s="24" t="str" cm="1">
        <f t="array" ref="D38">_xlfn.LET(_xlpm.comb,_xlfn.XLOOKUP(H38,NPF!$A$4:$A$10,NPF!$B$4:$B$10,""),_xlpm.trans,_xlfn.XLOOKUP(J38,NPF!$D$4:$D$7,NPF!$E$4:$E$7,""),_xlpm.orig,NPF!$W$4:$W$33,_xlpm.abr,NPF!$X$4:$X$33,_xlpm.txt,_xlfn.REDUCE(UPPER(TRIM(E38&amp;" "&amp;F38)),_xlfn.SEQUENCE(ROWS(_xlpm.orig)),_xlfn.LAMBDA(_xlpm.a,_xlpm.i,IF(INDEX(_xlpm.orig,_xlpm.i)="",_xlpm.a,SUBSTITUTE(_xlpm.a,UPPER(INDEX(_xlpm.orig,_xlpm.i)),INDEX(_xlpm.abr,_xlpm.i))))),_xlpm.mv,SUBSTITUTE(SUBSTITUTE(SUBSTITUTE(_xlpm.txt,"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38),OR(_xlpm.comb="BEV",_xlpm.comb="PHEV",_xlpm.comb="MHEV")),ROUND(K38,0)&amp;"KWH",""),_xlpm.dec,1,_xlpm.cil,IF(OR(_xlpm.comb="BEV",P38="Motos",P38="Cuatrimotos",G38=""),"",SUBSTITUTE(FIXED(G38/1000,_xlpm.dec,TRUE),",",".")&amp;"L"),_xlpm.modelo,_xlpm.mv&amp;_xlpm.kwh,_xlpm.res,IF(B38="CAMIONES",_xlfn.TEXTJOIN("-",TRUE,_xlpm.modelo,_xlpm.cil,_xlpm.comb,UPPER(I38),_xlpm.trans),IF(B38="VEHICULOS",_xlfn.TEXTJOIN("-",TRUE,_xlpm.modelo,_xlpm.comb,_xlpm.cil,LOWER(I38),_xlpm.trans),"Elija TIPO MATERIAL")),IF(E38="","",_xlpm.res))</f>
        <v/>
      </c>
      <c r="Q38" s="21" t="str">
        <f t="shared" si="2"/>
        <v/>
      </c>
      <c r="R38" s="21" t="str">
        <f t="shared" si="3"/>
        <v/>
      </c>
    </row>
    <row r="39" spans="3:18" x14ac:dyDescent="0.25">
      <c r="C39" s="24" t="str">
        <f>_xlfn.LET(_xlpm.comb,_xlfn.XLOOKUP(H39,NPF!$A$4:$A$10,NPF!$B$4:$B$10,""),_xlpm.trans,_xlfn.XLOOKUP(J39,NPF!$D$4:$D$7,NPF!$E$4:$E$7,""),_xlpm.kwh,IF(AND(ISNUMBER(K39),OR(_xlpm.comb="BEV",_xlpm.comb="PHEV",_xlpm.comb="MHEV")),ROUND(K39,0)&amp;"KWH",""),_xlpm.dec,1,_xlpm.cil,IF(OR(_xlpm.comb="BEV",P39="Motos",P39="Cuatrimotos",G39=""),"",SUBSTITUTE(FIXED(G39/1000,_xlpm.dec,TRUE),",",".")&amp;"L"),IF(E39="","",UPPER(_xlfn.TEXTJOIN(" ",TRUE,E39,F39,_xlpm.cil,_xlpm.kwh,_xlpm.comb,I39,_xlpm.trans))))</f>
        <v/>
      </c>
      <c r="D39" s="24" t="str" cm="1">
        <f t="array" ref="D39">_xlfn.LET(_xlpm.comb,_xlfn.XLOOKUP(H39,NPF!$A$4:$A$10,NPF!$B$4:$B$10,""),_xlpm.trans,_xlfn.XLOOKUP(J39,NPF!$D$4:$D$7,NPF!$E$4:$E$7,""),_xlpm.orig,NPF!$W$4:$W$33,_xlpm.abr,NPF!$X$4:$X$33,_xlpm.txt,_xlfn.REDUCE(UPPER(TRIM(E39&amp;" "&amp;F39)),_xlfn.SEQUENCE(ROWS(_xlpm.orig)),_xlfn.LAMBDA(_xlpm.a,_xlpm.i,IF(INDEX(_xlpm.orig,_xlpm.i)="",_xlpm.a,SUBSTITUTE(_xlpm.a,UPPER(INDEX(_xlpm.orig,_xlpm.i)),INDEX(_xlpm.abr,_xlpm.i))))),_xlpm.mv,SUBSTITUTE(SUBSTITUTE(SUBSTITUTE(_xlpm.txt,"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39),OR(_xlpm.comb="BEV",_xlpm.comb="PHEV",_xlpm.comb="MHEV")),ROUND(K39,0)&amp;"KWH",""),_xlpm.dec,1,_xlpm.cil,IF(OR(_xlpm.comb="BEV",P39="Motos",P39="Cuatrimotos",G39=""),"",SUBSTITUTE(FIXED(G39/1000,_xlpm.dec,TRUE),",",".")&amp;"L"),_xlpm.modelo,_xlpm.mv&amp;_xlpm.kwh,_xlpm.res,IF(B39="CAMIONES",_xlfn.TEXTJOIN("-",TRUE,_xlpm.modelo,_xlpm.cil,_xlpm.comb,UPPER(I39),_xlpm.trans),IF(B39="VEHICULOS",_xlfn.TEXTJOIN("-",TRUE,_xlpm.modelo,_xlpm.comb,_xlpm.cil,LOWER(I39),_xlpm.trans),"Elija TIPO MATERIAL")),IF(E39="","",_xlpm.res))</f>
        <v/>
      </c>
      <c r="Q39" s="21" t="str">
        <f t="shared" si="2"/>
        <v/>
      </c>
      <c r="R39" s="21" t="str">
        <f t="shared" si="3"/>
        <v/>
      </c>
    </row>
    <row r="40" spans="3:18" x14ac:dyDescent="0.25">
      <c r="C40" s="24" t="str">
        <f>_xlfn.LET(_xlpm.comb,_xlfn.XLOOKUP(H40,NPF!$A$4:$A$10,NPF!$B$4:$B$10,""),_xlpm.trans,_xlfn.XLOOKUP(J40,NPF!$D$4:$D$7,NPF!$E$4:$E$7,""),_xlpm.kwh,IF(AND(ISNUMBER(K40),OR(_xlpm.comb="BEV",_xlpm.comb="PHEV",_xlpm.comb="MHEV")),ROUND(K40,0)&amp;"KWH",""),_xlpm.dec,1,_xlpm.cil,IF(OR(_xlpm.comb="BEV",P40="Motos",P40="Cuatrimotos",G40=""),"",SUBSTITUTE(FIXED(G40/1000,_xlpm.dec,TRUE),",",".")&amp;"L"),IF(E40="","",UPPER(_xlfn.TEXTJOIN(" ",TRUE,E40,F40,_xlpm.cil,_xlpm.kwh,_xlpm.comb,I40,_xlpm.trans))))</f>
        <v/>
      </c>
      <c r="D40" s="24" t="str" cm="1">
        <f t="array" ref="D40">_xlfn.LET(_xlpm.comb,_xlfn.XLOOKUP(H40,NPF!$A$4:$A$10,NPF!$B$4:$B$10,""),_xlpm.trans,_xlfn.XLOOKUP(J40,NPF!$D$4:$D$7,NPF!$E$4:$E$7,""),_xlpm.orig,NPF!$W$4:$W$33,_xlpm.abr,NPF!$X$4:$X$33,_xlpm.txt,_xlfn.REDUCE(UPPER(TRIM(E40&amp;" "&amp;F40)),_xlfn.SEQUENCE(ROWS(_xlpm.orig)),_xlfn.LAMBDA(_xlpm.a,_xlpm.i,IF(INDEX(_xlpm.orig,_xlpm.i)="",_xlpm.a,SUBSTITUTE(_xlpm.a,UPPER(INDEX(_xlpm.orig,_xlpm.i)),INDEX(_xlpm.abr,_xlpm.i))))),_xlpm.mv,SUBSTITUTE(SUBSTITUTE(SUBSTITUTE(_xlpm.txt,"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40),OR(_xlpm.comb="BEV",_xlpm.comb="PHEV",_xlpm.comb="MHEV")),ROUND(K40,0)&amp;"KWH",""),_xlpm.dec,1,_xlpm.cil,IF(OR(_xlpm.comb="BEV",P40="Motos",P40="Cuatrimotos",G40=""),"",SUBSTITUTE(FIXED(G40/1000,_xlpm.dec,TRUE),",",".")&amp;"L"),_xlpm.modelo,_xlpm.mv&amp;_xlpm.kwh,_xlpm.res,IF(B40="CAMIONES",_xlfn.TEXTJOIN("-",TRUE,_xlpm.modelo,_xlpm.cil,_xlpm.comb,UPPER(I40),_xlpm.trans),IF(B40="VEHICULOS",_xlfn.TEXTJOIN("-",TRUE,_xlpm.modelo,_xlpm.comb,_xlpm.cil,LOWER(I40),_xlpm.trans),"Elija TIPO MATERIAL")),IF(E40="","",_xlpm.res))</f>
        <v/>
      </c>
      <c r="Q40" s="21" t="str">
        <f t="shared" si="2"/>
        <v/>
      </c>
      <c r="R40" s="21" t="str">
        <f t="shared" si="3"/>
        <v/>
      </c>
    </row>
    <row r="41" spans="3:18" x14ac:dyDescent="0.25">
      <c r="C41" s="24" t="str">
        <f>_xlfn.LET(_xlpm.comb,_xlfn.XLOOKUP(H41,NPF!$A$4:$A$10,NPF!$B$4:$B$10,""),_xlpm.trans,_xlfn.XLOOKUP(J41,NPF!$D$4:$D$7,NPF!$E$4:$E$7,""),_xlpm.kwh,IF(AND(ISNUMBER(K41),OR(_xlpm.comb="BEV",_xlpm.comb="PHEV",_xlpm.comb="MHEV")),ROUND(K41,0)&amp;"KWH",""),_xlpm.dec,1,_xlpm.cil,IF(OR(_xlpm.comb="BEV",P41="Motos",P41="Cuatrimotos",G41=""),"",SUBSTITUTE(FIXED(G41/1000,_xlpm.dec,TRUE),",",".")&amp;"L"),IF(E41="","",UPPER(_xlfn.TEXTJOIN(" ",TRUE,E41,F41,_xlpm.cil,_xlpm.kwh,_xlpm.comb,I41,_xlpm.trans))))</f>
        <v/>
      </c>
      <c r="D41" s="24" t="str" cm="1">
        <f t="array" ref="D41">_xlfn.LET(_xlpm.comb,_xlfn.XLOOKUP(H41,NPF!$A$4:$A$10,NPF!$B$4:$B$10,""),_xlpm.trans,_xlfn.XLOOKUP(J41,NPF!$D$4:$D$7,NPF!$E$4:$E$7,""),_xlpm.orig,NPF!$W$4:$W$33,_xlpm.abr,NPF!$X$4:$X$33,_xlpm.txt,_xlfn.REDUCE(UPPER(TRIM(E41&amp;" "&amp;F41)),_xlfn.SEQUENCE(ROWS(_xlpm.orig)),_xlfn.LAMBDA(_xlpm.a,_xlpm.i,IF(INDEX(_xlpm.orig,_xlpm.i)="",_xlpm.a,SUBSTITUTE(_xlpm.a,UPPER(INDEX(_xlpm.orig,_xlpm.i)),INDEX(_xlpm.abr,_xlpm.i))))),_xlpm.mv,SUBSTITUTE(SUBSTITUTE(SUBSTITUTE(_xlpm.txt,"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41),OR(_xlpm.comb="BEV",_xlpm.comb="PHEV",_xlpm.comb="MHEV")),ROUND(K41,0)&amp;"KWH",""),_xlpm.dec,1,_xlpm.cil,IF(OR(_xlpm.comb="BEV",P41="Motos",P41="Cuatrimotos",G41=""),"",SUBSTITUTE(FIXED(G41/1000,_xlpm.dec,TRUE),",",".")&amp;"L"),_xlpm.modelo,_xlpm.mv&amp;_xlpm.kwh,_xlpm.res,IF(B41="CAMIONES",_xlfn.TEXTJOIN("-",TRUE,_xlpm.modelo,_xlpm.cil,_xlpm.comb,UPPER(I41),_xlpm.trans),IF(B41="VEHICULOS",_xlfn.TEXTJOIN("-",TRUE,_xlpm.modelo,_xlpm.comb,_xlpm.cil,LOWER(I41),_xlpm.trans),"Elija TIPO MATERIAL")),IF(E41="","",_xlpm.res))</f>
        <v/>
      </c>
      <c r="Q41" s="21" t="str">
        <f t="shared" si="2"/>
        <v/>
      </c>
      <c r="R41" s="21" t="str">
        <f t="shared" si="3"/>
        <v/>
      </c>
    </row>
    <row r="42" spans="3:18" x14ac:dyDescent="0.25">
      <c r="C42" s="24" t="str">
        <f>_xlfn.LET(_xlpm.comb,_xlfn.XLOOKUP(H42,NPF!$A$4:$A$10,NPF!$B$4:$B$10,""),_xlpm.trans,_xlfn.XLOOKUP(J42,NPF!$D$4:$D$7,NPF!$E$4:$E$7,""),_xlpm.kwh,IF(AND(ISNUMBER(K42),OR(_xlpm.comb="BEV",_xlpm.comb="PHEV",_xlpm.comb="MHEV")),ROUND(K42,0)&amp;"KWH",""),_xlpm.dec,1,_xlpm.cil,IF(OR(_xlpm.comb="BEV",P42="Motos",P42="Cuatrimotos",G42=""),"",SUBSTITUTE(FIXED(G42/1000,_xlpm.dec,TRUE),",",".")&amp;"L"),IF(E42="","",UPPER(_xlfn.TEXTJOIN(" ",TRUE,E42,F42,_xlpm.cil,_xlpm.kwh,_xlpm.comb,I42,_xlpm.trans))))</f>
        <v/>
      </c>
      <c r="D42" s="24" t="str" cm="1">
        <f t="array" ref="D42">_xlfn.LET(_xlpm.comb,_xlfn.XLOOKUP(H42,NPF!$A$4:$A$10,NPF!$B$4:$B$10,""),_xlpm.trans,_xlfn.XLOOKUP(J42,NPF!$D$4:$D$7,NPF!$E$4:$E$7,""),_xlpm.orig,NPF!$W$4:$W$33,_xlpm.abr,NPF!$X$4:$X$33,_xlpm.txt,_xlfn.REDUCE(UPPER(TRIM(E42&amp;" "&amp;F42)),_xlfn.SEQUENCE(ROWS(_xlpm.orig)),_xlfn.LAMBDA(_xlpm.a,_xlpm.i,IF(INDEX(_xlpm.orig,_xlpm.i)="",_xlpm.a,SUBSTITUTE(_xlpm.a,UPPER(INDEX(_xlpm.orig,_xlpm.i)),INDEX(_xlpm.abr,_xlpm.i))))),_xlpm.mv,SUBSTITUTE(SUBSTITUTE(SUBSTITUTE(_xlpm.txt,"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42),OR(_xlpm.comb="BEV",_xlpm.comb="PHEV",_xlpm.comb="MHEV")),ROUND(K42,0)&amp;"KWH",""),_xlpm.dec,1,_xlpm.cil,IF(OR(_xlpm.comb="BEV",P42="Motos",P42="Cuatrimotos",G42=""),"",SUBSTITUTE(FIXED(G42/1000,_xlpm.dec,TRUE),",",".")&amp;"L"),_xlpm.modelo,_xlpm.mv&amp;_xlpm.kwh,_xlpm.res,IF(B42="CAMIONES",_xlfn.TEXTJOIN("-",TRUE,_xlpm.modelo,_xlpm.cil,_xlpm.comb,UPPER(I42),_xlpm.trans),IF(B42="VEHICULOS",_xlfn.TEXTJOIN("-",TRUE,_xlpm.modelo,_xlpm.comb,_xlpm.cil,LOWER(I42),_xlpm.trans),"Elija TIPO MATERIAL")),IF(E42="","",_xlpm.res))</f>
        <v/>
      </c>
      <c r="Q42" s="21" t="str">
        <f t="shared" si="2"/>
        <v/>
      </c>
      <c r="R42" s="21" t="str">
        <f t="shared" si="3"/>
        <v/>
      </c>
    </row>
    <row r="43" spans="3:18" x14ac:dyDescent="0.25">
      <c r="C43" s="24" t="str">
        <f>_xlfn.LET(_xlpm.comb,_xlfn.XLOOKUP(H43,NPF!$A$4:$A$10,NPF!$B$4:$B$10,""),_xlpm.trans,_xlfn.XLOOKUP(J43,NPF!$D$4:$D$7,NPF!$E$4:$E$7,""),_xlpm.kwh,IF(AND(ISNUMBER(K43),OR(_xlpm.comb="BEV",_xlpm.comb="PHEV",_xlpm.comb="MHEV")),ROUND(K43,0)&amp;"KWH",""),_xlpm.dec,1,_xlpm.cil,IF(OR(_xlpm.comb="BEV",P43="Motos",P43="Cuatrimotos",G43=""),"",SUBSTITUTE(FIXED(G43/1000,_xlpm.dec,TRUE),",",".")&amp;"L"),IF(E43="","",UPPER(_xlfn.TEXTJOIN(" ",TRUE,E43,F43,_xlpm.cil,_xlpm.kwh,_xlpm.comb,I43,_xlpm.trans))))</f>
        <v/>
      </c>
      <c r="D43" s="24" t="str" cm="1">
        <f t="array" ref="D43">_xlfn.LET(_xlpm.comb,_xlfn.XLOOKUP(H43,NPF!$A$4:$A$10,NPF!$B$4:$B$10,""),_xlpm.trans,_xlfn.XLOOKUP(J43,NPF!$D$4:$D$7,NPF!$E$4:$E$7,""),_xlpm.orig,NPF!$W$4:$W$33,_xlpm.abr,NPF!$X$4:$X$33,_xlpm.txt,_xlfn.REDUCE(UPPER(TRIM(E43&amp;" "&amp;F43)),_xlfn.SEQUENCE(ROWS(_xlpm.orig)),_xlfn.LAMBDA(_xlpm.a,_xlpm.i,IF(INDEX(_xlpm.orig,_xlpm.i)="",_xlpm.a,SUBSTITUTE(_xlpm.a,UPPER(INDEX(_xlpm.orig,_xlpm.i)),INDEX(_xlpm.abr,_xlpm.i))))),_xlpm.mv,SUBSTITUTE(SUBSTITUTE(SUBSTITUTE(_xlpm.txt,"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43),OR(_xlpm.comb="BEV",_xlpm.comb="PHEV",_xlpm.comb="MHEV")),ROUND(K43,0)&amp;"KWH",""),_xlpm.dec,1,_xlpm.cil,IF(OR(_xlpm.comb="BEV",P43="Motos",P43="Cuatrimotos",G43=""),"",SUBSTITUTE(FIXED(G43/1000,_xlpm.dec,TRUE),",",".")&amp;"L"),_xlpm.modelo,_xlpm.mv&amp;_xlpm.kwh,_xlpm.res,IF(B43="CAMIONES",_xlfn.TEXTJOIN("-",TRUE,_xlpm.modelo,_xlpm.cil,_xlpm.comb,UPPER(I43),_xlpm.trans),IF(B43="VEHICULOS",_xlfn.TEXTJOIN("-",TRUE,_xlpm.modelo,_xlpm.comb,_xlpm.cil,LOWER(I43),_xlpm.trans),"Elija TIPO MATERIAL")),IF(E43="","",_xlpm.res))</f>
        <v/>
      </c>
      <c r="Q43" s="21" t="str">
        <f t="shared" si="2"/>
        <v/>
      </c>
      <c r="R43" s="21" t="str">
        <f t="shared" si="3"/>
        <v/>
      </c>
    </row>
    <row r="44" spans="3:18" x14ac:dyDescent="0.25">
      <c r="C44" s="24" t="str">
        <f>_xlfn.LET(_xlpm.comb,_xlfn.XLOOKUP(H44,NPF!$A$4:$A$10,NPF!$B$4:$B$10,""),_xlpm.trans,_xlfn.XLOOKUP(J44,NPF!$D$4:$D$7,NPF!$E$4:$E$7,""),_xlpm.kwh,IF(AND(ISNUMBER(K44),OR(_xlpm.comb="BEV",_xlpm.comb="PHEV",_xlpm.comb="MHEV")),ROUND(K44,0)&amp;"KWH",""),_xlpm.dec,1,_xlpm.cil,IF(OR(_xlpm.comb="BEV",P44="Motos",P44="Cuatrimotos",G44=""),"",SUBSTITUTE(FIXED(G44/1000,_xlpm.dec,TRUE),",",".")&amp;"L"),IF(E44="","",UPPER(_xlfn.TEXTJOIN(" ",TRUE,E44,F44,_xlpm.cil,_xlpm.kwh,_xlpm.comb,I44,_xlpm.trans))))</f>
        <v/>
      </c>
      <c r="D44" s="24" t="str" cm="1">
        <f t="array" ref="D44">_xlfn.LET(_xlpm.comb,_xlfn.XLOOKUP(H44,NPF!$A$4:$A$10,NPF!$B$4:$B$10,""),_xlpm.trans,_xlfn.XLOOKUP(J44,NPF!$D$4:$D$7,NPF!$E$4:$E$7,""),_xlpm.orig,NPF!$W$4:$W$33,_xlpm.abr,NPF!$X$4:$X$33,_xlpm.txt,_xlfn.REDUCE(UPPER(TRIM(E44&amp;" "&amp;F44)),_xlfn.SEQUENCE(ROWS(_xlpm.orig)),_xlfn.LAMBDA(_xlpm.a,_xlpm.i,IF(INDEX(_xlpm.orig,_xlpm.i)="",_xlpm.a,SUBSTITUTE(_xlpm.a,UPPER(INDEX(_xlpm.orig,_xlpm.i)),INDEX(_xlpm.abr,_xlpm.i))))),_xlpm.mv,SUBSTITUTE(SUBSTITUTE(SUBSTITUTE(_xlpm.txt,"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44),OR(_xlpm.comb="BEV",_xlpm.comb="PHEV",_xlpm.comb="MHEV")),ROUND(K44,0)&amp;"KWH",""),_xlpm.dec,1,_xlpm.cil,IF(OR(_xlpm.comb="BEV",P44="Motos",P44="Cuatrimotos",G44=""),"",SUBSTITUTE(FIXED(G44/1000,_xlpm.dec,TRUE),",",".")&amp;"L"),_xlpm.modelo,_xlpm.mv&amp;_xlpm.kwh,_xlpm.res,IF(B44="CAMIONES",_xlfn.TEXTJOIN("-",TRUE,_xlpm.modelo,_xlpm.cil,_xlpm.comb,UPPER(I44),_xlpm.trans),IF(B44="VEHICULOS",_xlfn.TEXTJOIN("-",TRUE,_xlpm.modelo,_xlpm.comb,_xlpm.cil,LOWER(I44),_xlpm.trans),"Elija TIPO MATERIAL")),IF(E44="","",_xlpm.res))</f>
        <v/>
      </c>
      <c r="Q44" s="21" t="str">
        <f t="shared" si="2"/>
        <v/>
      </c>
      <c r="R44" s="21" t="str">
        <f t="shared" si="3"/>
        <v/>
      </c>
    </row>
    <row r="45" spans="3:18" x14ac:dyDescent="0.25">
      <c r="C45" s="24" t="str">
        <f>_xlfn.LET(_xlpm.comb,_xlfn.XLOOKUP(H45,NPF!$A$4:$A$10,NPF!$B$4:$B$10,""),_xlpm.trans,_xlfn.XLOOKUP(J45,NPF!$D$4:$D$7,NPF!$E$4:$E$7,""),_xlpm.kwh,IF(AND(ISNUMBER(K45),OR(_xlpm.comb="BEV",_xlpm.comb="PHEV",_xlpm.comb="MHEV")),ROUND(K45,0)&amp;"KWH",""),_xlpm.dec,1,_xlpm.cil,IF(OR(_xlpm.comb="BEV",P45="Motos",P45="Cuatrimotos",G45=""),"",SUBSTITUTE(FIXED(G45/1000,_xlpm.dec,TRUE),",",".")&amp;"L"),IF(E45="","",UPPER(_xlfn.TEXTJOIN(" ",TRUE,E45,F45,_xlpm.cil,_xlpm.kwh,_xlpm.comb,I45,_xlpm.trans))))</f>
        <v/>
      </c>
      <c r="D45" s="24" t="str" cm="1">
        <f t="array" ref="D45">_xlfn.LET(_xlpm.comb,_xlfn.XLOOKUP(H45,NPF!$A$4:$A$10,NPF!$B$4:$B$10,""),_xlpm.trans,_xlfn.XLOOKUP(J45,NPF!$D$4:$D$7,NPF!$E$4:$E$7,""),_xlpm.orig,NPF!$W$4:$W$33,_xlpm.abr,NPF!$X$4:$X$33,_xlpm.txt,_xlfn.REDUCE(UPPER(TRIM(E45&amp;" "&amp;F45)),_xlfn.SEQUENCE(ROWS(_xlpm.orig)),_xlfn.LAMBDA(_xlpm.a,_xlpm.i,IF(INDEX(_xlpm.orig,_xlpm.i)="",_xlpm.a,SUBSTITUTE(_xlpm.a,UPPER(INDEX(_xlpm.orig,_xlpm.i)),INDEX(_xlpm.abr,_xlpm.i))))),_xlpm.mv,SUBSTITUTE(SUBSTITUTE(SUBSTITUTE(_xlpm.txt,"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45),OR(_xlpm.comb="BEV",_xlpm.comb="PHEV",_xlpm.comb="MHEV")),ROUND(K45,0)&amp;"KWH",""),_xlpm.dec,1,_xlpm.cil,IF(OR(_xlpm.comb="BEV",P45="Motos",P45="Cuatrimotos",G45=""),"",SUBSTITUTE(FIXED(G45/1000,_xlpm.dec,TRUE),",",".")&amp;"L"),_xlpm.modelo,_xlpm.mv&amp;_xlpm.kwh,_xlpm.res,IF(B45="CAMIONES",_xlfn.TEXTJOIN("-",TRUE,_xlpm.modelo,_xlpm.cil,_xlpm.comb,UPPER(I45),_xlpm.trans),IF(B45="VEHICULOS",_xlfn.TEXTJOIN("-",TRUE,_xlpm.modelo,_xlpm.comb,_xlpm.cil,LOWER(I45),_xlpm.trans),"Elija TIPO MATERIAL")),IF(E45="","",_xlpm.res))</f>
        <v/>
      </c>
      <c r="Q45" s="21" t="str">
        <f t="shared" si="2"/>
        <v/>
      </c>
      <c r="R45" s="21" t="str">
        <f t="shared" si="3"/>
        <v/>
      </c>
    </row>
    <row r="46" spans="3:18" x14ac:dyDescent="0.25">
      <c r="C46" s="24" t="str">
        <f>_xlfn.LET(_xlpm.comb,_xlfn.XLOOKUP(H46,NPF!$A$4:$A$10,NPF!$B$4:$B$10,""),_xlpm.trans,_xlfn.XLOOKUP(J46,NPF!$D$4:$D$7,NPF!$E$4:$E$7,""),_xlpm.kwh,IF(AND(ISNUMBER(K46),OR(_xlpm.comb="BEV",_xlpm.comb="PHEV",_xlpm.comb="MHEV")),ROUND(K46,0)&amp;"KWH",""),_xlpm.dec,1,_xlpm.cil,IF(OR(_xlpm.comb="BEV",P46="Motos",P46="Cuatrimotos",G46=""),"",SUBSTITUTE(FIXED(G46/1000,_xlpm.dec,TRUE),",",".")&amp;"L"),IF(E46="","",UPPER(_xlfn.TEXTJOIN(" ",TRUE,E46,F46,_xlpm.cil,_xlpm.kwh,_xlpm.comb,I46,_xlpm.trans))))</f>
        <v/>
      </c>
      <c r="D46" s="24" t="str" cm="1">
        <f t="array" ref="D46">_xlfn.LET(_xlpm.comb,_xlfn.XLOOKUP(H46,NPF!$A$4:$A$10,NPF!$B$4:$B$10,""),_xlpm.trans,_xlfn.XLOOKUP(J46,NPF!$D$4:$D$7,NPF!$E$4:$E$7,""),_xlpm.orig,NPF!$W$4:$W$33,_xlpm.abr,NPF!$X$4:$X$33,_xlpm.txt,_xlfn.REDUCE(UPPER(TRIM(E46&amp;" "&amp;F46)),_xlfn.SEQUENCE(ROWS(_xlpm.orig)),_xlfn.LAMBDA(_xlpm.a,_xlpm.i,IF(INDEX(_xlpm.orig,_xlpm.i)="",_xlpm.a,SUBSTITUTE(_xlpm.a,UPPER(INDEX(_xlpm.orig,_xlpm.i)),INDEX(_xlpm.abr,_xlpm.i))))),_xlpm.mv,SUBSTITUTE(SUBSTITUTE(SUBSTITUTE(_xlpm.txt,"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46),OR(_xlpm.comb="BEV",_xlpm.comb="PHEV",_xlpm.comb="MHEV")),ROUND(K46,0)&amp;"KWH",""),_xlpm.dec,1,_xlpm.cil,IF(OR(_xlpm.comb="BEV",P46="Motos",P46="Cuatrimotos",G46=""),"",SUBSTITUTE(FIXED(G46/1000,_xlpm.dec,TRUE),",",".")&amp;"L"),_xlpm.modelo,_xlpm.mv&amp;_xlpm.kwh,_xlpm.res,IF(B46="CAMIONES",_xlfn.TEXTJOIN("-",TRUE,_xlpm.modelo,_xlpm.cil,_xlpm.comb,UPPER(I46),_xlpm.trans),IF(B46="VEHICULOS",_xlfn.TEXTJOIN("-",TRUE,_xlpm.modelo,_xlpm.comb,_xlpm.cil,LOWER(I46),_xlpm.trans),"Elija TIPO MATERIAL")),IF(E46="","",_xlpm.res))</f>
        <v/>
      </c>
      <c r="Q46" s="21" t="str">
        <f t="shared" si="2"/>
        <v/>
      </c>
      <c r="R46" s="21" t="str">
        <f t="shared" si="3"/>
        <v/>
      </c>
    </row>
    <row r="47" spans="3:18" x14ac:dyDescent="0.25">
      <c r="C47" s="24" t="str">
        <f>_xlfn.LET(_xlpm.comb,_xlfn.XLOOKUP(H47,NPF!$A$4:$A$10,NPF!$B$4:$B$10,""),_xlpm.trans,_xlfn.XLOOKUP(J47,NPF!$D$4:$D$7,NPF!$E$4:$E$7,""),_xlpm.kwh,IF(AND(ISNUMBER(K47),OR(_xlpm.comb="BEV",_xlpm.comb="PHEV",_xlpm.comb="MHEV")),ROUND(K47,0)&amp;"KWH",""),_xlpm.dec,1,_xlpm.cil,IF(OR(_xlpm.comb="BEV",P47="Motos",P47="Cuatrimotos",G47=""),"",SUBSTITUTE(FIXED(G47/1000,_xlpm.dec,TRUE),",",".")&amp;"L"),IF(E47="","",UPPER(_xlfn.TEXTJOIN(" ",TRUE,E47,F47,_xlpm.cil,_xlpm.kwh,_xlpm.comb,I47,_xlpm.trans))))</f>
        <v/>
      </c>
      <c r="D47" s="24" t="str" cm="1">
        <f t="array" ref="D47">_xlfn.LET(_xlpm.comb,_xlfn.XLOOKUP(H47,NPF!$A$4:$A$10,NPF!$B$4:$B$10,""),_xlpm.trans,_xlfn.XLOOKUP(J47,NPF!$D$4:$D$7,NPF!$E$4:$E$7,""),_xlpm.orig,NPF!$W$4:$W$33,_xlpm.abr,NPF!$X$4:$X$33,_xlpm.txt,_xlfn.REDUCE(UPPER(TRIM(E47&amp;" "&amp;F47)),_xlfn.SEQUENCE(ROWS(_xlpm.orig)),_xlfn.LAMBDA(_xlpm.a,_xlpm.i,IF(INDEX(_xlpm.orig,_xlpm.i)="",_xlpm.a,SUBSTITUTE(_xlpm.a,UPPER(INDEX(_xlpm.orig,_xlpm.i)),INDEX(_xlpm.abr,_xlpm.i))))),_xlpm.mv,SUBSTITUTE(SUBSTITUTE(SUBSTITUTE(_xlpm.txt,"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47),OR(_xlpm.comb="BEV",_xlpm.comb="PHEV",_xlpm.comb="MHEV")),ROUND(K47,0)&amp;"KWH",""),_xlpm.dec,1,_xlpm.cil,IF(OR(_xlpm.comb="BEV",P47="Motos",P47="Cuatrimotos",G47=""),"",SUBSTITUTE(FIXED(G47/1000,_xlpm.dec,TRUE),",",".")&amp;"L"),_xlpm.modelo,_xlpm.mv&amp;_xlpm.kwh,_xlpm.res,IF(B47="CAMIONES",_xlfn.TEXTJOIN("-",TRUE,_xlpm.modelo,_xlpm.cil,_xlpm.comb,UPPER(I47),_xlpm.trans),IF(B47="VEHICULOS",_xlfn.TEXTJOIN("-",TRUE,_xlpm.modelo,_xlpm.comb,_xlpm.cil,LOWER(I47),_xlpm.trans),"Elija TIPO MATERIAL")),IF(E47="","",_xlpm.res))</f>
        <v/>
      </c>
      <c r="Q47" s="21" t="str">
        <f t="shared" si="2"/>
        <v/>
      </c>
      <c r="R47" s="21" t="str">
        <f t="shared" si="3"/>
        <v/>
      </c>
    </row>
    <row r="48" spans="3:18" x14ac:dyDescent="0.25">
      <c r="C48" s="24" t="str">
        <f>_xlfn.LET(_xlpm.comb,_xlfn.XLOOKUP(H48,NPF!$A$4:$A$10,NPF!$B$4:$B$10,""),_xlpm.trans,_xlfn.XLOOKUP(J48,NPF!$D$4:$D$7,NPF!$E$4:$E$7,""),_xlpm.kwh,IF(AND(ISNUMBER(K48),OR(_xlpm.comb="BEV",_xlpm.comb="PHEV",_xlpm.comb="MHEV")),ROUND(K48,0)&amp;"KWH",""),_xlpm.dec,1,_xlpm.cil,IF(OR(_xlpm.comb="BEV",P48="Motos",P48="Cuatrimotos",G48=""),"",SUBSTITUTE(FIXED(G48/1000,_xlpm.dec,TRUE),",",".")&amp;"L"),IF(E48="","",UPPER(_xlfn.TEXTJOIN(" ",TRUE,E48,F48,_xlpm.cil,_xlpm.kwh,_xlpm.comb,I48,_xlpm.trans))))</f>
        <v/>
      </c>
      <c r="D48" s="24" t="str" cm="1">
        <f t="array" ref="D48">_xlfn.LET(_xlpm.comb,_xlfn.XLOOKUP(H48,NPF!$A$4:$A$10,NPF!$B$4:$B$10,""),_xlpm.trans,_xlfn.XLOOKUP(J48,NPF!$D$4:$D$7,NPF!$E$4:$E$7,""),_xlpm.orig,NPF!$W$4:$W$33,_xlpm.abr,NPF!$X$4:$X$33,_xlpm.txt,_xlfn.REDUCE(UPPER(TRIM(E48&amp;" "&amp;F48)),_xlfn.SEQUENCE(ROWS(_xlpm.orig)),_xlfn.LAMBDA(_xlpm.a,_xlpm.i,IF(INDEX(_xlpm.orig,_xlpm.i)="",_xlpm.a,SUBSTITUTE(_xlpm.a,UPPER(INDEX(_xlpm.orig,_xlpm.i)),INDEX(_xlpm.abr,_xlpm.i))))),_xlpm.mv,SUBSTITUTE(SUBSTITUTE(SUBSTITUTE(_xlpm.txt,"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48),OR(_xlpm.comb="BEV",_xlpm.comb="PHEV",_xlpm.comb="MHEV")),ROUND(K48,0)&amp;"KWH",""),_xlpm.dec,1,_xlpm.cil,IF(OR(_xlpm.comb="BEV",P48="Motos",P48="Cuatrimotos",G48=""),"",SUBSTITUTE(FIXED(G48/1000,_xlpm.dec,TRUE),",",".")&amp;"L"),_xlpm.modelo,_xlpm.mv&amp;_xlpm.kwh,_xlpm.res,IF(B48="CAMIONES",_xlfn.TEXTJOIN("-",TRUE,_xlpm.modelo,_xlpm.cil,_xlpm.comb,UPPER(I48),_xlpm.trans),IF(B48="VEHICULOS",_xlfn.TEXTJOIN("-",TRUE,_xlpm.modelo,_xlpm.comb,_xlpm.cil,LOWER(I48),_xlpm.trans),"Elija TIPO MATERIAL")),IF(E48="","",_xlpm.res))</f>
        <v/>
      </c>
      <c r="Q48" s="21" t="str">
        <f t="shared" si="2"/>
        <v/>
      </c>
      <c r="R48" s="21" t="str">
        <f t="shared" si="3"/>
        <v/>
      </c>
    </row>
    <row r="49" spans="3:18" x14ac:dyDescent="0.25">
      <c r="C49" s="24" t="str">
        <f>_xlfn.LET(_xlpm.comb,_xlfn.XLOOKUP(H49,NPF!$A$4:$A$10,NPF!$B$4:$B$10,""),_xlpm.trans,_xlfn.XLOOKUP(J49,NPF!$D$4:$D$7,NPF!$E$4:$E$7,""),_xlpm.kwh,IF(AND(ISNUMBER(K49),OR(_xlpm.comb="BEV",_xlpm.comb="PHEV",_xlpm.comb="MHEV")),ROUND(K49,0)&amp;"KWH",""),_xlpm.dec,1,_xlpm.cil,IF(OR(_xlpm.comb="BEV",P49="Motos",P49="Cuatrimotos",G49=""),"",SUBSTITUTE(FIXED(G49/1000,_xlpm.dec,TRUE),",",".")&amp;"L"),IF(E49="","",UPPER(_xlfn.TEXTJOIN(" ",TRUE,E49,F49,_xlpm.cil,_xlpm.kwh,_xlpm.comb,I49,_xlpm.trans))))</f>
        <v/>
      </c>
      <c r="D49" s="24" t="str" cm="1">
        <f t="array" ref="D49">_xlfn.LET(_xlpm.comb,_xlfn.XLOOKUP(H49,NPF!$A$4:$A$10,NPF!$B$4:$B$10,""),_xlpm.trans,_xlfn.XLOOKUP(J49,NPF!$D$4:$D$7,NPF!$E$4:$E$7,""),_xlpm.orig,NPF!$W$4:$W$33,_xlpm.abr,NPF!$X$4:$X$33,_xlpm.txt,_xlfn.REDUCE(UPPER(TRIM(E49&amp;" "&amp;F49)),_xlfn.SEQUENCE(ROWS(_xlpm.orig)),_xlfn.LAMBDA(_xlpm.a,_xlpm.i,IF(INDEX(_xlpm.orig,_xlpm.i)="",_xlpm.a,SUBSTITUTE(_xlpm.a,UPPER(INDEX(_xlpm.orig,_xlpm.i)),INDEX(_xlpm.abr,_xlpm.i))))),_xlpm.mv,SUBSTITUTE(SUBSTITUTE(SUBSTITUTE(_xlpm.txt,"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49),OR(_xlpm.comb="BEV",_xlpm.comb="PHEV",_xlpm.comb="MHEV")),ROUND(K49,0)&amp;"KWH",""),_xlpm.dec,1,_xlpm.cil,IF(OR(_xlpm.comb="BEV",P49="Motos",P49="Cuatrimotos",G49=""),"",SUBSTITUTE(FIXED(G49/1000,_xlpm.dec,TRUE),",",".")&amp;"L"),_xlpm.modelo,_xlpm.mv&amp;_xlpm.kwh,_xlpm.res,IF(B49="CAMIONES",_xlfn.TEXTJOIN("-",TRUE,_xlpm.modelo,_xlpm.cil,_xlpm.comb,UPPER(I49),_xlpm.trans),IF(B49="VEHICULOS",_xlfn.TEXTJOIN("-",TRUE,_xlpm.modelo,_xlpm.comb,_xlpm.cil,LOWER(I49),_xlpm.trans),"Elija TIPO MATERIAL")),IF(E49="","",_xlpm.res))</f>
        <v/>
      </c>
      <c r="Q49" s="21" t="str">
        <f t="shared" si="2"/>
        <v/>
      </c>
      <c r="R49" s="21" t="str">
        <f t="shared" si="3"/>
        <v/>
      </c>
    </row>
    <row r="50" spans="3:18" x14ac:dyDescent="0.25">
      <c r="C50" s="24" t="str">
        <f>_xlfn.LET(_xlpm.comb,_xlfn.XLOOKUP(H50,NPF!$A$4:$A$10,NPF!$B$4:$B$10,""),_xlpm.trans,_xlfn.XLOOKUP(J50,NPF!$D$4:$D$7,NPF!$E$4:$E$7,""),_xlpm.kwh,IF(AND(ISNUMBER(K50),OR(_xlpm.comb="BEV",_xlpm.comb="PHEV",_xlpm.comb="MHEV")),ROUND(K50,0)&amp;"KWH",""),_xlpm.dec,1,_xlpm.cil,IF(OR(_xlpm.comb="BEV",P50="Motos",P50="Cuatrimotos",G50=""),"",SUBSTITUTE(FIXED(G50/1000,_xlpm.dec,TRUE),",",".")&amp;"L"),IF(E50="","",UPPER(_xlfn.TEXTJOIN(" ",TRUE,E50,F50,_xlpm.cil,_xlpm.kwh,_xlpm.comb,I50,_xlpm.trans))))</f>
        <v/>
      </c>
      <c r="D50" s="24" t="str" cm="1">
        <f t="array" ref="D50">_xlfn.LET(_xlpm.comb,_xlfn.XLOOKUP(H50,NPF!$A$4:$A$10,NPF!$B$4:$B$10,""),_xlpm.trans,_xlfn.XLOOKUP(J50,NPF!$D$4:$D$7,NPF!$E$4:$E$7,""),_xlpm.orig,NPF!$W$4:$W$33,_xlpm.abr,NPF!$X$4:$X$33,_xlpm.txt,_xlfn.REDUCE(UPPER(TRIM(E50&amp;" "&amp;F50)),_xlfn.SEQUENCE(ROWS(_xlpm.orig)),_xlfn.LAMBDA(_xlpm.a,_xlpm.i,IF(INDEX(_xlpm.orig,_xlpm.i)="",_xlpm.a,SUBSTITUTE(_xlpm.a,UPPER(INDEX(_xlpm.orig,_xlpm.i)),INDEX(_xlpm.abr,_xlpm.i))))),_xlpm.mv,SUBSTITUTE(SUBSTITUTE(SUBSTITUTE(_xlpm.txt,"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50),OR(_xlpm.comb="BEV",_xlpm.comb="PHEV",_xlpm.comb="MHEV")),ROUND(K50,0)&amp;"KWH",""),_xlpm.dec,1,_xlpm.cil,IF(OR(_xlpm.comb="BEV",P50="Motos",P50="Cuatrimotos",G50=""),"",SUBSTITUTE(FIXED(G50/1000,_xlpm.dec,TRUE),",",".")&amp;"L"),_xlpm.modelo,_xlpm.mv&amp;_xlpm.kwh,_xlpm.res,IF(B50="CAMIONES",_xlfn.TEXTJOIN("-",TRUE,_xlpm.modelo,_xlpm.cil,_xlpm.comb,UPPER(I50),_xlpm.trans),IF(B50="VEHICULOS",_xlfn.TEXTJOIN("-",TRUE,_xlpm.modelo,_xlpm.comb,_xlpm.cil,LOWER(I50),_xlpm.trans),"Elija TIPO MATERIAL")),IF(E50="","",_xlpm.res))</f>
        <v/>
      </c>
      <c r="Q50" s="21" t="str">
        <f t="shared" si="2"/>
        <v/>
      </c>
      <c r="R50" s="21" t="str">
        <f t="shared" si="3"/>
        <v/>
      </c>
    </row>
    <row r="51" spans="3:18" x14ac:dyDescent="0.25">
      <c r="C51" s="24" t="str">
        <f>_xlfn.LET(_xlpm.comb,_xlfn.XLOOKUP(H51,NPF!$A$4:$A$10,NPF!$B$4:$B$10,""),_xlpm.trans,_xlfn.XLOOKUP(J51,NPF!$D$4:$D$7,NPF!$E$4:$E$7,""),_xlpm.kwh,IF(AND(ISNUMBER(K51),OR(_xlpm.comb="BEV",_xlpm.comb="PHEV",_xlpm.comb="MHEV")),ROUND(K51,0)&amp;"KWH",""),_xlpm.dec,1,_xlpm.cil,IF(OR(_xlpm.comb="BEV",P51="Motos",P51="Cuatrimotos",G51=""),"",SUBSTITUTE(FIXED(G51/1000,_xlpm.dec,TRUE),",",".")&amp;"L"),IF(E51="","",UPPER(_xlfn.TEXTJOIN(" ",TRUE,E51,F51,_xlpm.cil,_xlpm.kwh,_xlpm.comb,I51,_xlpm.trans))))</f>
        <v/>
      </c>
      <c r="D51" s="24" t="str" cm="1">
        <f t="array" ref="D51">_xlfn.LET(_xlpm.comb,_xlfn.XLOOKUP(H51,NPF!$A$4:$A$10,NPF!$B$4:$B$10,""),_xlpm.trans,_xlfn.XLOOKUP(J51,NPF!$D$4:$D$7,NPF!$E$4:$E$7,""),_xlpm.orig,NPF!$W$4:$W$33,_xlpm.abr,NPF!$X$4:$X$33,_xlpm.txt,_xlfn.REDUCE(UPPER(TRIM(E51&amp;" "&amp;F51)),_xlfn.SEQUENCE(ROWS(_xlpm.orig)),_xlfn.LAMBDA(_xlpm.a,_xlpm.i,IF(INDEX(_xlpm.orig,_xlpm.i)="",_xlpm.a,SUBSTITUTE(_xlpm.a,UPPER(INDEX(_xlpm.orig,_xlpm.i)),INDEX(_xlpm.abr,_xlpm.i))))),_xlpm.mv,SUBSTITUTE(SUBSTITUTE(SUBSTITUTE(_xlpm.txt,"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51),OR(_xlpm.comb="BEV",_xlpm.comb="PHEV",_xlpm.comb="MHEV")),ROUND(K51,0)&amp;"KWH",""),_xlpm.dec,1,_xlpm.cil,IF(OR(_xlpm.comb="BEV",P51="Motos",P51="Cuatrimotos",G51=""),"",SUBSTITUTE(FIXED(G51/1000,_xlpm.dec,TRUE),",",".")&amp;"L"),_xlpm.modelo,_xlpm.mv&amp;_xlpm.kwh,_xlpm.res,IF(B51="CAMIONES",_xlfn.TEXTJOIN("-",TRUE,_xlpm.modelo,_xlpm.cil,_xlpm.comb,UPPER(I51),_xlpm.trans),IF(B51="VEHICULOS",_xlfn.TEXTJOIN("-",TRUE,_xlpm.modelo,_xlpm.comb,_xlpm.cil,LOWER(I51),_xlpm.trans),"Elija TIPO MATERIAL")),IF(E51="","",_xlpm.res))</f>
        <v/>
      </c>
      <c r="Q51" s="21" t="str">
        <f t="shared" si="2"/>
        <v/>
      </c>
      <c r="R51" s="21" t="str">
        <f t="shared" si="3"/>
        <v/>
      </c>
    </row>
    <row r="52" spans="3:18" x14ac:dyDescent="0.25">
      <c r="C52" s="24" t="str">
        <f>_xlfn.LET(_xlpm.comb,_xlfn.XLOOKUP(H52,NPF!$A$4:$A$10,NPF!$B$4:$B$10,""),_xlpm.trans,_xlfn.XLOOKUP(J52,NPF!$D$4:$D$7,NPF!$E$4:$E$7,""),_xlpm.kwh,IF(AND(ISNUMBER(K52),OR(_xlpm.comb="BEV",_xlpm.comb="PHEV",_xlpm.comb="MHEV")),ROUND(K52,0)&amp;"KWH",""),_xlpm.dec,1,_xlpm.cil,IF(OR(_xlpm.comb="BEV",P52="Motos",P52="Cuatrimotos",G52=""),"",SUBSTITUTE(FIXED(G52/1000,_xlpm.dec,TRUE),",",".")&amp;"L"),IF(E52="","",UPPER(_xlfn.TEXTJOIN(" ",TRUE,E52,F52,_xlpm.cil,_xlpm.kwh,_xlpm.comb,I52,_xlpm.trans))))</f>
        <v/>
      </c>
      <c r="D52" s="24" t="str" cm="1">
        <f t="array" ref="D52">_xlfn.LET(_xlpm.comb,_xlfn.XLOOKUP(H52,NPF!$A$4:$A$10,NPF!$B$4:$B$10,""),_xlpm.trans,_xlfn.XLOOKUP(J52,NPF!$D$4:$D$7,NPF!$E$4:$E$7,""),_xlpm.orig,NPF!$W$4:$W$33,_xlpm.abr,NPF!$X$4:$X$33,_xlpm.txt,_xlfn.REDUCE(UPPER(TRIM(E52&amp;" "&amp;F52)),_xlfn.SEQUENCE(ROWS(_xlpm.orig)),_xlfn.LAMBDA(_xlpm.a,_xlpm.i,IF(INDEX(_xlpm.orig,_xlpm.i)="",_xlpm.a,SUBSTITUTE(_xlpm.a,UPPER(INDEX(_xlpm.orig,_xlpm.i)),INDEX(_xlpm.abr,_xlpm.i))))),_xlpm.mv,SUBSTITUTE(SUBSTITUTE(SUBSTITUTE(_xlpm.txt,"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52),OR(_xlpm.comb="BEV",_xlpm.comb="PHEV",_xlpm.comb="MHEV")),ROUND(K52,0)&amp;"KWH",""),_xlpm.dec,1,_xlpm.cil,IF(OR(_xlpm.comb="BEV",P52="Motos",P52="Cuatrimotos",G52=""),"",SUBSTITUTE(FIXED(G52/1000,_xlpm.dec,TRUE),",",".")&amp;"L"),_xlpm.modelo,_xlpm.mv&amp;_xlpm.kwh,_xlpm.res,IF(B52="CAMIONES",_xlfn.TEXTJOIN("-",TRUE,_xlpm.modelo,_xlpm.cil,_xlpm.comb,UPPER(I52),_xlpm.trans),IF(B52="VEHICULOS",_xlfn.TEXTJOIN("-",TRUE,_xlpm.modelo,_xlpm.comb,_xlpm.cil,LOWER(I52),_xlpm.trans),"Elija TIPO MATERIAL")),IF(E52="","",_xlpm.res))</f>
        <v/>
      </c>
      <c r="Q52" s="21" t="str">
        <f t="shared" si="2"/>
        <v/>
      </c>
      <c r="R52" s="21" t="str">
        <f t="shared" si="3"/>
        <v/>
      </c>
    </row>
    <row r="53" spans="3:18" x14ac:dyDescent="0.25">
      <c r="C53" s="24" t="str">
        <f>_xlfn.LET(_xlpm.comb,_xlfn.XLOOKUP(H53,NPF!$A$4:$A$10,NPF!$B$4:$B$10,""),_xlpm.trans,_xlfn.XLOOKUP(J53,NPF!$D$4:$D$7,NPF!$E$4:$E$7,""),_xlpm.kwh,IF(AND(ISNUMBER(K53),OR(_xlpm.comb="BEV",_xlpm.comb="PHEV",_xlpm.comb="MHEV")),ROUND(K53,0)&amp;"KWH",""),_xlpm.dec,1,_xlpm.cil,IF(OR(_xlpm.comb="BEV",P53="Motos",P53="Cuatrimotos",G53=""),"",SUBSTITUTE(FIXED(G53/1000,_xlpm.dec,TRUE),",",".")&amp;"L"),IF(E53="","",UPPER(_xlfn.TEXTJOIN(" ",TRUE,E53,F53,_xlpm.cil,_xlpm.kwh,_xlpm.comb,I53,_xlpm.trans))))</f>
        <v/>
      </c>
      <c r="D53" s="24" t="str" cm="1">
        <f t="array" ref="D53">_xlfn.LET(_xlpm.comb,_xlfn.XLOOKUP(H53,NPF!$A$4:$A$10,NPF!$B$4:$B$10,""),_xlpm.trans,_xlfn.XLOOKUP(J53,NPF!$D$4:$D$7,NPF!$E$4:$E$7,""),_xlpm.orig,NPF!$W$4:$W$33,_xlpm.abr,NPF!$X$4:$X$33,_xlpm.txt,_xlfn.REDUCE(UPPER(TRIM(E53&amp;" "&amp;F53)),_xlfn.SEQUENCE(ROWS(_xlpm.orig)),_xlfn.LAMBDA(_xlpm.a,_xlpm.i,IF(INDEX(_xlpm.orig,_xlpm.i)="",_xlpm.a,SUBSTITUTE(_xlpm.a,UPPER(INDEX(_xlpm.orig,_xlpm.i)),INDEX(_xlpm.abr,_xlpm.i))))),_xlpm.mv,SUBSTITUTE(SUBSTITUTE(SUBSTITUTE(_xlpm.txt,"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53),OR(_xlpm.comb="BEV",_xlpm.comb="PHEV",_xlpm.comb="MHEV")),ROUND(K53,0)&amp;"KWH",""),_xlpm.dec,1,_xlpm.cil,IF(OR(_xlpm.comb="BEV",P53="Motos",P53="Cuatrimotos",G53=""),"",SUBSTITUTE(FIXED(G53/1000,_xlpm.dec,TRUE),",",".")&amp;"L"),_xlpm.modelo,_xlpm.mv&amp;_xlpm.kwh,_xlpm.res,IF(B53="CAMIONES",_xlfn.TEXTJOIN("-",TRUE,_xlpm.modelo,_xlpm.cil,_xlpm.comb,UPPER(I53),_xlpm.trans),IF(B53="VEHICULOS",_xlfn.TEXTJOIN("-",TRUE,_xlpm.modelo,_xlpm.comb,_xlpm.cil,LOWER(I53),_xlpm.trans),"Elija TIPO MATERIAL")),IF(E53="","",_xlpm.res))</f>
        <v/>
      </c>
      <c r="Q53" s="21" t="str">
        <f t="shared" si="2"/>
        <v/>
      </c>
      <c r="R53" s="21" t="str">
        <f t="shared" si="3"/>
        <v/>
      </c>
    </row>
    <row r="54" spans="3:18" x14ac:dyDescent="0.25">
      <c r="C54" s="24" t="str">
        <f>_xlfn.LET(_xlpm.comb,_xlfn.XLOOKUP(H54,NPF!$A$4:$A$10,NPF!$B$4:$B$10,""),_xlpm.trans,_xlfn.XLOOKUP(J54,NPF!$D$4:$D$7,NPF!$E$4:$E$7,""),_xlpm.kwh,IF(AND(ISNUMBER(K54),OR(_xlpm.comb="BEV",_xlpm.comb="PHEV",_xlpm.comb="MHEV")),ROUND(K54,0)&amp;"KWH",""),_xlpm.dec,1,_xlpm.cil,IF(OR(_xlpm.comb="BEV",P54="Motos",P54="Cuatrimotos",G54=""),"",SUBSTITUTE(FIXED(G54/1000,_xlpm.dec,TRUE),",",".")&amp;"L"),IF(E54="","",UPPER(_xlfn.TEXTJOIN(" ",TRUE,E54,F54,_xlpm.cil,_xlpm.kwh,_xlpm.comb,I54,_xlpm.trans))))</f>
        <v/>
      </c>
      <c r="D54" s="24" t="str" cm="1">
        <f t="array" ref="D54">_xlfn.LET(_xlpm.comb,_xlfn.XLOOKUP(H54,NPF!$A$4:$A$10,NPF!$B$4:$B$10,""),_xlpm.trans,_xlfn.XLOOKUP(J54,NPF!$D$4:$D$7,NPF!$E$4:$E$7,""),_xlpm.orig,NPF!$W$4:$W$33,_xlpm.abr,NPF!$X$4:$X$33,_xlpm.txt,_xlfn.REDUCE(UPPER(TRIM(E54&amp;" "&amp;F54)),_xlfn.SEQUENCE(ROWS(_xlpm.orig)),_xlfn.LAMBDA(_xlpm.a,_xlpm.i,IF(INDEX(_xlpm.orig,_xlpm.i)="",_xlpm.a,SUBSTITUTE(_xlpm.a,UPPER(INDEX(_xlpm.orig,_xlpm.i)),INDEX(_xlpm.abr,_xlpm.i))))),_xlpm.mv,SUBSTITUTE(SUBSTITUTE(SUBSTITUTE(_xlpm.txt,"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54),OR(_xlpm.comb="BEV",_xlpm.comb="PHEV",_xlpm.comb="MHEV")),ROUND(K54,0)&amp;"KWH",""),_xlpm.dec,1,_xlpm.cil,IF(OR(_xlpm.comb="BEV",P54="Motos",P54="Cuatrimotos",G54=""),"",SUBSTITUTE(FIXED(G54/1000,_xlpm.dec,TRUE),",",".")&amp;"L"),_xlpm.modelo,_xlpm.mv&amp;_xlpm.kwh,_xlpm.res,IF(B54="CAMIONES",_xlfn.TEXTJOIN("-",TRUE,_xlpm.modelo,_xlpm.cil,_xlpm.comb,UPPER(I54),_xlpm.trans),IF(B54="VEHICULOS",_xlfn.TEXTJOIN("-",TRUE,_xlpm.modelo,_xlpm.comb,_xlpm.cil,LOWER(I54),_xlpm.trans),"Elija TIPO MATERIAL")),IF(E54="","",_xlpm.res))</f>
        <v/>
      </c>
      <c r="Q54" s="21" t="str">
        <f t="shared" si="2"/>
        <v/>
      </c>
      <c r="R54" s="21" t="str">
        <f t="shared" si="3"/>
        <v/>
      </c>
    </row>
    <row r="55" spans="3:18" x14ac:dyDescent="0.25">
      <c r="C55" s="24" t="str">
        <f>_xlfn.LET(_xlpm.comb,_xlfn.XLOOKUP(H55,NPF!$A$4:$A$10,NPF!$B$4:$B$10,""),_xlpm.trans,_xlfn.XLOOKUP(J55,NPF!$D$4:$D$7,NPF!$E$4:$E$7,""),_xlpm.kwh,IF(AND(ISNUMBER(K55),OR(_xlpm.comb="BEV",_xlpm.comb="PHEV",_xlpm.comb="MHEV")),ROUND(K55,0)&amp;"KWH",""),_xlpm.dec,1,_xlpm.cil,IF(OR(_xlpm.comb="BEV",P55="Motos",P55="Cuatrimotos",G55=""),"",SUBSTITUTE(FIXED(G55/1000,_xlpm.dec,TRUE),",",".")&amp;"L"),IF(E55="","",UPPER(_xlfn.TEXTJOIN(" ",TRUE,E55,F55,_xlpm.cil,_xlpm.kwh,_xlpm.comb,I55,_xlpm.trans))))</f>
        <v/>
      </c>
      <c r="D55" s="24" t="str" cm="1">
        <f t="array" ref="D55">_xlfn.LET(_xlpm.comb,_xlfn.XLOOKUP(H55,NPF!$A$4:$A$10,NPF!$B$4:$B$10,""),_xlpm.trans,_xlfn.XLOOKUP(J55,NPF!$D$4:$D$7,NPF!$E$4:$E$7,""),_xlpm.orig,NPF!$W$4:$W$33,_xlpm.abr,NPF!$X$4:$X$33,_xlpm.txt,_xlfn.REDUCE(UPPER(TRIM(E55&amp;" "&amp;F55)),_xlfn.SEQUENCE(ROWS(_xlpm.orig)),_xlfn.LAMBDA(_xlpm.a,_xlpm.i,IF(INDEX(_xlpm.orig,_xlpm.i)="",_xlpm.a,SUBSTITUTE(_xlpm.a,UPPER(INDEX(_xlpm.orig,_xlpm.i)),INDEX(_xlpm.abr,_xlpm.i))))),_xlpm.mv,SUBSTITUTE(SUBSTITUTE(SUBSTITUTE(_xlpm.txt,"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55),OR(_xlpm.comb="BEV",_xlpm.comb="PHEV",_xlpm.comb="MHEV")),ROUND(K55,0)&amp;"KWH",""),_xlpm.dec,1,_xlpm.cil,IF(OR(_xlpm.comb="BEV",P55="Motos",P55="Cuatrimotos",G55=""),"",SUBSTITUTE(FIXED(G55/1000,_xlpm.dec,TRUE),",",".")&amp;"L"),_xlpm.modelo,_xlpm.mv&amp;_xlpm.kwh,_xlpm.res,IF(B55="CAMIONES",_xlfn.TEXTJOIN("-",TRUE,_xlpm.modelo,_xlpm.cil,_xlpm.comb,UPPER(I55),_xlpm.trans),IF(B55="VEHICULOS",_xlfn.TEXTJOIN("-",TRUE,_xlpm.modelo,_xlpm.comb,_xlpm.cil,LOWER(I55),_xlpm.trans),"Elija TIPO MATERIAL")),IF(E55="","",_xlpm.res))</f>
        <v/>
      </c>
      <c r="Q55" s="21" t="str">
        <f t="shared" si="2"/>
        <v/>
      </c>
      <c r="R55" s="21" t="str">
        <f t="shared" si="3"/>
        <v/>
      </c>
    </row>
    <row r="56" spans="3:18" x14ac:dyDescent="0.25">
      <c r="C56" s="24" t="str">
        <f>_xlfn.LET(_xlpm.comb,_xlfn.XLOOKUP(H56,NPF!$A$4:$A$10,NPF!$B$4:$B$10,""),_xlpm.trans,_xlfn.XLOOKUP(J56,NPF!$D$4:$D$7,NPF!$E$4:$E$7,""),_xlpm.kwh,IF(AND(ISNUMBER(K56),OR(_xlpm.comb="BEV",_xlpm.comb="PHEV",_xlpm.comb="MHEV")),ROUND(K56,0)&amp;"KWH",""),_xlpm.dec,1,_xlpm.cil,IF(OR(_xlpm.comb="BEV",P56="Motos",P56="Cuatrimotos",G56=""),"",SUBSTITUTE(FIXED(G56/1000,_xlpm.dec,TRUE),",",".")&amp;"L"),IF(E56="","",UPPER(_xlfn.TEXTJOIN(" ",TRUE,E56,F56,_xlpm.cil,_xlpm.kwh,_xlpm.comb,I56,_xlpm.trans))))</f>
        <v/>
      </c>
      <c r="D56" s="24" t="str" cm="1">
        <f t="array" ref="D56">_xlfn.LET(_xlpm.comb,_xlfn.XLOOKUP(H56,NPF!$A$4:$A$10,NPF!$B$4:$B$10,""),_xlpm.trans,_xlfn.XLOOKUP(J56,NPF!$D$4:$D$7,NPF!$E$4:$E$7,""),_xlpm.orig,NPF!$W$4:$W$33,_xlpm.abr,NPF!$X$4:$X$33,_xlpm.txt,_xlfn.REDUCE(UPPER(TRIM(E56&amp;" "&amp;F56)),_xlfn.SEQUENCE(ROWS(_xlpm.orig)),_xlfn.LAMBDA(_xlpm.a,_xlpm.i,IF(INDEX(_xlpm.orig,_xlpm.i)="",_xlpm.a,SUBSTITUTE(_xlpm.a,UPPER(INDEX(_xlpm.orig,_xlpm.i)),INDEX(_xlpm.abr,_xlpm.i))))),_xlpm.mv,SUBSTITUTE(SUBSTITUTE(SUBSTITUTE(_xlpm.txt,"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56),OR(_xlpm.comb="BEV",_xlpm.comb="PHEV",_xlpm.comb="MHEV")),ROUND(K56,0)&amp;"KWH",""),_xlpm.dec,1,_xlpm.cil,IF(OR(_xlpm.comb="BEV",P56="Motos",P56="Cuatrimotos",G56=""),"",SUBSTITUTE(FIXED(G56/1000,_xlpm.dec,TRUE),",",".")&amp;"L"),_xlpm.modelo,_xlpm.mv&amp;_xlpm.kwh,_xlpm.res,IF(B56="CAMIONES",_xlfn.TEXTJOIN("-",TRUE,_xlpm.modelo,_xlpm.cil,_xlpm.comb,UPPER(I56),_xlpm.trans),IF(B56="VEHICULOS",_xlfn.TEXTJOIN("-",TRUE,_xlpm.modelo,_xlpm.comb,_xlpm.cil,LOWER(I56),_xlpm.trans),"Elija TIPO MATERIAL")),IF(E56="","",_xlpm.res))</f>
        <v/>
      </c>
      <c r="Q56" s="21" t="str">
        <f t="shared" si="2"/>
        <v/>
      </c>
      <c r="R56" s="21" t="str">
        <f t="shared" si="3"/>
        <v/>
      </c>
    </row>
    <row r="57" spans="3:18" x14ac:dyDescent="0.25">
      <c r="C57" s="24" t="str">
        <f>_xlfn.LET(_xlpm.comb,_xlfn.XLOOKUP(H57,NPF!$A$4:$A$10,NPF!$B$4:$B$10,""),_xlpm.trans,_xlfn.XLOOKUP(J57,NPF!$D$4:$D$7,NPF!$E$4:$E$7,""),_xlpm.kwh,IF(AND(ISNUMBER(K57),OR(_xlpm.comb="BEV",_xlpm.comb="PHEV",_xlpm.comb="MHEV")),ROUND(K57,0)&amp;"KWH",""),_xlpm.dec,1,_xlpm.cil,IF(OR(_xlpm.comb="BEV",P57="Motos",P57="Cuatrimotos",G57=""),"",SUBSTITUTE(FIXED(G57/1000,_xlpm.dec,TRUE),",",".")&amp;"L"),IF(E57="","",UPPER(_xlfn.TEXTJOIN(" ",TRUE,E57,F57,_xlpm.cil,_xlpm.kwh,_xlpm.comb,I57,_xlpm.trans))))</f>
        <v/>
      </c>
      <c r="D57" s="24" t="str" cm="1">
        <f t="array" ref="D57">_xlfn.LET(_xlpm.comb,_xlfn.XLOOKUP(H57,NPF!$A$4:$A$10,NPF!$B$4:$B$10,""),_xlpm.trans,_xlfn.XLOOKUP(J57,NPF!$D$4:$D$7,NPF!$E$4:$E$7,""),_xlpm.orig,NPF!$W$4:$W$33,_xlpm.abr,NPF!$X$4:$X$33,_xlpm.txt,_xlfn.REDUCE(UPPER(TRIM(E57&amp;" "&amp;F57)),_xlfn.SEQUENCE(ROWS(_xlpm.orig)),_xlfn.LAMBDA(_xlpm.a,_xlpm.i,IF(INDEX(_xlpm.orig,_xlpm.i)="",_xlpm.a,SUBSTITUTE(_xlpm.a,UPPER(INDEX(_xlpm.orig,_xlpm.i)),INDEX(_xlpm.abr,_xlpm.i))))),_xlpm.mv,SUBSTITUTE(SUBSTITUTE(SUBSTITUTE(_xlpm.txt,"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57),OR(_xlpm.comb="BEV",_xlpm.comb="PHEV",_xlpm.comb="MHEV")),ROUND(K57,0)&amp;"KWH",""),_xlpm.dec,1,_xlpm.cil,IF(OR(_xlpm.comb="BEV",P57="Motos",P57="Cuatrimotos",G57=""),"",SUBSTITUTE(FIXED(G57/1000,_xlpm.dec,TRUE),",",".")&amp;"L"),_xlpm.modelo,_xlpm.mv&amp;_xlpm.kwh,_xlpm.res,IF(B57="CAMIONES",_xlfn.TEXTJOIN("-",TRUE,_xlpm.modelo,_xlpm.cil,_xlpm.comb,UPPER(I57),_xlpm.trans),IF(B57="VEHICULOS",_xlfn.TEXTJOIN("-",TRUE,_xlpm.modelo,_xlpm.comb,_xlpm.cil,LOWER(I57),_xlpm.trans),"Elija TIPO MATERIAL")),IF(E57="","",_xlpm.res))</f>
        <v/>
      </c>
      <c r="Q57" s="21" t="str">
        <f t="shared" si="2"/>
        <v/>
      </c>
      <c r="R57" s="21" t="str">
        <f t="shared" si="3"/>
        <v/>
      </c>
    </row>
    <row r="58" spans="3:18" x14ac:dyDescent="0.25">
      <c r="C58" s="24" t="str">
        <f>_xlfn.LET(_xlpm.comb,_xlfn.XLOOKUP(H58,NPF!$A$4:$A$10,NPF!$B$4:$B$10,""),_xlpm.trans,_xlfn.XLOOKUP(J58,NPF!$D$4:$D$7,NPF!$E$4:$E$7,""),_xlpm.kwh,IF(AND(ISNUMBER(K58),OR(_xlpm.comb="BEV",_xlpm.comb="PHEV",_xlpm.comb="MHEV")),ROUND(K58,0)&amp;"KWH",""),_xlpm.dec,1,_xlpm.cil,IF(OR(_xlpm.comb="BEV",P58="Motos",P58="Cuatrimotos",G58=""),"",SUBSTITUTE(FIXED(G58/1000,_xlpm.dec,TRUE),",",".")&amp;"L"),IF(E58="","",UPPER(_xlfn.TEXTJOIN(" ",TRUE,E58,F58,_xlpm.cil,_xlpm.kwh,_xlpm.comb,I58,_xlpm.trans))))</f>
        <v/>
      </c>
      <c r="D58" s="24" t="str" cm="1">
        <f t="array" ref="D58">_xlfn.LET(_xlpm.comb,_xlfn.XLOOKUP(H58,NPF!$A$4:$A$10,NPF!$B$4:$B$10,""),_xlpm.trans,_xlfn.XLOOKUP(J58,NPF!$D$4:$D$7,NPF!$E$4:$E$7,""),_xlpm.orig,NPF!$W$4:$W$33,_xlpm.abr,NPF!$X$4:$X$33,_xlpm.txt,_xlfn.REDUCE(UPPER(TRIM(E58&amp;" "&amp;F58)),_xlfn.SEQUENCE(ROWS(_xlpm.orig)),_xlfn.LAMBDA(_xlpm.a,_xlpm.i,IF(INDEX(_xlpm.orig,_xlpm.i)="",_xlpm.a,SUBSTITUTE(_xlpm.a,UPPER(INDEX(_xlpm.orig,_xlpm.i)),INDEX(_xlpm.abr,_xlpm.i))))),_xlpm.mv,SUBSTITUTE(SUBSTITUTE(SUBSTITUTE(_xlpm.txt,"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58),OR(_xlpm.comb="BEV",_xlpm.comb="PHEV",_xlpm.comb="MHEV")),ROUND(K58,0)&amp;"KWH",""),_xlpm.dec,1,_xlpm.cil,IF(OR(_xlpm.comb="BEV",P58="Motos",P58="Cuatrimotos",G58=""),"",SUBSTITUTE(FIXED(G58/1000,_xlpm.dec,TRUE),",",".")&amp;"L"),_xlpm.modelo,_xlpm.mv&amp;_xlpm.kwh,_xlpm.res,IF(B58="CAMIONES",_xlfn.TEXTJOIN("-",TRUE,_xlpm.modelo,_xlpm.cil,_xlpm.comb,UPPER(I58),_xlpm.trans),IF(B58="VEHICULOS",_xlfn.TEXTJOIN("-",TRUE,_xlpm.modelo,_xlpm.comb,_xlpm.cil,LOWER(I58),_xlpm.trans),"Elija TIPO MATERIAL")),IF(E58="","",_xlpm.res))</f>
        <v/>
      </c>
      <c r="Q58" s="21" t="str">
        <f t="shared" si="2"/>
        <v/>
      </c>
      <c r="R58" s="21" t="str">
        <f t="shared" si="3"/>
        <v/>
      </c>
    </row>
    <row r="59" spans="3:18" x14ac:dyDescent="0.25">
      <c r="C59" s="24" t="str">
        <f>_xlfn.LET(_xlpm.comb,_xlfn.XLOOKUP(H59,NPF!$A$4:$A$10,NPF!$B$4:$B$10,""),_xlpm.trans,_xlfn.XLOOKUP(J59,NPF!$D$4:$D$7,NPF!$E$4:$E$7,""),_xlpm.kwh,IF(AND(ISNUMBER(K59),OR(_xlpm.comb="BEV",_xlpm.comb="PHEV",_xlpm.comb="MHEV")),ROUND(K59,0)&amp;"KWH",""),_xlpm.dec,1,_xlpm.cil,IF(OR(_xlpm.comb="BEV",P59="Motos",P59="Cuatrimotos",G59=""),"",SUBSTITUTE(FIXED(G59/1000,_xlpm.dec,TRUE),",",".")&amp;"L"),IF(E59="","",UPPER(_xlfn.TEXTJOIN(" ",TRUE,E59,F59,_xlpm.cil,_xlpm.kwh,_xlpm.comb,I59,_xlpm.trans))))</f>
        <v/>
      </c>
      <c r="D59" s="24" t="str" cm="1">
        <f t="array" ref="D59">_xlfn.LET(_xlpm.comb,_xlfn.XLOOKUP(H59,NPF!$A$4:$A$10,NPF!$B$4:$B$10,""),_xlpm.trans,_xlfn.XLOOKUP(J59,NPF!$D$4:$D$7,NPF!$E$4:$E$7,""),_xlpm.orig,NPF!$W$4:$W$33,_xlpm.abr,NPF!$X$4:$X$33,_xlpm.txt,_xlfn.REDUCE(UPPER(TRIM(E59&amp;" "&amp;F59)),_xlfn.SEQUENCE(ROWS(_xlpm.orig)),_xlfn.LAMBDA(_xlpm.a,_xlpm.i,IF(INDEX(_xlpm.orig,_xlpm.i)="",_xlpm.a,SUBSTITUTE(_xlpm.a,UPPER(INDEX(_xlpm.orig,_xlpm.i)),INDEX(_xlpm.abr,_xlpm.i))))),_xlpm.mv,SUBSTITUTE(SUBSTITUTE(SUBSTITUTE(_xlpm.txt,"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59),OR(_xlpm.comb="BEV",_xlpm.comb="PHEV",_xlpm.comb="MHEV")),ROUND(K59,0)&amp;"KWH",""),_xlpm.dec,1,_xlpm.cil,IF(OR(_xlpm.comb="BEV",P59="Motos",P59="Cuatrimotos",G59=""),"",SUBSTITUTE(FIXED(G59/1000,_xlpm.dec,TRUE),",",".")&amp;"L"),_xlpm.modelo,_xlpm.mv&amp;_xlpm.kwh,_xlpm.res,IF(B59="CAMIONES",_xlfn.TEXTJOIN("-",TRUE,_xlpm.modelo,_xlpm.cil,_xlpm.comb,UPPER(I59),_xlpm.trans),IF(B59="VEHICULOS",_xlfn.TEXTJOIN("-",TRUE,_xlpm.modelo,_xlpm.comb,_xlpm.cil,LOWER(I59),_xlpm.trans),"Elija TIPO MATERIAL")),IF(E59="","",_xlpm.res))</f>
        <v/>
      </c>
      <c r="Q59" s="21" t="str">
        <f t="shared" si="2"/>
        <v/>
      </c>
      <c r="R59" s="21" t="str">
        <f t="shared" si="3"/>
        <v/>
      </c>
    </row>
    <row r="60" spans="3:18" x14ac:dyDescent="0.25">
      <c r="C60" s="24" t="str">
        <f>_xlfn.LET(_xlpm.comb,_xlfn.XLOOKUP(H60,NPF!$A$4:$A$10,NPF!$B$4:$B$10,""),_xlpm.trans,_xlfn.XLOOKUP(J60,NPF!$D$4:$D$7,NPF!$E$4:$E$7,""),_xlpm.kwh,IF(AND(ISNUMBER(K60),OR(_xlpm.comb="BEV",_xlpm.comb="PHEV",_xlpm.comb="MHEV")),ROUND(K60,0)&amp;"KWH",""),_xlpm.dec,1,_xlpm.cil,IF(OR(_xlpm.comb="BEV",P60="Motos",P60="Cuatrimotos",G60=""),"",SUBSTITUTE(FIXED(G60/1000,_xlpm.dec,TRUE),",",".")&amp;"L"),IF(E60="","",UPPER(_xlfn.TEXTJOIN(" ",TRUE,E60,F60,_xlpm.cil,_xlpm.kwh,_xlpm.comb,I60,_xlpm.trans))))</f>
        <v/>
      </c>
      <c r="D60" s="24" t="str" cm="1">
        <f t="array" ref="D60">_xlfn.LET(_xlpm.comb,_xlfn.XLOOKUP(H60,NPF!$A$4:$A$10,NPF!$B$4:$B$10,""),_xlpm.trans,_xlfn.XLOOKUP(J60,NPF!$D$4:$D$7,NPF!$E$4:$E$7,""),_xlpm.orig,NPF!$W$4:$W$33,_xlpm.abr,NPF!$X$4:$X$33,_xlpm.txt,_xlfn.REDUCE(UPPER(TRIM(E60&amp;" "&amp;F60)),_xlfn.SEQUENCE(ROWS(_xlpm.orig)),_xlfn.LAMBDA(_xlpm.a,_xlpm.i,IF(INDEX(_xlpm.orig,_xlpm.i)="",_xlpm.a,SUBSTITUTE(_xlpm.a,UPPER(INDEX(_xlpm.orig,_xlpm.i)),INDEX(_xlpm.abr,_xlpm.i))))),_xlpm.mv,SUBSTITUTE(SUBSTITUTE(SUBSTITUTE(_xlpm.txt,"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60),OR(_xlpm.comb="BEV",_xlpm.comb="PHEV",_xlpm.comb="MHEV")),ROUND(K60,0)&amp;"KWH",""),_xlpm.dec,1,_xlpm.cil,IF(OR(_xlpm.comb="BEV",P60="Motos",P60="Cuatrimotos",G60=""),"",SUBSTITUTE(FIXED(G60/1000,_xlpm.dec,TRUE),",",".")&amp;"L"),_xlpm.modelo,_xlpm.mv&amp;_xlpm.kwh,_xlpm.res,IF(B60="CAMIONES",_xlfn.TEXTJOIN("-",TRUE,_xlpm.modelo,_xlpm.cil,_xlpm.comb,UPPER(I60),_xlpm.trans),IF(B60="VEHICULOS",_xlfn.TEXTJOIN("-",TRUE,_xlpm.modelo,_xlpm.comb,_xlpm.cil,LOWER(I60),_xlpm.trans),"Elija TIPO MATERIAL")),IF(E60="","",_xlpm.res))</f>
        <v/>
      </c>
      <c r="Q60" s="21" t="str">
        <f t="shared" si="2"/>
        <v/>
      </c>
      <c r="R60" s="21" t="str">
        <f t="shared" si="3"/>
        <v/>
      </c>
    </row>
    <row r="61" spans="3:18" x14ac:dyDescent="0.25">
      <c r="C61" s="24" t="str">
        <f>_xlfn.LET(_xlpm.comb,_xlfn.XLOOKUP(H61,NPF!$A$4:$A$10,NPF!$B$4:$B$10,""),_xlpm.trans,_xlfn.XLOOKUP(J61,NPF!$D$4:$D$7,NPF!$E$4:$E$7,""),_xlpm.kwh,IF(AND(ISNUMBER(K61),OR(_xlpm.comb="BEV",_xlpm.comb="PHEV",_xlpm.comb="MHEV")),ROUND(K61,0)&amp;"KWH",""),_xlpm.dec,1,_xlpm.cil,IF(OR(_xlpm.comb="BEV",P61="Motos",P61="Cuatrimotos",G61=""),"",SUBSTITUTE(FIXED(G61/1000,_xlpm.dec,TRUE),",",".")&amp;"L"),IF(E61="","",UPPER(_xlfn.TEXTJOIN(" ",TRUE,E61,F61,_xlpm.cil,_xlpm.kwh,_xlpm.comb,I61,_xlpm.trans))))</f>
        <v/>
      </c>
      <c r="D61" s="24" t="str" cm="1">
        <f t="array" ref="D61">_xlfn.LET(_xlpm.comb,_xlfn.XLOOKUP(H61,NPF!$A$4:$A$10,NPF!$B$4:$B$10,""),_xlpm.trans,_xlfn.XLOOKUP(J61,NPF!$D$4:$D$7,NPF!$E$4:$E$7,""),_xlpm.orig,NPF!$W$4:$W$33,_xlpm.abr,NPF!$X$4:$X$33,_xlpm.txt,_xlfn.REDUCE(UPPER(TRIM(E61&amp;" "&amp;F61)),_xlfn.SEQUENCE(ROWS(_xlpm.orig)),_xlfn.LAMBDA(_xlpm.a,_xlpm.i,IF(INDEX(_xlpm.orig,_xlpm.i)="",_xlpm.a,SUBSTITUTE(_xlpm.a,UPPER(INDEX(_xlpm.orig,_xlpm.i)),INDEX(_xlpm.abr,_xlpm.i))))),_xlpm.mv,SUBSTITUTE(SUBSTITUTE(SUBSTITUTE(_xlpm.txt,"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61),OR(_xlpm.comb="BEV",_xlpm.comb="PHEV",_xlpm.comb="MHEV")),ROUND(K61,0)&amp;"KWH",""),_xlpm.dec,1,_xlpm.cil,IF(OR(_xlpm.comb="BEV",P61="Motos",P61="Cuatrimotos",G61=""),"",SUBSTITUTE(FIXED(G61/1000,_xlpm.dec,TRUE),",",".")&amp;"L"),_xlpm.modelo,_xlpm.mv&amp;_xlpm.kwh,_xlpm.res,IF(B61="CAMIONES",_xlfn.TEXTJOIN("-",TRUE,_xlpm.modelo,_xlpm.cil,_xlpm.comb,UPPER(I61),_xlpm.trans),IF(B61="VEHICULOS",_xlfn.TEXTJOIN("-",TRUE,_xlpm.modelo,_xlpm.comb,_xlpm.cil,LOWER(I61),_xlpm.trans),"Elija TIPO MATERIAL")),IF(E61="","",_xlpm.res))</f>
        <v/>
      </c>
      <c r="Q61" s="21" t="str">
        <f t="shared" si="2"/>
        <v/>
      </c>
      <c r="R61" s="21" t="str">
        <f t="shared" si="3"/>
        <v/>
      </c>
    </row>
    <row r="62" spans="3:18" x14ac:dyDescent="0.25">
      <c r="C62" s="24" t="str">
        <f>_xlfn.LET(_xlpm.comb,_xlfn.XLOOKUP(H62,NPF!$A$4:$A$10,NPF!$B$4:$B$10,""),_xlpm.trans,_xlfn.XLOOKUP(J62,NPF!$D$4:$D$7,NPF!$E$4:$E$7,""),_xlpm.kwh,IF(AND(ISNUMBER(K62),OR(_xlpm.comb="BEV",_xlpm.comb="PHEV",_xlpm.comb="MHEV")),ROUND(K62,0)&amp;"KWH",""),_xlpm.dec,1,_xlpm.cil,IF(OR(_xlpm.comb="BEV",P62="Motos",P62="Cuatrimotos",G62=""),"",SUBSTITUTE(FIXED(G62/1000,_xlpm.dec,TRUE),",",".")&amp;"L"),IF(E62="","",UPPER(_xlfn.TEXTJOIN(" ",TRUE,E62,F62,_xlpm.cil,_xlpm.kwh,_xlpm.comb,I62,_xlpm.trans))))</f>
        <v/>
      </c>
      <c r="D62" s="24" t="str" cm="1">
        <f t="array" ref="D62">_xlfn.LET(_xlpm.comb,_xlfn.XLOOKUP(H62,NPF!$A$4:$A$10,NPF!$B$4:$B$10,""),_xlpm.trans,_xlfn.XLOOKUP(J62,NPF!$D$4:$D$7,NPF!$E$4:$E$7,""),_xlpm.orig,NPF!$W$4:$W$33,_xlpm.abr,NPF!$X$4:$X$33,_xlpm.txt,_xlfn.REDUCE(UPPER(TRIM(E62&amp;" "&amp;F62)),_xlfn.SEQUENCE(ROWS(_xlpm.orig)),_xlfn.LAMBDA(_xlpm.a,_xlpm.i,IF(INDEX(_xlpm.orig,_xlpm.i)="",_xlpm.a,SUBSTITUTE(_xlpm.a,UPPER(INDEX(_xlpm.orig,_xlpm.i)),INDEX(_xlpm.abr,_xlpm.i))))),_xlpm.mv,SUBSTITUTE(SUBSTITUTE(SUBSTITUTE(_xlpm.txt,"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62),OR(_xlpm.comb="BEV",_xlpm.comb="PHEV",_xlpm.comb="MHEV")),ROUND(K62,0)&amp;"KWH",""),_xlpm.dec,1,_xlpm.cil,IF(OR(_xlpm.comb="BEV",P62="Motos",P62="Cuatrimotos",G62=""),"",SUBSTITUTE(FIXED(G62/1000,_xlpm.dec,TRUE),",",".")&amp;"L"),_xlpm.modelo,_xlpm.mv&amp;_xlpm.kwh,_xlpm.res,IF(B62="CAMIONES",_xlfn.TEXTJOIN("-",TRUE,_xlpm.modelo,_xlpm.cil,_xlpm.comb,UPPER(I62),_xlpm.trans),IF(B62="VEHICULOS",_xlfn.TEXTJOIN("-",TRUE,_xlpm.modelo,_xlpm.comb,_xlpm.cil,LOWER(I62),_xlpm.trans),"Elija TIPO MATERIAL")),IF(E62="","",_xlpm.res))</f>
        <v/>
      </c>
      <c r="Q62" s="21" t="str">
        <f t="shared" si="2"/>
        <v/>
      </c>
      <c r="R62" s="21" t="str">
        <f t="shared" si="3"/>
        <v/>
      </c>
    </row>
    <row r="63" spans="3:18" x14ac:dyDescent="0.25">
      <c r="C63" s="24" t="str">
        <f>_xlfn.LET(_xlpm.comb,_xlfn.XLOOKUP(H63,NPF!$A$4:$A$10,NPF!$B$4:$B$10,""),_xlpm.trans,_xlfn.XLOOKUP(J63,NPF!$D$4:$D$7,NPF!$E$4:$E$7,""),_xlpm.kwh,IF(AND(ISNUMBER(K63),OR(_xlpm.comb="BEV",_xlpm.comb="PHEV",_xlpm.comb="MHEV")),ROUND(K63,0)&amp;"KWH",""),_xlpm.dec,1,_xlpm.cil,IF(OR(_xlpm.comb="BEV",P63="Motos",P63="Cuatrimotos",G63=""),"",SUBSTITUTE(FIXED(G63/1000,_xlpm.dec,TRUE),",",".")&amp;"L"),IF(E63="","",UPPER(_xlfn.TEXTJOIN(" ",TRUE,E63,F63,_xlpm.cil,_xlpm.kwh,_xlpm.comb,I63,_xlpm.trans))))</f>
        <v/>
      </c>
      <c r="D63" s="24" t="str" cm="1">
        <f t="array" ref="D63">_xlfn.LET(_xlpm.comb,_xlfn.XLOOKUP(H63,NPF!$A$4:$A$10,NPF!$B$4:$B$10,""),_xlpm.trans,_xlfn.XLOOKUP(J63,NPF!$D$4:$D$7,NPF!$E$4:$E$7,""),_xlpm.orig,NPF!$W$4:$W$33,_xlpm.abr,NPF!$X$4:$X$33,_xlpm.txt,_xlfn.REDUCE(UPPER(TRIM(E63&amp;" "&amp;F63)),_xlfn.SEQUENCE(ROWS(_xlpm.orig)),_xlfn.LAMBDA(_xlpm.a,_xlpm.i,IF(INDEX(_xlpm.orig,_xlpm.i)="",_xlpm.a,SUBSTITUTE(_xlpm.a,UPPER(INDEX(_xlpm.orig,_xlpm.i)),INDEX(_xlpm.abr,_xlpm.i))))),_xlpm.mv,SUBSTITUTE(SUBSTITUTE(SUBSTITUTE(_xlpm.txt,"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63),OR(_xlpm.comb="BEV",_xlpm.comb="PHEV",_xlpm.comb="MHEV")),ROUND(K63,0)&amp;"KWH",""),_xlpm.dec,1,_xlpm.cil,IF(OR(_xlpm.comb="BEV",P63="Motos",P63="Cuatrimotos",G63=""),"",SUBSTITUTE(FIXED(G63/1000,_xlpm.dec,TRUE),",",".")&amp;"L"),_xlpm.modelo,_xlpm.mv&amp;_xlpm.kwh,_xlpm.res,IF(B63="CAMIONES",_xlfn.TEXTJOIN("-",TRUE,_xlpm.modelo,_xlpm.cil,_xlpm.comb,UPPER(I63),_xlpm.trans),IF(B63="VEHICULOS",_xlfn.TEXTJOIN("-",TRUE,_xlpm.modelo,_xlpm.comb,_xlpm.cil,LOWER(I63),_xlpm.trans),"Elija TIPO MATERIAL")),IF(E63="","",_xlpm.res))</f>
        <v/>
      </c>
      <c r="Q63" s="21" t="str">
        <f t="shared" si="2"/>
        <v/>
      </c>
      <c r="R63" s="21" t="str">
        <f t="shared" si="3"/>
        <v/>
      </c>
    </row>
    <row r="64" spans="3:18" x14ac:dyDescent="0.25">
      <c r="C64" s="24" t="str">
        <f>_xlfn.LET(_xlpm.comb,_xlfn.XLOOKUP(H64,NPF!$A$4:$A$10,NPF!$B$4:$B$10,""),_xlpm.trans,_xlfn.XLOOKUP(J64,NPF!$D$4:$D$7,NPF!$E$4:$E$7,""),_xlpm.kwh,IF(AND(ISNUMBER(K64),OR(_xlpm.comb="BEV",_xlpm.comb="PHEV",_xlpm.comb="MHEV")),ROUND(K64,0)&amp;"KWH",""),_xlpm.dec,1,_xlpm.cil,IF(OR(_xlpm.comb="BEV",P64="Motos",P64="Cuatrimotos",G64=""),"",SUBSTITUTE(FIXED(G64/1000,_xlpm.dec,TRUE),",",".")&amp;"L"),IF(E64="","",UPPER(_xlfn.TEXTJOIN(" ",TRUE,E64,F64,_xlpm.cil,_xlpm.kwh,_xlpm.comb,I64,_xlpm.trans))))</f>
        <v/>
      </c>
      <c r="D64" s="24" t="str" cm="1">
        <f t="array" ref="D64">_xlfn.LET(_xlpm.comb,_xlfn.XLOOKUP(H64,NPF!$A$4:$A$10,NPF!$B$4:$B$10,""),_xlpm.trans,_xlfn.XLOOKUP(J64,NPF!$D$4:$D$7,NPF!$E$4:$E$7,""),_xlpm.orig,NPF!$W$4:$W$33,_xlpm.abr,NPF!$X$4:$X$33,_xlpm.txt,_xlfn.REDUCE(UPPER(TRIM(E64&amp;" "&amp;F64)),_xlfn.SEQUENCE(ROWS(_xlpm.orig)),_xlfn.LAMBDA(_xlpm.a,_xlpm.i,IF(INDEX(_xlpm.orig,_xlpm.i)="",_xlpm.a,SUBSTITUTE(_xlpm.a,UPPER(INDEX(_xlpm.orig,_xlpm.i)),INDEX(_xlpm.abr,_xlpm.i))))),_xlpm.mv,SUBSTITUTE(SUBSTITUTE(SUBSTITUTE(_xlpm.txt,"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64),OR(_xlpm.comb="BEV",_xlpm.comb="PHEV",_xlpm.comb="MHEV")),ROUND(K64,0)&amp;"KWH",""),_xlpm.dec,1,_xlpm.cil,IF(OR(_xlpm.comb="BEV",P64="Motos",P64="Cuatrimotos",G64=""),"",SUBSTITUTE(FIXED(G64/1000,_xlpm.dec,TRUE),",",".")&amp;"L"),_xlpm.modelo,_xlpm.mv&amp;_xlpm.kwh,_xlpm.res,IF(B64="CAMIONES",_xlfn.TEXTJOIN("-",TRUE,_xlpm.modelo,_xlpm.cil,_xlpm.comb,UPPER(I64),_xlpm.trans),IF(B64="VEHICULOS",_xlfn.TEXTJOIN("-",TRUE,_xlpm.modelo,_xlpm.comb,_xlpm.cil,LOWER(I64),_xlpm.trans),"Elija TIPO MATERIAL")),IF(E64="","",_xlpm.res))</f>
        <v/>
      </c>
      <c r="Q64" s="21" t="str">
        <f t="shared" si="2"/>
        <v/>
      </c>
      <c r="R64" s="21" t="str">
        <f t="shared" si="3"/>
        <v/>
      </c>
    </row>
    <row r="65" spans="3:18" x14ac:dyDescent="0.25">
      <c r="C65" s="24" t="str">
        <f>_xlfn.LET(_xlpm.comb,_xlfn.XLOOKUP(H65,NPF!$A$4:$A$10,NPF!$B$4:$B$10,""),_xlpm.trans,_xlfn.XLOOKUP(J65,NPF!$D$4:$D$7,NPF!$E$4:$E$7,""),_xlpm.kwh,IF(AND(ISNUMBER(K65),OR(_xlpm.comb="BEV",_xlpm.comb="PHEV",_xlpm.comb="MHEV")),ROUND(K65,0)&amp;"KWH",""),_xlpm.dec,1,_xlpm.cil,IF(OR(_xlpm.comb="BEV",P65="Motos",P65="Cuatrimotos",G65=""),"",SUBSTITUTE(FIXED(G65/1000,_xlpm.dec,TRUE),",",".")&amp;"L"),IF(E65="","",UPPER(_xlfn.TEXTJOIN(" ",TRUE,E65,F65,_xlpm.cil,_xlpm.kwh,_xlpm.comb,I65,_xlpm.trans))))</f>
        <v/>
      </c>
      <c r="D65" s="24" t="str" cm="1">
        <f t="array" ref="D65">_xlfn.LET(_xlpm.comb,_xlfn.XLOOKUP(H65,NPF!$A$4:$A$10,NPF!$B$4:$B$10,""),_xlpm.trans,_xlfn.XLOOKUP(J65,NPF!$D$4:$D$7,NPF!$E$4:$E$7,""),_xlpm.orig,NPF!$W$4:$W$33,_xlpm.abr,NPF!$X$4:$X$33,_xlpm.txt,_xlfn.REDUCE(UPPER(TRIM(E65&amp;" "&amp;F65)),_xlfn.SEQUENCE(ROWS(_xlpm.orig)),_xlfn.LAMBDA(_xlpm.a,_xlpm.i,IF(INDEX(_xlpm.orig,_xlpm.i)="",_xlpm.a,SUBSTITUTE(_xlpm.a,UPPER(INDEX(_xlpm.orig,_xlpm.i)),INDEX(_xlpm.abr,_xlpm.i))))),_xlpm.mv,SUBSTITUTE(SUBSTITUTE(SUBSTITUTE(_xlpm.txt,"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65),OR(_xlpm.comb="BEV",_xlpm.comb="PHEV",_xlpm.comb="MHEV")),ROUND(K65,0)&amp;"KWH",""),_xlpm.dec,1,_xlpm.cil,IF(OR(_xlpm.comb="BEV",P65="Motos",P65="Cuatrimotos",G65=""),"",SUBSTITUTE(FIXED(G65/1000,_xlpm.dec,TRUE),",",".")&amp;"L"),_xlpm.modelo,_xlpm.mv&amp;_xlpm.kwh,_xlpm.res,IF(B65="CAMIONES",_xlfn.TEXTJOIN("-",TRUE,_xlpm.modelo,_xlpm.cil,_xlpm.comb,UPPER(I65),_xlpm.trans),IF(B65="VEHICULOS",_xlfn.TEXTJOIN("-",TRUE,_xlpm.modelo,_xlpm.comb,_xlpm.cil,LOWER(I65),_xlpm.trans),"Elija TIPO MATERIAL")),IF(E65="","",_xlpm.res))</f>
        <v/>
      </c>
      <c r="Q65" s="21" t="str">
        <f t="shared" si="2"/>
        <v/>
      </c>
      <c r="R65" s="21" t="str">
        <f t="shared" si="3"/>
        <v/>
      </c>
    </row>
    <row r="66" spans="3:18" x14ac:dyDescent="0.25">
      <c r="C66" s="24" t="str">
        <f>_xlfn.LET(_xlpm.comb,_xlfn.XLOOKUP(H66,NPF!$A$4:$A$10,NPF!$B$4:$B$10,""),_xlpm.trans,_xlfn.XLOOKUP(J66,NPF!$D$4:$D$7,NPF!$E$4:$E$7,""),_xlpm.kwh,IF(AND(ISNUMBER(K66),OR(_xlpm.comb="BEV",_xlpm.comb="PHEV",_xlpm.comb="MHEV")),ROUND(K66,0)&amp;"KWH",""),_xlpm.dec,1,_xlpm.cil,IF(OR(_xlpm.comb="BEV",P66="Motos",P66="Cuatrimotos",G66=""),"",SUBSTITUTE(FIXED(G66/1000,_xlpm.dec,TRUE),",",".")&amp;"L"),IF(E66="","",UPPER(_xlfn.TEXTJOIN(" ",TRUE,E66,F66,_xlpm.cil,_xlpm.kwh,_xlpm.comb,I66,_xlpm.trans))))</f>
        <v/>
      </c>
      <c r="D66" s="24" t="str" cm="1">
        <f t="array" ref="D66">_xlfn.LET(_xlpm.comb,_xlfn.XLOOKUP(H66,NPF!$A$4:$A$10,NPF!$B$4:$B$10,""),_xlpm.trans,_xlfn.XLOOKUP(J66,NPF!$D$4:$D$7,NPF!$E$4:$E$7,""),_xlpm.orig,NPF!$W$4:$W$33,_xlpm.abr,NPF!$X$4:$X$33,_xlpm.txt,_xlfn.REDUCE(UPPER(TRIM(E66&amp;" "&amp;F66)),_xlfn.SEQUENCE(ROWS(_xlpm.orig)),_xlfn.LAMBDA(_xlpm.a,_xlpm.i,IF(INDEX(_xlpm.orig,_xlpm.i)="",_xlpm.a,SUBSTITUTE(_xlpm.a,UPPER(INDEX(_xlpm.orig,_xlpm.i)),INDEX(_xlpm.abr,_xlpm.i))))),_xlpm.mv,SUBSTITUTE(SUBSTITUTE(SUBSTITUTE(_xlpm.txt,"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66),OR(_xlpm.comb="BEV",_xlpm.comb="PHEV",_xlpm.comb="MHEV")),ROUND(K66,0)&amp;"KWH",""),_xlpm.dec,1,_xlpm.cil,IF(OR(_xlpm.comb="BEV",P66="Motos",P66="Cuatrimotos",G66=""),"",SUBSTITUTE(FIXED(G66/1000,_xlpm.dec,TRUE),",",".")&amp;"L"),_xlpm.modelo,_xlpm.mv&amp;_xlpm.kwh,_xlpm.res,IF(B66="CAMIONES",_xlfn.TEXTJOIN("-",TRUE,_xlpm.modelo,_xlpm.cil,_xlpm.comb,UPPER(I66),_xlpm.trans),IF(B66="VEHICULOS",_xlfn.TEXTJOIN("-",TRUE,_xlpm.modelo,_xlpm.comb,_xlpm.cil,LOWER(I66),_xlpm.trans),"Elija TIPO MATERIAL")),IF(E66="","",_xlpm.res))</f>
        <v/>
      </c>
      <c r="Q66" s="21" t="str">
        <f t="shared" ref="Q66:Q97" si="4">IF(C66="","",LEN(C66))</f>
        <v/>
      </c>
      <c r="R66" s="21" t="str">
        <f t="shared" ref="R66:R97" si="5">IF(D66="","",LEN(D66))</f>
        <v/>
      </c>
    </row>
    <row r="67" spans="3:18" x14ac:dyDescent="0.25">
      <c r="C67" s="24" t="str">
        <f>_xlfn.LET(_xlpm.comb,_xlfn.XLOOKUP(H67,NPF!$A$4:$A$10,NPF!$B$4:$B$10,""),_xlpm.trans,_xlfn.XLOOKUP(J67,NPF!$D$4:$D$7,NPF!$E$4:$E$7,""),_xlpm.kwh,IF(AND(ISNUMBER(K67),OR(_xlpm.comb="BEV",_xlpm.comb="PHEV",_xlpm.comb="MHEV")),ROUND(K67,0)&amp;"KWH",""),_xlpm.dec,1,_xlpm.cil,IF(OR(_xlpm.comb="BEV",P67="Motos",P67="Cuatrimotos",G67=""),"",SUBSTITUTE(FIXED(G67/1000,_xlpm.dec,TRUE),",",".")&amp;"L"),IF(E67="","",UPPER(_xlfn.TEXTJOIN(" ",TRUE,E67,F67,_xlpm.cil,_xlpm.kwh,_xlpm.comb,I67,_xlpm.trans))))</f>
        <v/>
      </c>
      <c r="D67" s="24" t="str" cm="1">
        <f t="array" ref="D67">_xlfn.LET(_xlpm.comb,_xlfn.XLOOKUP(H67,NPF!$A$4:$A$10,NPF!$B$4:$B$10,""),_xlpm.trans,_xlfn.XLOOKUP(J67,NPF!$D$4:$D$7,NPF!$E$4:$E$7,""),_xlpm.orig,NPF!$W$4:$W$33,_xlpm.abr,NPF!$X$4:$X$33,_xlpm.txt,_xlfn.REDUCE(UPPER(TRIM(E67&amp;" "&amp;F67)),_xlfn.SEQUENCE(ROWS(_xlpm.orig)),_xlfn.LAMBDA(_xlpm.a,_xlpm.i,IF(INDEX(_xlpm.orig,_xlpm.i)="",_xlpm.a,SUBSTITUTE(_xlpm.a,UPPER(INDEX(_xlpm.orig,_xlpm.i)),INDEX(_xlpm.abr,_xlpm.i))))),_xlpm.mv,SUBSTITUTE(SUBSTITUTE(SUBSTITUTE(_xlpm.txt,"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67),OR(_xlpm.comb="BEV",_xlpm.comb="PHEV",_xlpm.comb="MHEV")),ROUND(K67,0)&amp;"KWH",""),_xlpm.dec,1,_xlpm.cil,IF(OR(_xlpm.comb="BEV",P67="Motos",P67="Cuatrimotos",G67=""),"",SUBSTITUTE(FIXED(G67/1000,_xlpm.dec,TRUE),",",".")&amp;"L"),_xlpm.modelo,_xlpm.mv&amp;_xlpm.kwh,_xlpm.res,IF(B67="CAMIONES",_xlfn.TEXTJOIN("-",TRUE,_xlpm.modelo,_xlpm.cil,_xlpm.comb,UPPER(I67),_xlpm.trans),IF(B67="VEHICULOS",_xlfn.TEXTJOIN("-",TRUE,_xlpm.modelo,_xlpm.comb,_xlpm.cil,LOWER(I67),_xlpm.trans),"Elija TIPO MATERIAL")),IF(E67="","",_xlpm.res))</f>
        <v/>
      </c>
      <c r="Q67" s="21" t="str">
        <f t="shared" si="4"/>
        <v/>
      </c>
      <c r="R67" s="21" t="str">
        <f t="shared" si="5"/>
        <v/>
      </c>
    </row>
    <row r="68" spans="3:18" x14ac:dyDescent="0.25">
      <c r="C68" s="24" t="str">
        <f>_xlfn.LET(_xlpm.comb,_xlfn.XLOOKUP(H68,NPF!$A$4:$A$10,NPF!$B$4:$B$10,""),_xlpm.trans,_xlfn.XLOOKUP(J68,NPF!$D$4:$D$7,NPF!$E$4:$E$7,""),_xlpm.kwh,IF(AND(ISNUMBER(K68),OR(_xlpm.comb="BEV",_xlpm.comb="PHEV",_xlpm.comb="MHEV")),ROUND(K68,0)&amp;"KWH",""),_xlpm.dec,1,_xlpm.cil,IF(OR(_xlpm.comb="BEV",P68="Motos",P68="Cuatrimotos",G68=""),"",SUBSTITUTE(FIXED(G68/1000,_xlpm.dec,TRUE),",",".")&amp;"L"),IF(E68="","",UPPER(_xlfn.TEXTJOIN(" ",TRUE,E68,F68,_xlpm.cil,_xlpm.kwh,_xlpm.comb,I68,_xlpm.trans))))</f>
        <v/>
      </c>
      <c r="D68" s="24" t="str" cm="1">
        <f t="array" ref="D68">_xlfn.LET(_xlpm.comb,_xlfn.XLOOKUP(H68,NPF!$A$4:$A$10,NPF!$B$4:$B$10,""),_xlpm.trans,_xlfn.XLOOKUP(J68,NPF!$D$4:$D$7,NPF!$E$4:$E$7,""),_xlpm.orig,NPF!$W$4:$W$33,_xlpm.abr,NPF!$X$4:$X$33,_xlpm.txt,_xlfn.REDUCE(UPPER(TRIM(E68&amp;" "&amp;F68)),_xlfn.SEQUENCE(ROWS(_xlpm.orig)),_xlfn.LAMBDA(_xlpm.a,_xlpm.i,IF(INDEX(_xlpm.orig,_xlpm.i)="",_xlpm.a,SUBSTITUTE(_xlpm.a,UPPER(INDEX(_xlpm.orig,_xlpm.i)),INDEX(_xlpm.abr,_xlpm.i))))),_xlpm.mv,SUBSTITUTE(SUBSTITUTE(SUBSTITUTE(_xlpm.txt,"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68),OR(_xlpm.comb="BEV",_xlpm.comb="PHEV",_xlpm.comb="MHEV")),ROUND(K68,0)&amp;"KWH",""),_xlpm.dec,1,_xlpm.cil,IF(OR(_xlpm.comb="BEV",P68="Motos",P68="Cuatrimotos",G68=""),"",SUBSTITUTE(FIXED(G68/1000,_xlpm.dec,TRUE),",",".")&amp;"L"),_xlpm.modelo,_xlpm.mv&amp;_xlpm.kwh,_xlpm.res,IF(B68="CAMIONES",_xlfn.TEXTJOIN("-",TRUE,_xlpm.modelo,_xlpm.cil,_xlpm.comb,UPPER(I68),_xlpm.trans),IF(B68="VEHICULOS",_xlfn.TEXTJOIN("-",TRUE,_xlpm.modelo,_xlpm.comb,_xlpm.cil,LOWER(I68),_xlpm.trans),"Elija TIPO MATERIAL")),IF(E68="","",_xlpm.res))</f>
        <v/>
      </c>
      <c r="Q68" s="21" t="str">
        <f t="shared" si="4"/>
        <v/>
      </c>
      <c r="R68" s="21" t="str">
        <f t="shared" si="5"/>
        <v/>
      </c>
    </row>
    <row r="69" spans="3:18" x14ac:dyDescent="0.25">
      <c r="C69" s="24" t="str">
        <f>_xlfn.LET(_xlpm.comb,_xlfn.XLOOKUP(H69,NPF!$A$4:$A$10,NPF!$B$4:$B$10,""),_xlpm.trans,_xlfn.XLOOKUP(J69,NPF!$D$4:$D$7,NPF!$E$4:$E$7,""),_xlpm.kwh,IF(AND(ISNUMBER(K69),OR(_xlpm.comb="BEV",_xlpm.comb="PHEV",_xlpm.comb="MHEV")),ROUND(K69,0)&amp;"KWH",""),_xlpm.dec,1,_xlpm.cil,IF(OR(_xlpm.comb="BEV",P69="Motos",P69="Cuatrimotos",G69=""),"",SUBSTITUTE(FIXED(G69/1000,_xlpm.dec,TRUE),",",".")&amp;"L"),IF(E69="","",UPPER(_xlfn.TEXTJOIN(" ",TRUE,E69,F69,_xlpm.cil,_xlpm.kwh,_xlpm.comb,I69,_xlpm.trans))))</f>
        <v/>
      </c>
      <c r="D69" s="24" t="str" cm="1">
        <f t="array" ref="D69">_xlfn.LET(_xlpm.comb,_xlfn.XLOOKUP(H69,NPF!$A$4:$A$10,NPF!$B$4:$B$10,""),_xlpm.trans,_xlfn.XLOOKUP(J69,NPF!$D$4:$D$7,NPF!$E$4:$E$7,""),_xlpm.orig,NPF!$W$4:$W$33,_xlpm.abr,NPF!$X$4:$X$33,_xlpm.txt,_xlfn.REDUCE(UPPER(TRIM(E69&amp;" "&amp;F69)),_xlfn.SEQUENCE(ROWS(_xlpm.orig)),_xlfn.LAMBDA(_xlpm.a,_xlpm.i,IF(INDEX(_xlpm.orig,_xlpm.i)="",_xlpm.a,SUBSTITUTE(_xlpm.a,UPPER(INDEX(_xlpm.orig,_xlpm.i)),INDEX(_xlpm.abr,_xlpm.i))))),_xlpm.mv,SUBSTITUTE(SUBSTITUTE(SUBSTITUTE(_xlpm.txt,"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69),OR(_xlpm.comb="BEV",_xlpm.comb="PHEV",_xlpm.comb="MHEV")),ROUND(K69,0)&amp;"KWH",""),_xlpm.dec,1,_xlpm.cil,IF(OR(_xlpm.comb="BEV",P69="Motos",P69="Cuatrimotos",G69=""),"",SUBSTITUTE(FIXED(G69/1000,_xlpm.dec,TRUE),",",".")&amp;"L"),_xlpm.modelo,_xlpm.mv&amp;_xlpm.kwh,_xlpm.res,IF(B69="CAMIONES",_xlfn.TEXTJOIN("-",TRUE,_xlpm.modelo,_xlpm.cil,_xlpm.comb,UPPER(I69),_xlpm.trans),IF(B69="VEHICULOS",_xlfn.TEXTJOIN("-",TRUE,_xlpm.modelo,_xlpm.comb,_xlpm.cil,LOWER(I69),_xlpm.trans),"Elija TIPO MATERIAL")),IF(E69="","",_xlpm.res))</f>
        <v/>
      </c>
      <c r="Q69" s="21" t="str">
        <f t="shared" si="4"/>
        <v/>
      </c>
      <c r="R69" s="21" t="str">
        <f t="shared" si="5"/>
        <v/>
      </c>
    </row>
    <row r="70" spans="3:18" x14ac:dyDescent="0.25">
      <c r="C70" s="24" t="str">
        <f>_xlfn.LET(_xlpm.comb,_xlfn.XLOOKUP(H70,NPF!$A$4:$A$10,NPF!$B$4:$B$10,""),_xlpm.trans,_xlfn.XLOOKUP(J70,NPF!$D$4:$D$7,NPF!$E$4:$E$7,""),_xlpm.kwh,IF(AND(ISNUMBER(K70),OR(_xlpm.comb="BEV",_xlpm.comb="PHEV",_xlpm.comb="MHEV")),ROUND(K70,0)&amp;"KWH",""),_xlpm.dec,1,_xlpm.cil,IF(OR(_xlpm.comb="BEV",P70="Motos",P70="Cuatrimotos",G70=""),"",SUBSTITUTE(FIXED(G70/1000,_xlpm.dec,TRUE),",",".")&amp;"L"),IF(E70="","",UPPER(_xlfn.TEXTJOIN(" ",TRUE,E70,F70,_xlpm.cil,_xlpm.kwh,_xlpm.comb,I70,_xlpm.trans))))</f>
        <v/>
      </c>
      <c r="D70" s="24" t="str" cm="1">
        <f t="array" ref="D70">_xlfn.LET(_xlpm.comb,_xlfn.XLOOKUP(H70,NPF!$A$4:$A$10,NPF!$B$4:$B$10,""),_xlpm.trans,_xlfn.XLOOKUP(J70,NPF!$D$4:$D$7,NPF!$E$4:$E$7,""),_xlpm.orig,NPF!$W$4:$W$33,_xlpm.abr,NPF!$X$4:$X$33,_xlpm.txt,_xlfn.REDUCE(UPPER(TRIM(E70&amp;" "&amp;F70)),_xlfn.SEQUENCE(ROWS(_xlpm.orig)),_xlfn.LAMBDA(_xlpm.a,_xlpm.i,IF(INDEX(_xlpm.orig,_xlpm.i)="",_xlpm.a,SUBSTITUTE(_xlpm.a,UPPER(INDEX(_xlpm.orig,_xlpm.i)),INDEX(_xlpm.abr,_xlpm.i))))),_xlpm.mv,SUBSTITUTE(SUBSTITUTE(SUBSTITUTE(_xlpm.txt,"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70),OR(_xlpm.comb="BEV",_xlpm.comb="PHEV",_xlpm.comb="MHEV")),ROUND(K70,0)&amp;"KWH",""),_xlpm.dec,1,_xlpm.cil,IF(OR(_xlpm.comb="BEV",P70="Motos",P70="Cuatrimotos",G70=""),"",SUBSTITUTE(FIXED(G70/1000,_xlpm.dec,TRUE),",",".")&amp;"L"),_xlpm.modelo,_xlpm.mv&amp;_xlpm.kwh,_xlpm.res,IF(B70="CAMIONES",_xlfn.TEXTJOIN("-",TRUE,_xlpm.modelo,_xlpm.cil,_xlpm.comb,UPPER(I70),_xlpm.trans),IF(B70="VEHICULOS",_xlfn.TEXTJOIN("-",TRUE,_xlpm.modelo,_xlpm.comb,_xlpm.cil,LOWER(I70),_xlpm.trans),"Elija TIPO MATERIAL")),IF(E70="","",_xlpm.res))</f>
        <v/>
      </c>
      <c r="Q70" s="21" t="str">
        <f t="shared" si="4"/>
        <v/>
      </c>
      <c r="R70" s="21" t="str">
        <f t="shared" si="5"/>
        <v/>
      </c>
    </row>
    <row r="71" spans="3:18" x14ac:dyDescent="0.25">
      <c r="C71" s="24" t="str">
        <f>_xlfn.LET(_xlpm.comb,_xlfn.XLOOKUP(H71,NPF!$A$4:$A$10,NPF!$B$4:$B$10,""),_xlpm.trans,_xlfn.XLOOKUP(J71,NPF!$D$4:$D$7,NPF!$E$4:$E$7,""),_xlpm.kwh,IF(AND(ISNUMBER(K71),OR(_xlpm.comb="BEV",_xlpm.comb="PHEV",_xlpm.comb="MHEV")),ROUND(K71,0)&amp;"KWH",""),_xlpm.dec,1,_xlpm.cil,IF(OR(_xlpm.comb="BEV",P71="Motos",P71="Cuatrimotos",G71=""),"",SUBSTITUTE(FIXED(G71/1000,_xlpm.dec,TRUE),",",".")&amp;"L"),IF(E71="","",UPPER(_xlfn.TEXTJOIN(" ",TRUE,E71,F71,_xlpm.cil,_xlpm.kwh,_xlpm.comb,I71,_xlpm.trans))))</f>
        <v/>
      </c>
      <c r="D71" s="24" t="str" cm="1">
        <f t="array" ref="D71">_xlfn.LET(_xlpm.comb,_xlfn.XLOOKUP(H71,NPF!$A$4:$A$10,NPF!$B$4:$B$10,""),_xlpm.trans,_xlfn.XLOOKUP(J71,NPF!$D$4:$D$7,NPF!$E$4:$E$7,""),_xlpm.orig,NPF!$W$4:$W$33,_xlpm.abr,NPF!$X$4:$X$33,_xlpm.txt,_xlfn.REDUCE(UPPER(TRIM(E71&amp;" "&amp;F71)),_xlfn.SEQUENCE(ROWS(_xlpm.orig)),_xlfn.LAMBDA(_xlpm.a,_xlpm.i,IF(INDEX(_xlpm.orig,_xlpm.i)="",_xlpm.a,SUBSTITUTE(_xlpm.a,UPPER(INDEX(_xlpm.orig,_xlpm.i)),INDEX(_xlpm.abr,_xlpm.i))))),_xlpm.mv,SUBSTITUTE(SUBSTITUTE(SUBSTITUTE(_xlpm.txt,"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71),OR(_xlpm.comb="BEV",_xlpm.comb="PHEV",_xlpm.comb="MHEV")),ROUND(K71,0)&amp;"KWH",""),_xlpm.dec,1,_xlpm.cil,IF(OR(_xlpm.comb="BEV",P71="Motos",P71="Cuatrimotos",G71=""),"",SUBSTITUTE(FIXED(G71/1000,_xlpm.dec,TRUE),",",".")&amp;"L"),_xlpm.modelo,_xlpm.mv&amp;_xlpm.kwh,_xlpm.res,IF(B71="CAMIONES",_xlfn.TEXTJOIN("-",TRUE,_xlpm.modelo,_xlpm.cil,_xlpm.comb,UPPER(I71),_xlpm.trans),IF(B71="VEHICULOS",_xlfn.TEXTJOIN("-",TRUE,_xlpm.modelo,_xlpm.comb,_xlpm.cil,LOWER(I71),_xlpm.trans),"Elija TIPO MATERIAL")),IF(E71="","",_xlpm.res))</f>
        <v/>
      </c>
      <c r="Q71" s="21" t="str">
        <f t="shared" si="4"/>
        <v/>
      </c>
      <c r="R71" s="21" t="str">
        <f t="shared" si="5"/>
        <v/>
      </c>
    </row>
    <row r="72" spans="3:18" x14ac:dyDescent="0.25">
      <c r="C72" s="24" t="str">
        <f>_xlfn.LET(_xlpm.comb,_xlfn.XLOOKUP(H72,NPF!$A$4:$A$10,NPF!$B$4:$B$10,""),_xlpm.trans,_xlfn.XLOOKUP(J72,NPF!$D$4:$D$7,NPF!$E$4:$E$7,""),_xlpm.kwh,IF(AND(ISNUMBER(K72),OR(_xlpm.comb="BEV",_xlpm.comb="PHEV",_xlpm.comb="MHEV")),ROUND(K72,0)&amp;"KWH",""),_xlpm.dec,1,_xlpm.cil,IF(OR(_xlpm.comb="BEV",P72="Motos",P72="Cuatrimotos",G72=""),"",SUBSTITUTE(FIXED(G72/1000,_xlpm.dec,TRUE),",",".")&amp;"L"),IF(E72="","",UPPER(_xlfn.TEXTJOIN(" ",TRUE,E72,F72,_xlpm.cil,_xlpm.kwh,_xlpm.comb,I72,_xlpm.trans))))</f>
        <v/>
      </c>
      <c r="D72" s="24" t="str" cm="1">
        <f t="array" ref="D72">_xlfn.LET(_xlpm.comb,_xlfn.XLOOKUP(H72,NPF!$A$4:$A$10,NPF!$B$4:$B$10,""),_xlpm.trans,_xlfn.XLOOKUP(J72,NPF!$D$4:$D$7,NPF!$E$4:$E$7,""),_xlpm.orig,NPF!$W$4:$W$33,_xlpm.abr,NPF!$X$4:$X$33,_xlpm.txt,_xlfn.REDUCE(UPPER(TRIM(E72&amp;" "&amp;F72)),_xlfn.SEQUENCE(ROWS(_xlpm.orig)),_xlfn.LAMBDA(_xlpm.a,_xlpm.i,IF(INDEX(_xlpm.orig,_xlpm.i)="",_xlpm.a,SUBSTITUTE(_xlpm.a,UPPER(INDEX(_xlpm.orig,_xlpm.i)),INDEX(_xlpm.abr,_xlpm.i))))),_xlpm.mv,SUBSTITUTE(SUBSTITUTE(SUBSTITUTE(_xlpm.txt,"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72),OR(_xlpm.comb="BEV",_xlpm.comb="PHEV",_xlpm.comb="MHEV")),ROUND(K72,0)&amp;"KWH",""),_xlpm.dec,1,_xlpm.cil,IF(OR(_xlpm.comb="BEV",P72="Motos",P72="Cuatrimotos",G72=""),"",SUBSTITUTE(FIXED(G72/1000,_xlpm.dec,TRUE),",",".")&amp;"L"),_xlpm.modelo,_xlpm.mv&amp;_xlpm.kwh,_xlpm.res,IF(B72="CAMIONES",_xlfn.TEXTJOIN("-",TRUE,_xlpm.modelo,_xlpm.cil,_xlpm.comb,UPPER(I72),_xlpm.trans),IF(B72="VEHICULOS",_xlfn.TEXTJOIN("-",TRUE,_xlpm.modelo,_xlpm.comb,_xlpm.cil,LOWER(I72),_xlpm.trans),"Elija TIPO MATERIAL")),IF(E72="","",_xlpm.res))</f>
        <v/>
      </c>
      <c r="Q72" s="21" t="str">
        <f t="shared" si="4"/>
        <v/>
      </c>
      <c r="R72" s="21" t="str">
        <f t="shared" si="5"/>
        <v/>
      </c>
    </row>
    <row r="73" spans="3:18" x14ac:dyDescent="0.25">
      <c r="C73" s="24" t="str">
        <f>_xlfn.LET(_xlpm.comb,_xlfn.XLOOKUP(H73,NPF!$A$4:$A$10,NPF!$B$4:$B$10,""),_xlpm.trans,_xlfn.XLOOKUP(J73,NPF!$D$4:$D$7,NPF!$E$4:$E$7,""),_xlpm.kwh,IF(AND(ISNUMBER(K73),OR(_xlpm.comb="BEV",_xlpm.comb="PHEV",_xlpm.comb="MHEV")),ROUND(K73,0)&amp;"KWH",""),_xlpm.dec,1,_xlpm.cil,IF(OR(_xlpm.comb="BEV",P73="Motos",P73="Cuatrimotos",G73=""),"",SUBSTITUTE(FIXED(G73/1000,_xlpm.dec,TRUE),",",".")&amp;"L"),IF(E73="","",UPPER(_xlfn.TEXTJOIN(" ",TRUE,E73,F73,_xlpm.cil,_xlpm.kwh,_xlpm.comb,I73,_xlpm.trans))))</f>
        <v/>
      </c>
      <c r="D73" s="24" t="str" cm="1">
        <f t="array" ref="D73">_xlfn.LET(_xlpm.comb,_xlfn.XLOOKUP(H73,NPF!$A$4:$A$10,NPF!$B$4:$B$10,""),_xlpm.trans,_xlfn.XLOOKUP(J73,NPF!$D$4:$D$7,NPF!$E$4:$E$7,""),_xlpm.orig,NPF!$W$4:$W$33,_xlpm.abr,NPF!$X$4:$X$33,_xlpm.txt,_xlfn.REDUCE(UPPER(TRIM(E73&amp;" "&amp;F73)),_xlfn.SEQUENCE(ROWS(_xlpm.orig)),_xlfn.LAMBDA(_xlpm.a,_xlpm.i,IF(INDEX(_xlpm.orig,_xlpm.i)="",_xlpm.a,SUBSTITUTE(_xlpm.a,UPPER(INDEX(_xlpm.orig,_xlpm.i)),INDEX(_xlpm.abr,_xlpm.i))))),_xlpm.mv,SUBSTITUTE(SUBSTITUTE(SUBSTITUTE(_xlpm.txt,"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73),OR(_xlpm.comb="BEV",_xlpm.comb="PHEV",_xlpm.comb="MHEV")),ROUND(K73,0)&amp;"KWH",""),_xlpm.dec,1,_xlpm.cil,IF(OR(_xlpm.comb="BEV",P73="Motos",P73="Cuatrimotos",G73=""),"",SUBSTITUTE(FIXED(G73/1000,_xlpm.dec,TRUE),",",".")&amp;"L"),_xlpm.modelo,_xlpm.mv&amp;_xlpm.kwh,_xlpm.res,IF(B73="CAMIONES",_xlfn.TEXTJOIN("-",TRUE,_xlpm.modelo,_xlpm.cil,_xlpm.comb,UPPER(I73),_xlpm.trans),IF(B73="VEHICULOS",_xlfn.TEXTJOIN("-",TRUE,_xlpm.modelo,_xlpm.comb,_xlpm.cil,LOWER(I73),_xlpm.trans),"Elija TIPO MATERIAL")),IF(E73="","",_xlpm.res))</f>
        <v/>
      </c>
      <c r="Q73" s="21" t="str">
        <f t="shared" si="4"/>
        <v/>
      </c>
      <c r="R73" s="21" t="str">
        <f t="shared" si="5"/>
        <v/>
      </c>
    </row>
    <row r="74" spans="3:18" x14ac:dyDescent="0.25">
      <c r="C74" s="24" t="str">
        <f>_xlfn.LET(_xlpm.comb,_xlfn.XLOOKUP(H74,NPF!$A$4:$A$10,NPF!$B$4:$B$10,""),_xlpm.trans,_xlfn.XLOOKUP(J74,NPF!$D$4:$D$7,NPF!$E$4:$E$7,""),_xlpm.kwh,IF(AND(ISNUMBER(K74),OR(_xlpm.comb="BEV",_xlpm.comb="PHEV",_xlpm.comb="MHEV")),ROUND(K74,0)&amp;"KWH",""),_xlpm.dec,1,_xlpm.cil,IF(OR(_xlpm.comb="BEV",P74="Motos",P74="Cuatrimotos",G74=""),"",SUBSTITUTE(FIXED(G74/1000,_xlpm.dec,TRUE),",",".")&amp;"L"),IF(E74="","",UPPER(_xlfn.TEXTJOIN(" ",TRUE,E74,F74,_xlpm.cil,_xlpm.kwh,_xlpm.comb,I74,_xlpm.trans))))</f>
        <v/>
      </c>
      <c r="D74" s="24" t="str" cm="1">
        <f t="array" ref="D74">_xlfn.LET(_xlpm.comb,_xlfn.XLOOKUP(H74,NPF!$A$4:$A$10,NPF!$B$4:$B$10,""),_xlpm.trans,_xlfn.XLOOKUP(J74,NPF!$D$4:$D$7,NPF!$E$4:$E$7,""),_xlpm.orig,NPF!$W$4:$W$33,_xlpm.abr,NPF!$X$4:$X$33,_xlpm.txt,_xlfn.REDUCE(UPPER(TRIM(E74&amp;" "&amp;F74)),_xlfn.SEQUENCE(ROWS(_xlpm.orig)),_xlfn.LAMBDA(_xlpm.a,_xlpm.i,IF(INDEX(_xlpm.orig,_xlpm.i)="",_xlpm.a,SUBSTITUTE(_xlpm.a,UPPER(INDEX(_xlpm.orig,_xlpm.i)),INDEX(_xlpm.abr,_xlpm.i))))),_xlpm.mv,SUBSTITUTE(SUBSTITUTE(SUBSTITUTE(_xlpm.txt,"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74),OR(_xlpm.comb="BEV",_xlpm.comb="PHEV",_xlpm.comb="MHEV")),ROUND(K74,0)&amp;"KWH",""),_xlpm.dec,1,_xlpm.cil,IF(OR(_xlpm.comb="BEV",P74="Motos",P74="Cuatrimotos",G74=""),"",SUBSTITUTE(FIXED(G74/1000,_xlpm.dec,TRUE),",",".")&amp;"L"),_xlpm.modelo,_xlpm.mv&amp;_xlpm.kwh,_xlpm.res,IF(B74="CAMIONES",_xlfn.TEXTJOIN("-",TRUE,_xlpm.modelo,_xlpm.cil,_xlpm.comb,UPPER(I74),_xlpm.trans),IF(B74="VEHICULOS",_xlfn.TEXTJOIN("-",TRUE,_xlpm.modelo,_xlpm.comb,_xlpm.cil,LOWER(I74),_xlpm.trans),"Elija TIPO MATERIAL")),IF(E74="","",_xlpm.res))</f>
        <v/>
      </c>
      <c r="Q74" s="21" t="str">
        <f t="shared" si="4"/>
        <v/>
      </c>
      <c r="R74" s="21" t="str">
        <f t="shared" si="5"/>
        <v/>
      </c>
    </row>
    <row r="75" spans="3:18" x14ac:dyDescent="0.25">
      <c r="C75" s="24" t="str">
        <f>_xlfn.LET(_xlpm.comb,_xlfn.XLOOKUP(H75,NPF!$A$4:$A$10,NPF!$B$4:$B$10,""),_xlpm.trans,_xlfn.XLOOKUP(J75,NPF!$D$4:$D$7,NPF!$E$4:$E$7,""),_xlpm.kwh,IF(AND(ISNUMBER(K75),OR(_xlpm.comb="BEV",_xlpm.comb="PHEV",_xlpm.comb="MHEV")),ROUND(K75,0)&amp;"KWH",""),_xlpm.dec,1,_xlpm.cil,IF(OR(_xlpm.comb="BEV",P75="Motos",P75="Cuatrimotos",G75=""),"",SUBSTITUTE(FIXED(G75/1000,_xlpm.dec,TRUE),",",".")&amp;"L"),IF(E75="","",UPPER(_xlfn.TEXTJOIN(" ",TRUE,E75,F75,_xlpm.cil,_xlpm.kwh,_xlpm.comb,I75,_xlpm.trans))))</f>
        <v/>
      </c>
      <c r="D75" s="24" t="str" cm="1">
        <f t="array" ref="D75">_xlfn.LET(_xlpm.comb,_xlfn.XLOOKUP(H75,NPF!$A$4:$A$10,NPF!$B$4:$B$10,""),_xlpm.trans,_xlfn.XLOOKUP(J75,NPF!$D$4:$D$7,NPF!$E$4:$E$7,""),_xlpm.orig,NPF!$W$4:$W$33,_xlpm.abr,NPF!$X$4:$X$33,_xlpm.txt,_xlfn.REDUCE(UPPER(TRIM(E75&amp;" "&amp;F75)),_xlfn.SEQUENCE(ROWS(_xlpm.orig)),_xlfn.LAMBDA(_xlpm.a,_xlpm.i,IF(INDEX(_xlpm.orig,_xlpm.i)="",_xlpm.a,SUBSTITUTE(_xlpm.a,UPPER(INDEX(_xlpm.orig,_xlpm.i)),INDEX(_xlpm.abr,_xlpm.i))))),_xlpm.mv,SUBSTITUTE(SUBSTITUTE(SUBSTITUTE(_xlpm.txt,"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75),OR(_xlpm.comb="BEV",_xlpm.comb="PHEV",_xlpm.comb="MHEV")),ROUND(K75,0)&amp;"KWH",""),_xlpm.dec,1,_xlpm.cil,IF(OR(_xlpm.comb="BEV",P75="Motos",P75="Cuatrimotos",G75=""),"",SUBSTITUTE(FIXED(G75/1000,_xlpm.dec,TRUE),",",".")&amp;"L"),_xlpm.modelo,_xlpm.mv&amp;_xlpm.kwh,_xlpm.res,IF(B75="CAMIONES",_xlfn.TEXTJOIN("-",TRUE,_xlpm.modelo,_xlpm.cil,_xlpm.comb,UPPER(I75),_xlpm.trans),IF(B75="VEHICULOS",_xlfn.TEXTJOIN("-",TRUE,_xlpm.modelo,_xlpm.comb,_xlpm.cil,LOWER(I75),_xlpm.trans),"Elija TIPO MATERIAL")),IF(E75="","",_xlpm.res))</f>
        <v/>
      </c>
      <c r="Q75" s="21" t="str">
        <f t="shared" si="4"/>
        <v/>
      </c>
      <c r="R75" s="21" t="str">
        <f t="shared" si="5"/>
        <v/>
      </c>
    </row>
    <row r="76" spans="3:18" x14ac:dyDescent="0.25">
      <c r="C76" s="24" t="str">
        <f>_xlfn.LET(_xlpm.comb,_xlfn.XLOOKUP(H76,NPF!$A$4:$A$10,NPF!$B$4:$B$10,""),_xlpm.trans,_xlfn.XLOOKUP(J76,NPF!$D$4:$D$7,NPF!$E$4:$E$7,""),_xlpm.kwh,IF(AND(ISNUMBER(K76),OR(_xlpm.comb="BEV",_xlpm.comb="PHEV",_xlpm.comb="MHEV")),ROUND(K76,0)&amp;"KWH",""),_xlpm.dec,1,_xlpm.cil,IF(OR(_xlpm.comb="BEV",P76="Motos",P76="Cuatrimotos",G76=""),"",SUBSTITUTE(FIXED(G76/1000,_xlpm.dec,TRUE),",",".")&amp;"L"),IF(E76="","",UPPER(_xlfn.TEXTJOIN(" ",TRUE,E76,F76,_xlpm.cil,_xlpm.kwh,_xlpm.comb,I76,_xlpm.trans))))</f>
        <v/>
      </c>
      <c r="D76" s="24" t="str" cm="1">
        <f t="array" ref="D76">_xlfn.LET(_xlpm.comb,_xlfn.XLOOKUP(H76,NPF!$A$4:$A$10,NPF!$B$4:$B$10,""),_xlpm.trans,_xlfn.XLOOKUP(J76,NPF!$D$4:$D$7,NPF!$E$4:$E$7,""),_xlpm.orig,NPF!$W$4:$W$33,_xlpm.abr,NPF!$X$4:$X$33,_xlpm.txt,_xlfn.REDUCE(UPPER(TRIM(E76&amp;" "&amp;F76)),_xlfn.SEQUENCE(ROWS(_xlpm.orig)),_xlfn.LAMBDA(_xlpm.a,_xlpm.i,IF(INDEX(_xlpm.orig,_xlpm.i)="",_xlpm.a,SUBSTITUTE(_xlpm.a,UPPER(INDEX(_xlpm.orig,_xlpm.i)),INDEX(_xlpm.abr,_xlpm.i))))),_xlpm.mv,SUBSTITUTE(SUBSTITUTE(SUBSTITUTE(_xlpm.txt,"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76),OR(_xlpm.comb="BEV",_xlpm.comb="PHEV",_xlpm.comb="MHEV")),ROUND(K76,0)&amp;"KWH",""),_xlpm.dec,1,_xlpm.cil,IF(OR(_xlpm.comb="BEV",P76="Motos",P76="Cuatrimotos",G76=""),"",SUBSTITUTE(FIXED(G76/1000,_xlpm.dec,TRUE),",",".")&amp;"L"),_xlpm.modelo,_xlpm.mv&amp;_xlpm.kwh,_xlpm.res,IF(B76="CAMIONES",_xlfn.TEXTJOIN("-",TRUE,_xlpm.modelo,_xlpm.cil,_xlpm.comb,UPPER(I76),_xlpm.trans),IF(B76="VEHICULOS",_xlfn.TEXTJOIN("-",TRUE,_xlpm.modelo,_xlpm.comb,_xlpm.cil,LOWER(I76),_xlpm.trans),"Elija TIPO MATERIAL")),IF(E76="","",_xlpm.res))</f>
        <v/>
      </c>
      <c r="Q76" s="21" t="str">
        <f t="shared" si="4"/>
        <v/>
      </c>
      <c r="R76" s="21" t="str">
        <f t="shared" si="5"/>
        <v/>
      </c>
    </row>
    <row r="77" spans="3:18" x14ac:dyDescent="0.25">
      <c r="C77" s="24" t="str">
        <f>_xlfn.LET(_xlpm.comb,_xlfn.XLOOKUP(H77,NPF!$A$4:$A$10,NPF!$B$4:$B$10,""),_xlpm.trans,_xlfn.XLOOKUP(J77,NPF!$D$4:$D$7,NPF!$E$4:$E$7,""),_xlpm.kwh,IF(AND(ISNUMBER(K77),OR(_xlpm.comb="BEV",_xlpm.comb="PHEV",_xlpm.comb="MHEV")),ROUND(K77,0)&amp;"KWH",""),_xlpm.dec,1,_xlpm.cil,IF(OR(_xlpm.comb="BEV",P77="Motos",P77="Cuatrimotos",G77=""),"",SUBSTITUTE(FIXED(G77/1000,_xlpm.dec,TRUE),",",".")&amp;"L"),IF(E77="","",UPPER(_xlfn.TEXTJOIN(" ",TRUE,E77,F77,_xlpm.cil,_xlpm.kwh,_xlpm.comb,I77,_xlpm.trans))))</f>
        <v/>
      </c>
      <c r="D77" s="24" t="str" cm="1">
        <f t="array" ref="D77">_xlfn.LET(_xlpm.comb,_xlfn.XLOOKUP(H77,NPF!$A$4:$A$10,NPF!$B$4:$B$10,""),_xlpm.trans,_xlfn.XLOOKUP(J77,NPF!$D$4:$D$7,NPF!$E$4:$E$7,""),_xlpm.orig,NPF!$W$4:$W$33,_xlpm.abr,NPF!$X$4:$X$33,_xlpm.txt,_xlfn.REDUCE(UPPER(TRIM(E77&amp;" "&amp;F77)),_xlfn.SEQUENCE(ROWS(_xlpm.orig)),_xlfn.LAMBDA(_xlpm.a,_xlpm.i,IF(INDEX(_xlpm.orig,_xlpm.i)="",_xlpm.a,SUBSTITUTE(_xlpm.a,UPPER(INDEX(_xlpm.orig,_xlpm.i)),INDEX(_xlpm.abr,_xlpm.i))))),_xlpm.mv,SUBSTITUTE(SUBSTITUTE(SUBSTITUTE(_xlpm.txt,"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77),OR(_xlpm.comb="BEV",_xlpm.comb="PHEV",_xlpm.comb="MHEV")),ROUND(K77,0)&amp;"KWH",""),_xlpm.dec,1,_xlpm.cil,IF(OR(_xlpm.comb="BEV",P77="Motos",P77="Cuatrimotos",G77=""),"",SUBSTITUTE(FIXED(G77/1000,_xlpm.dec,TRUE),",",".")&amp;"L"),_xlpm.modelo,_xlpm.mv&amp;_xlpm.kwh,_xlpm.res,IF(B77="CAMIONES",_xlfn.TEXTJOIN("-",TRUE,_xlpm.modelo,_xlpm.cil,_xlpm.comb,UPPER(I77),_xlpm.trans),IF(B77="VEHICULOS",_xlfn.TEXTJOIN("-",TRUE,_xlpm.modelo,_xlpm.comb,_xlpm.cil,LOWER(I77),_xlpm.trans),"Elija TIPO MATERIAL")),IF(E77="","",_xlpm.res))</f>
        <v/>
      </c>
      <c r="Q77" s="21" t="str">
        <f t="shared" si="4"/>
        <v/>
      </c>
      <c r="R77" s="21" t="str">
        <f t="shared" si="5"/>
        <v/>
      </c>
    </row>
    <row r="78" spans="3:18" x14ac:dyDescent="0.25">
      <c r="C78" s="24" t="str">
        <f>_xlfn.LET(_xlpm.comb,_xlfn.XLOOKUP(H78,NPF!$A$4:$A$10,NPF!$B$4:$B$10,""),_xlpm.trans,_xlfn.XLOOKUP(J78,NPF!$D$4:$D$7,NPF!$E$4:$E$7,""),_xlpm.kwh,IF(AND(ISNUMBER(K78),OR(_xlpm.comb="BEV",_xlpm.comb="PHEV",_xlpm.comb="MHEV")),ROUND(K78,0)&amp;"KWH",""),_xlpm.dec,1,_xlpm.cil,IF(OR(_xlpm.comb="BEV",P78="Motos",P78="Cuatrimotos",G78=""),"",SUBSTITUTE(FIXED(G78/1000,_xlpm.dec,TRUE),",",".")&amp;"L"),IF(E78="","",UPPER(_xlfn.TEXTJOIN(" ",TRUE,E78,F78,_xlpm.cil,_xlpm.kwh,_xlpm.comb,I78,_xlpm.trans))))</f>
        <v/>
      </c>
      <c r="D78" s="24" t="str" cm="1">
        <f t="array" ref="D78">_xlfn.LET(_xlpm.comb,_xlfn.XLOOKUP(H78,NPF!$A$4:$A$10,NPF!$B$4:$B$10,""),_xlpm.trans,_xlfn.XLOOKUP(J78,NPF!$D$4:$D$7,NPF!$E$4:$E$7,""),_xlpm.orig,NPF!$W$4:$W$33,_xlpm.abr,NPF!$X$4:$X$33,_xlpm.txt,_xlfn.REDUCE(UPPER(TRIM(E78&amp;" "&amp;F78)),_xlfn.SEQUENCE(ROWS(_xlpm.orig)),_xlfn.LAMBDA(_xlpm.a,_xlpm.i,IF(INDEX(_xlpm.orig,_xlpm.i)="",_xlpm.a,SUBSTITUTE(_xlpm.a,UPPER(INDEX(_xlpm.orig,_xlpm.i)),INDEX(_xlpm.abr,_xlpm.i))))),_xlpm.mv,SUBSTITUTE(SUBSTITUTE(SUBSTITUTE(_xlpm.txt,"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78),OR(_xlpm.comb="BEV",_xlpm.comb="PHEV",_xlpm.comb="MHEV")),ROUND(K78,0)&amp;"KWH",""),_xlpm.dec,1,_xlpm.cil,IF(OR(_xlpm.comb="BEV",P78="Motos",P78="Cuatrimotos",G78=""),"",SUBSTITUTE(FIXED(G78/1000,_xlpm.dec,TRUE),",",".")&amp;"L"),_xlpm.modelo,_xlpm.mv&amp;_xlpm.kwh,_xlpm.res,IF(B78="CAMIONES",_xlfn.TEXTJOIN("-",TRUE,_xlpm.modelo,_xlpm.cil,_xlpm.comb,UPPER(I78),_xlpm.trans),IF(B78="VEHICULOS",_xlfn.TEXTJOIN("-",TRUE,_xlpm.modelo,_xlpm.comb,_xlpm.cil,LOWER(I78),_xlpm.trans),"Elija TIPO MATERIAL")),IF(E78="","",_xlpm.res))</f>
        <v/>
      </c>
      <c r="Q78" s="21" t="str">
        <f t="shared" si="4"/>
        <v/>
      </c>
      <c r="R78" s="21" t="str">
        <f t="shared" si="5"/>
        <v/>
      </c>
    </row>
    <row r="79" spans="3:18" x14ac:dyDescent="0.25">
      <c r="C79" s="24" t="str">
        <f>_xlfn.LET(_xlpm.comb,_xlfn.XLOOKUP(H79,NPF!$A$4:$A$10,NPF!$B$4:$B$10,""),_xlpm.trans,_xlfn.XLOOKUP(J79,NPF!$D$4:$D$7,NPF!$E$4:$E$7,""),_xlpm.kwh,IF(AND(ISNUMBER(K79),OR(_xlpm.comb="BEV",_xlpm.comb="PHEV",_xlpm.comb="MHEV")),ROUND(K79,0)&amp;"KWH",""),_xlpm.dec,1,_xlpm.cil,IF(OR(_xlpm.comb="BEV",P79="Motos",P79="Cuatrimotos",G79=""),"",SUBSTITUTE(FIXED(G79/1000,_xlpm.dec,TRUE),",",".")&amp;"L"),IF(E79="","",UPPER(_xlfn.TEXTJOIN(" ",TRUE,E79,F79,_xlpm.cil,_xlpm.kwh,_xlpm.comb,I79,_xlpm.trans))))</f>
        <v/>
      </c>
      <c r="D79" s="24" t="str" cm="1">
        <f t="array" ref="D79">_xlfn.LET(_xlpm.comb,_xlfn.XLOOKUP(H79,NPF!$A$4:$A$10,NPF!$B$4:$B$10,""),_xlpm.trans,_xlfn.XLOOKUP(J79,NPF!$D$4:$D$7,NPF!$E$4:$E$7,""),_xlpm.orig,NPF!$W$4:$W$33,_xlpm.abr,NPF!$X$4:$X$33,_xlpm.txt,_xlfn.REDUCE(UPPER(TRIM(E79&amp;" "&amp;F79)),_xlfn.SEQUENCE(ROWS(_xlpm.orig)),_xlfn.LAMBDA(_xlpm.a,_xlpm.i,IF(INDEX(_xlpm.orig,_xlpm.i)="",_xlpm.a,SUBSTITUTE(_xlpm.a,UPPER(INDEX(_xlpm.orig,_xlpm.i)),INDEX(_xlpm.abr,_xlpm.i))))),_xlpm.mv,SUBSTITUTE(SUBSTITUTE(SUBSTITUTE(_xlpm.txt,"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79),OR(_xlpm.comb="BEV",_xlpm.comb="PHEV",_xlpm.comb="MHEV")),ROUND(K79,0)&amp;"KWH",""),_xlpm.dec,1,_xlpm.cil,IF(OR(_xlpm.comb="BEV",P79="Motos",P79="Cuatrimotos",G79=""),"",SUBSTITUTE(FIXED(G79/1000,_xlpm.dec,TRUE),",",".")&amp;"L"),_xlpm.modelo,_xlpm.mv&amp;_xlpm.kwh,_xlpm.res,IF(B79="CAMIONES",_xlfn.TEXTJOIN("-",TRUE,_xlpm.modelo,_xlpm.cil,_xlpm.comb,UPPER(I79),_xlpm.trans),IF(B79="VEHICULOS",_xlfn.TEXTJOIN("-",TRUE,_xlpm.modelo,_xlpm.comb,_xlpm.cil,LOWER(I79),_xlpm.trans),"Elija TIPO MATERIAL")),IF(E79="","",_xlpm.res))</f>
        <v/>
      </c>
      <c r="Q79" s="21" t="str">
        <f t="shared" si="4"/>
        <v/>
      </c>
      <c r="R79" s="21" t="str">
        <f t="shared" si="5"/>
        <v/>
      </c>
    </row>
    <row r="80" spans="3:18" x14ac:dyDescent="0.25">
      <c r="C80" s="24" t="str">
        <f>_xlfn.LET(_xlpm.comb,_xlfn.XLOOKUP(H80,NPF!$A$4:$A$10,NPF!$B$4:$B$10,""),_xlpm.trans,_xlfn.XLOOKUP(J80,NPF!$D$4:$D$7,NPF!$E$4:$E$7,""),_xlpm.kwh,IF(AND(ISNUMBER(K80),OR(_xlpm.comb="BEV",_xlpm.comb="PHEV",_xlpm.comb="MHEV")),ROUND(K80,0)&amp;"KWH",""),_xlpm.dec,1,_xlpm.cil,IF(OR(_xlpm.comb="BEV",P80="Motos",P80="Cuatrimotos",G80=""),"",SUBSTITUTE(FIXED(G80/1000,_xlpm.dec,TRUE),",",".")&amp;"L"),IF(E80="","",UPPER(_xlfn.TEXTJOIN(" ",TRUE,E80,F80,_xlpm.cil,_xlpm.kwh,_xlpm.comb,I80,_xlpm.trans))))</f>
        <v/>
      </c>
      <c r="D80" s="24" t="str" cm="1">
        <f t="array" ref="D80">_xlfn.LET(_xlpm.comb,_xlfn.XLOOKUP(H80,NPF!$A$4:$A$10,NPF!$B$4:$B$10,""),_xlpm.trans,_xlfn.XLOOKUP(J80,NPF!$D$4:$D$7,NPF!$E$4:$E$7,""),_xlpm.orig,NPF!$W$4:$W$33,_xlpm.abr,NPF!$X$4:$X$33,_xlpm.txt,_xlfn.REDUCE(UPPER(TRIM(E80&amp;" "&amp;F80)),_xlfn.SEQUENCE(ROWS(_xlpm.orig)),_xlfn.LAMBDA(_xlpm.a,_xlpm.i,IF(INDEX(_xlpm.orig,_xlpm.i)="",_xlpm.a,SUBSTITUTE(_xlpm.a,UPPER(INDEX(_xlpm.orig,_xlpm.i)),INDEX(_xlpm.abr,_xlpm.i))))),_xlpm.mv,SUBSTITUTE(SUBSTITUTE(SUBSTITUTE(_xlpm.txt,"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80),OR(_xlpm.comb="BEV",_xlpm.comb="PHEV",_xlpm.comb="MHEV")),ROUND(K80,0)&amp;"KWH",""),_xlpm.dec,1,_xlpm.cil,IF(OR(_xlpm.comb="BEV",P80="Motos",P80="Cuatrimotos",G80=""),"",SUBSTITUTE(FIXED(G80/1000,_xlpm.dec,TRUE),",",".")&amp;"L"),_xlpm.modelo,_xlpm.mv&amp;_xlpm.kwh,_xlpm.res,IF(B80="CAMIONES",_xlfn.TEXTJOIN("-",TRUE,_xlpm.modelo,_xlpm.cil,_xlpm.comb,UPPER(I80),_xlpm.trans),IF(B80="VEHICULOS",_xlfn.TEXTJOIN("-",TRUE,_xlpm.modelo,_xlpm.comb,_xlpm.cil,LOWER(I80),_xlpm.trans),"Elija TIPO MATERIAL")),IF(E80="","",_xlpm.res))</f>
        <v/>
      </c>
      <c r="Q80" s="21" t="str">
        <f t="shared" si="4"/>
        <v/>
      </c>
      <c r="R80" s="21" t="str">
        <f t="shared" si="5"/>
        <v/>
      </c>
    </row>
    <row r="81" spans="3:18" x14ac:dyDescent="0.25">
      <c r="C81" s="24" t="str">
        <f>_xlfn.LET(_xlpm.comb,_xlfn.XLOOKUP(H81,NPF!$A$4:$A$10,NPF!$B$4:$B$10,""),_xlpm.trans,_xlfn.XLOOKUP(J81,NPF!$D$4:$D$7,NPF!$E$4:$E$7,""),_xlpm.kwh,IF(AND(ISNUMBER(K81),OR(_xlpm.comb="BEV",_xlpm.comb="PHEV",_xlpm.comb="MHEV")),ROUND(K81,0)&amp;"KWH",""),_xlpm.dec,1,_xlpm.cil,IF(OR(_xlpm.comb="BEV",P81="Motos",P81="Cuatrimotos",G81=""),"",SUBSTITUTE(FIXED(G81/1000,_xlpm.dec,TRUE),",",".")&amp;"L"),IF(E81="","",UPPER(_xlfn.TEXTJOIN(" ",TRUE,E81,F81,_xlpm.cil,_xlpm.kwh,_xlpm.comb,I81,_xlpm.trans))))</f>
        <v/>
      </c>
      <c r="D81" s="24" t="str" cm="1">
        <f t="array" ref="D81">_xlfn.LET(_xlpm.comb,_xlfn.XLOOKUP(H81,NPF!$A$4:$A$10,NPF!$B$4:$B$10,""),_xlpm.trans,_xlfn.XLOOKUP(J81,NPF!$D$4:$D$7,NPF!$E$4:$E$7,""),_xlpm.orig,NPF!$W$4:$W$33,_xlpm.abr,NPF!$X$4:$X$33,_xlpm.txt,_xlfn.REDUCE(UPPER(TRIM(E81&amp;" "&amp;F81)),_xlfn.SEQUENCE(ROWS(_xlpm.orig)),_xlfn.LAMBDA(_xlpm.a,_xlpm.i,IF(INDEX(_xlpm.orig,_xlpm.i)="",_xlpm.a,SUBSTITUTE(_xlpm.a,UPPER(INDEX(_xlpm.orig,_xlpm.i)),INDEX(_xlpm.abr,_xlpm.i))))),_xlpm.mv,SUBSTITUTE(SUBSTITUTE(SUBSTITUTE(_xlpm.txt,"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81),OR(_xlpm.comb="BEV",_xlpm.comb="PHEV",_xlpm.comb="MHEV")),ROUND(K81,0)&amp;"KWH",""),_xlpm.dec,1,_xlpm.cil,IF(OR(_xlpm.comb="BEV",P81="Motos",P81="Cuatrimotos",G81=""),"",SUBSTITUTE(FIXED(G81/1000,_xlpm.dec,TRUE),",",".")&amp;"L"),_xlpm.modelo,_xlpm.mv&amp;_xlpm.kwh,_xlpm.res,IF(B81="CAMIONES",_xlfn.TEXTJOIN("-",TRUE,_xlpm.modelo,_xlpm.cil,_xlpm.comb,UPPER(I81),_xlpm.trans),IF(B81="VEHICULOS",_xlfn.TEXTJOIN("-",TRUE,_xlpm.modelo,_xlpm.comb,_xlpm.cil,LOWER(I81),_xlpm.trans),"Elija TIPO MATERIAL")),IF(E81="","",_xlpm.res))</f>
        <v/>
      </c>
      <c r="Q81" s="21" t="str">
        <f t="shared" si="4"/>
        <v/>
      </c>
      <c r="R81" s="21" t="str">
        <f t="shared" si="5"/>
        <v/>
      </c>
    </row>
    <row r="82" spans="3:18" x14ac:dyDescent="0.25">
      <c r="C82" s="24" t="str">
        <f>_xlfn.LET(_xlpm.comb,_xlfn.XLOOKUP(H82,NPF!$A$4:$A$10,NPF!$B$4:$B$10,""),_xlpm.trans,_xlfn.XLOOKUP(J82,NPF!$D$4:$D$7,NPF!$E$4:$E$7,""),_xlpm.kwh,IF(AND(ISNUMBER(K82),OR(_xlpm.comb="BEV",_xlpm.comb="PHEV",_xlpm.comb="MHEV")),ROUND(K82,0)&amp;"KWH",""),_xlpm.dec,1,_xlpm.cil,IF(OR(_xlpm.comb="BEV",P82="Motos",P82="Cuatrimotos",G82=""),"",SUBSTITUTE(FIXED(G82/1000,_xlpm.dec,TRUE),",",".")&amp;"L"),IF(E82="","",UPPER(_xlfn.TEXTJOIN(" ",TRUE,E82,F82,_xlpm.cil,_xlpm.kwh,_xlpm.comb,I82,_xlpm.trans))))</f>
        <v/>
      </c>
      <c r="D82" s="24" t="str" cm="1">
        <f t="array" ref="D82">_xlfn.LET(_xlpm.comb,_xlfn.XLOOKUP(H82,NPF!$A$4:$A$10,NPF!$B$4:$B$10,""),_xlpm.trans,_xlfn.XLOOKUP(J82,NPF!$D$4:$D$7,NPF!$E$4:$E$7,""),_xlpm.orig,NPF!$W$4:$W$33,_xlpm.abr,NPF!$X$4:$X$33,_xlpm.txt,_xlfn.REDUCE(UPPER(TRIM(E82&amp;" "&amp;F82)),_xlfn.SEQUENCE(ROWS(_xlpm.orig)),_xlfn.LAMBDA(_xlpm.a,_xlpm.i,IF(INDEX(_xlpm.orig,_xlpm.i)="",_xlpm.a,SUBSTITUTE(_xlpm.a,UPPER(INDEX(_xlpm.orig,_xlpm.i)),INDEX(_xlpm.abr,_xlpm.i))))),_xlpm.mv,SUBSTITUTE(SUBSTITUTE(SUBSTITUTE(_xlpm.txt,"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82),OR(_xlpm.comb="BEV",_xlpm.comb="PHEV",_xlpm.comb="MHEV")),ROUND(K82,0)&amp;"KWH",""),_xlpm.dec,1,_xlpm.cil,IF(OR(_xlpm.comb="BEV",P82="Motos",P82="Cuatrimotos",G82=""),"",SUBSTITUTE(FIXED(G82/1000,_xlpm.dec,TRUE),",",".")&amp;"L"),_xlpm.modelo,_xlpm.mv&amp;_xlpm.kwh,_xlpm.res,IF(B82="CAMIONES",_xlfn.TEXTJOIN("-",TRUE,_xlpm.modelo,_xlpm.cil,_xlpm.comb,UPPER(I82),_xlpm.trans),IF(B82="VEHICULOS",_xlfn.TEXTJOIN("-",TRUE,_xlpm.modelo,_xlpm.comb,_xlpm.cil,LOWER(I82),_xlpm.trans),"Elija TIPO MATERIAL")),IF(E82="","",_xlpm.res))</f>
        <v/>
      </c>
      <c r="Q82" s="21" t="str">
        <f t="shared" si="4"/>
        <v/>
      </c>
      <c r="R82" s="21" t="str">
        <f t="shared" si="5"/>
        <v/>
      </c>
    </row>
    <row r="83" spans="3:18" x14ac:dyDescent="0.25">
      <c r="C83" s="24" t="str">
        <f>_xlfn.LET(_xlpm.comb,_xlfn.XLOOKUP(H83,NPF!$A$4:$A$10,NPF!$B$4:$B$10,""),_xlpm.trans,_xlfn.XLOOKUP(J83,NPF!$D$4:$D$7,NPF!$E$4:$E$7,""),_xlpm.kwh,IF(AND(ISNUMBER(K83),OR(_xlpm.comb="BEV",_xlpm.comb="PHEV",_xlpm.comb="MHEV")),ROUND(K83,0)&amp;"KWH",""),_xlpm.dec,1,_xlpm.cil,IF(OR(_xlpm.comb="BEV",P83="Motos",P83="Cuatrimotos",G83=""),"",SUBSTITUTE(FIXED(G83/1000,_xlpm.dec,TRUE),",",".")&amp;"L"),IF(E83="","",UPPER(_xlfn.TEXTJOIN(" ",TRUE,E83,F83,_xlpm.cil,_xlpm.kwh,_xlpm.comb,I83,_xlpm.trans))))</f>
        <v/>
      </c>
      <c r="D83" s="24" t="str" cm="1">
        <f t="array" ref="D83">_xlfn.LET(_xlpm.comb,_xlfn.XLOOKUP(H83,NPF!$A$4:$A$10,NPF!$B$4:$B$10,""),_xlpm.trans,_xlfn.XLOOKUP(J83,NPF!$D$4:$D$7,NPF!$E$4:$E$7,""),_xlpm.orig,NPF!$W$4:$W$33,_xlpm.abr,NPF!$X$4:$X$33,_xlpm.txt,_xlfn.REDUCE(UPPER(TRIM(E83&amp;" "&amp;F83)),_xlfn.SEQUENCE(ROWS(_xlpm.orig)),_xlfn.LAMBDA(_xlpm.a,_xlpm.i,IF(INDEX(_xlpm.orig,_xlpm.i)="",_xlpm.a,SUBSTITUTE(_xlpm.a,UPPER(INDEX(_xlpm.orig,_xlpm.i)),INDEX(_xlpm.abr,_xlpm.i))))),_xlpm.mv,SUBSTITUTE(SUBSTITUTE(SUBSTITUTE(_xlpm.txt,"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83),OR(_xlpm.comb="BEV",_xlpm.comb="PHEV",_xlpm.comb="MHEV")),ROUND(K83,0)&amp;"KWH",""),_xlpm.dec,1,_xlpm.cil,IF(OR(_xlpm.comb="BEV",P83="Motos",P83="Cuatrimotos",G83=""),"",SUBSTITUTE(FIXED(G83/1000,_xlpm.dec,TRUE),",",".")&amp;"L"),_xlpm.modelo,_xlpm.mv&amp;_xlpm.kwh,_xlpm.res,IF(B83="CAMIONES",_xlfn.TEXTJOIN("-",TRUE,_xlpm.modelo,_xlpm.cil,_xlpm.comb,UPPER(I83),_xlpm.trans),IF(B83="VEHICULOS",_xlfn.TEXTJOIN("-",TRUE,_xlpm.modelo,_xlpm.comb,_xlpm.cil,LOWER(I83),_xlpm.trans),"Elija TIPO MATERIAL")),IF(E83="","",_xlpm.res))</f>
        <v/>
      </c>
      <c r="Q83" s="21" t="str">
        <f t="shared" si="4"/>
        <v/>
      </c>
      <c r="R83" s="21" t="str">
        <f t="shared" si="5"/>
        <v/>
      </c>
    </row>
    <row r="84" spans="3:18" x14ac:dyDescent="0.25">
      <c r="C84" s="24" t="str">
        <f>_xlfn.LET(_xlpm.comb,_xlfn.XLOOKUP(H84,NPF!$A$4:$A$10,NPF!$B$4:$B$10,""),_xlpm.trans,_xlfn.XLOOKUP(J84,NPF!$D$4:$D$7,NPF!$E$4:$E$7,""),_xlpm.kwh,IF(AND(ISNUMBER(K84),OR(_xlpm.comb="BEV",_xlpm.comb="PHEV",_xlpm.comb="MHEV")),ROUND(K84,0)&amp;"KWH",""),_xlpm.dec,1,_xlpm.cil,IF(OR(_xlpm.comb="BEV",P84="Motos",P84="Cuatrimotos",G84=""),"",SUBSTITUTE(FIXED(G84/1000,_xlpm.dec,TRUE),",",".")&amp;"L"),IF(E84="","",UPPER(_xlfn.TEXTJOIN(" ",TRUE,E84,F84,_xlpm.cil,_xlpm.kwh,_xlpm.comb,I84,_xlpm.trans))))</f>
        <v/>
      </c>
      <c r="D84" s="24" t="str" cm="1">
        <f t="array" ref="D84">_xlfn.LET(_xlpm.comb,_xlfn.XLOOKUP(H84,NPF!$A$4:$A$10,NPF!$B$4:$B$10,""),_xlpm.trans,_xlfn.XLOOKUP(J84,NPF!$D$4:$D$7,NPF!$E$4:$E$7,""),_xlpm.orig,NPF!$W$4:$W$33,_xlpm.abr,NPF!$X$4:$X$33,_xlpm.txt,_xlfn.REDUCE(UPPER(TRIM(E84&amp;" "&amp;F84)),_xlfn.SEQUENCE(ROWS(_xlpm.orig)),_xlfn.LAMBDA(_xlpm.a,_xlpm.i,IF(INDEX(_xlpm.orig,_xlpm.i)="",_xlpm.a,SUBSTITUTE(_xlpm.a,UPPER(INDEX(_xlpm.orig,_xlpm.i)),INDEX(_xlpm.abr,_xlpm.i))))),_xlpm.mv,SUBSTITUTE(SUBSTITUTE(SUBSTITUTE(_xlpm.txt,"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84),OR(_xlpm.comb="BEV",_xlpm.comb="PHEV",_xlpm.comb="MHEV")),ROUND(K84,0)&amp;"KWH",""),_xlpm.dec,1,_xlpm.cil,IF(OR(_xlpm.comb="BEV",P84="Motos",P84="Cuatrimotos",G84=""),"",SUBSTITUTE(FIXED(G84/1000,_xlpm.dec,TRUE),",",".")&amp;"L"),_xlpm.modelo,_xlpm.mv&amp;_xlpm.kwh,_xlpm.res,IF(B84="CAMIONES",_xlfn.TEXTJOIN("-",TRUE,_xlpm.modelo,_xlpm.cil,_xlpm.comb,UPPER(I84),_xlpm.trans),IF(B84="VEHICULOS",_xlfn.TEXTJOIN("-",TRUE,_xlpm.modelo,_xlpm.comb,_xlpm.cil,LOWER(I84),_xlpm.trans),"Elija TIPO MATERIAL")),IF(E84="","",_xlpm.res))</f>
        <v/>
      </c>
      <c r="Q84" s="21" t="str">
        <f t="shared" si="4"/>
        <v/>
      </c>
      <c r="R84" s="21" t="str">
        <f t="shared" si="5"/>
        <v/>
      </c>
    </row>
    <row r="85" spans="3:18" x14ac:dyDescent="0.25">
      <c r="C85" s="24" t="str">
        <f>_xlfn.LET(_xlpm.comb,_xlfn.XLOOKUP(H85,NPF!$A$4:$A$10,NPF!$B$4:$B$10,""),_xlpm.trans,_xlfn.XLOOKUP(J85,NPF!$D$4:$D$7,NPF!$E$4:$E$7,""),_xlpm.kwh,IF(AND(ISNUMBER(K85),OR(_xlpm.comb="BEV",_xlpm.comb="PHEV",_xlpm.comb="MHEV")),ROUND(K85,0)&amp;"KWH",""),_xlpm.dec,1,_xlpm.cil,IF(OR(_xlpm.comb="BEV",P85="Motos",P85="Cuatrimotos",G85=""),"",SUBSTITUTE(FIXED(G85/1000,_xlpm.dec,TRUE),",",".")&amp;"L"),IF(E85="","",UPPER(_xlfn.TEXTJOIN(" ",TRUE,E85,F85,_xlpm.cil,_xlpm.kwh,_xlpm.comb,I85,_xlpm.trans))))</f>
        <v/>
      </c>
      <c r="D85" s="24" t="str" cm="1">
        <f t="array" ref="D85">_xlfn.LET(_xlpm.comb,_xlfn.XLOOKUP(H85,NPF!$A$4:$A$10,NPF!$B$4:$B$10,""),_xlpm.trans,_xlfn.XLOOKUP(J85,NPF!$D$4:$D$7,NPF!$E$4:$E$7,""),_xlpm.orig,NPF!$W$4:$W$33,_xlpm.abr,NPF!$X$4:$X$33,_xlpm.txt,_xlfn.REDUCE(UPPER(TRIM(E85&amp;" "&amp;F85)),_xlfn.SEQUENCE(ROWS(_xlpm.orig)),_xlfn.LAMBDA(_xlpm.a,_xlpm.i,IF(INDEX(_xlpm.orig,_xlpm.i)="",_xlpm.a,SUBSTITUTE(_xlpm.a,UPPER(INDEX(_xlpm.orig,_xlpm.i)),INDEX(_xlpm.abr,_xlpm.i))))),_xlpm.mv,SUBSTITUTE(SUBSTITUTE(SUBSTITUTE(_xlpm.txt,"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85),OR(_xlpm.comb="BEV",_xlpm.comb="PHEV",_xlpm.comb="MHEV")),ROUND(K85,0)&amp;"KWH",""),_xlpm.dec,1,_xlpm.cil,IF(OR(_xlpm.comb="BEV",P85="Motos",P85="Cuatrimotos",G85=""),"",SUBSTITUTE(FIXED(G85/1000,_xlpm.dec,TRUE),",",".")&amp;"L"),_xlpm.modelo,_xlpm.mv&amp;_xlpm.kwh,_xlpm.res,IF(B85="CAMIONES",_xlfn.TEXTJOIN("-",TRUE,_xlpm.modelo,_xlpm.cil,_xlpm.comb,UPPER(I85),_xlpm.trans),IF(B85="VEHICULOS",_xlfn.TEXTJOIN("-",TRUE,_xlpm.modelo,_xlpm.comb,_xlpm.cil,LOWER(I85),_xlpm.trans),"Elija TIPO MATERIAL")),IF(E85="","",_xlpm.res))</f>
        <v/>
      </c>
      <c r="Q85" s="21" t="str">
        <f t="shared" si="4"/>
        <v/>
      </c>
      <c r="R85" s="21" t="str">
        <f t="shared" si="5"/>
        <v/>
      </c>
    </row>
    <row r="86" spans="3:18" x14ac:dyDescent="0.25">
      <c r="C86" s="24" t="str">
        <f>_xlfn.LET(_xlpm.comb,_xlfn.XLOOKUP(H86,NPF!$A$4:$A$10,NPF!$B$4:$B$10,""),_xlpm.trans,_xlfn.XLOOKUP(J86,NPF!$D$4:$D$7,NPF!$E$4:$E$7,""),_xlpm.kwh,IF(AND(ISNUMBER(K86),OR(_xlpm.comb="BEV",_xlpm.comb="PHEV",_xlpm.comb="MHEV")),ROUND(K86,0)&amp;"KWH",""),_xlpm.dec,1,_xlpm.cil,IF(OR(_xlpm.comb="BEV",P86="Motos",P86="Cuatrimotos",G86=""),"",SUBSTITUTE(FIXED(G86/1000,_xlpm.dec,TRUE),",",".")&amp;"L"),IF(E86="","",UPPER(_xlfn.TEXTJOIN(" ",TRUE,E86,F86,_xlpm.cil,_xlpm.kwh,_xlpm.comb,I86,_xlpm.trans))))</f>
        <v/>
      </c>
      <c r="D86" s="24" t="str" cm="1">
        <f t="array" ref="D86">_xlfn.LET(_xlpm.comb,_xlfn.XLOOKUP(H86,NPF!$A$4:$A$10,NPF!$B$4:$B$10,""),_xlpm.trans,_xlfn.XLOOKUP(J86,NPF!$D$4:$D$7,NPF!$E$4:$E$7,""),_xlpm.orig,NPF!$W$4:$W$33,_xlpm.abr,NPF!$X$4:$X$33,_xlpm.txt,_xlfn.REDUCE(UPPER(TRIM(E86&amp;" "&amp;F86)),_xlfn.SEQUENCE(ROWS(_xlpm.orig)),_xlfn.LAMBDA(_xlpm.a,_xlpm.i,IF(INDEX(_xlpm.orig,_xlpm.i)="",_xlpm.a,SUBSTITUTE(_xlpm.a,UPPER(INDEX(_xlpm.orig,_xlpm.i)),INDEX(_xlpm.abr,_xlpm.i))))),_xlpm.mv,SUBSTITUTE(SUBSTITUTE(SUBSTITUTE(_xlpm.txt,"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86),OR(_xlpm.comb="BEV",_xlpm.comb="PHEV",_xlpm.comb="MHEV")),ROUND(K86,0)&amp;"KWH",""),_xlpm.dec,1,_xlpm.cil,IF(OR(_xlpm.comb="BEV",P86="Motos",P86="Cuatrimotos",G86=""),"",SUBSTITUTE(FIXED(G86/1000,_xlpm.dec,TRUE),",",".")&amp;"L"),_xlpm.modelo,_xlpm.mv&amp;_xlpm.kwh,_xlpm.res,IF(B86="CAMIONES",_xlfn.TEXTJOIN("-",TRUE,_xlpm.modelo,_xlpm.cil,_xlpm.comb,UPPER(I86),_xlpm.trans),IF(B86="VEHICULOS",_xlfn.TEXTJOIN("-",TRUE,_xlpm.modelo,_xlpm.comb,_xlpm.cil,LOWER(I86),_xlpm.trans),"Elija TIPO MATERIAL")),IF(E86="","",_xlpm.res))</f>
        <v/>
      </c>
      <c r="Q86" s="21" t="str">
        <f t="shared" si="4"/>
        <v/>
      </c>
      <c r="R86" s="21" t="str">
        <f t="shared" si="5"/>
        <v/>
      </c>
    </row>
    <row r="87" spans="3:18" x14ac:dyDescent="0.25">
      <c r="C87" s="24" t="str">
        <f>_xlfn.LET(_xlpm.comb,_xlfn.XLOOKUP(H87,NPF!$A$4:$A$10,NPF!$B$4:$B$10,""),_xlpm.trans,_xlfn.XLOOKUP(J87,NPF!$D$4:$D$7,NPF!$E$4:$E$7,""),_xlpm.kwh,IF(AND(ISNUMBER(K87),OR(_xlpm.comb="BEV",_xlpm.comb="PHEV",_xlpm.comb="MHEV")),ROUND(K87,0)&amp;"KWH",""),_xlpm.dec,1,_xlpm.cil,IF(OR(_xlpm.comb="BEV",P87="Motos",P87="Cuatrimotos",G87=""),"",SUBSTITUTE(FIXED(G87/1000,_xlpm.dec,TRUE),",",".")&amp;"L"),IF(E87="","",UPPER(_xlfn.TEXTJOIN(" ",TRUE,E87,F87,_xlpm.cil,_xlpm.kwh,_xlpm.comb,I87,_xlpm.trans))))</f>
        <v/>
      </c>
      <c r="D87" s="24" t="str" cm="1">
        <f t="array" ref="D87">_xlfn.LET(_xlpm.comb,_xlfn.XLOOKUP(H87,NPF!$A$4:$A$10,NPF!$B$4:$B$10,""),_xlpm.trans,_xlfn.XLOOKUP(J87,NPF!$D$4:$D$7,NPF!$E$4:$E$7,""),_xlpm.orig,NPF!$W$4:$W$33,_xlpm.abr,NPF!$X$4:$X$33,_xlpm.txt,_xlfn.REDUCE(UPPER(TRIM(E87&amp;" "&amp;F87)),_xlfn.SEQUENCE(ROWS(_xlpm.orig)),_xlfn.LAMBDA(_xlpm.a,_xlpm.i,IF(INDEX(_xlpm.orig,_xlpm.i)="",_xlpm.a,SUBSTITUTE(_xlpm.a,UPPER(INDEX(_xlpm.orig,_xlpm.i)),INDEX(_xlpm.abr,_xlpm.i))))),_xlpm.mv,SUBSTITUTE(SUBSTITUTE(SUBSTITUTE(_xlpm.txt,"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87),OR(_xlpm.comb="BEV",_xlpm.comb="PHEV",_xlpm.comb="MHEV")),ROUND(K87,0)&amp;"KWH",""),_xlpm.dec,1,_xlpm.cil,IF(OR(_xlpm.comb="BEV",P87="Motos",P87="Cuatrimotos",G87=""),"",SUBSTITUTE(FIXED(G87/1000,_xlpm.dec,TRUE),",",".")&amp;"L"),_xlpm.modelo,_xlpm.mv&amp;_xlpm.kwh,_xlpm.res,IF(B87="CAMIONES",_xlfn.TEXTJOIN("-",TRUE,_xlpm.modelo,_xlpm.cil,_xlpm.comb,UPPER(I87),_xlpm.trans),IF(B87="VEHICULOS",_xlfn.TEXTJOIN("-",TRUE,_xlpm.modelo,_xlpm.comb,_xlpm.cil,LOWER(I87),_xlpm.trans),"Elija TIPO MATERIAL")),IF(E87="","",_xlpm.res))</f>
        <v/>
      </c>
      <c r="Q87" s="21" t="str">
        <f t="shared" si="4"/>
        <v/>
      </c>
      <c r="R87" s="21" t="str">
        <f t="shared" si="5"/>
        <v/>
      </c>
    </row>
    <row r="88" spans="3:18" x14ac:dyDescent="0.25">
      <c r="C88" s="24" t="str">
        <f>_xlfn.LET(_xlpm.comb,_xlfn.XLOOKUP(H88,NPF!$A$4:$A$10,NPF!$B$4:$B$10,""),_xlpm.trans,_xlfn.XLOOKUP(J88,NPF!$D$4:$D$7,NPF!$E$4:$E$7,""),_xlpm.kwh,IF(AND(ISNUMBER(K88),OR(_xlpm.comb="BEV",_xlpm.comb="PHEV",_xlpm.comb="MHEV")),ROUND(K88,0)&amp;"KWH",""),_xlpm.dec,1,_xlpm.cil,IF(OR(_xlpm.comb="BEV",P88="Motos",P88="Cuatrimotos",G88=""),"",SUBSTITUTE(FIXED(G88/1000,_xlpm.dec,TRUE),",",".")&amp;"L"),IF(E88="","",UPPER(_xlfn.TEXTJOIN(" ",TRUE,E88,F88,_xlpm.cil,_xlpm.kwh,_xlpm.comb,I88,_xlpm.trans))))</f>
        <v/>
      </c>
      <c r="D88" s="24" t="str" cm="1">
        <f t="array" ref="D88">_xlfn.LET(_xlpm.comb,_xlfn.XLOOKUP(H88,NPF!$A$4:$A$10,NPF!$B$4:$B$10,""),_xlpm.trans,_xlfn.XLOOKUP(J88,NPF!$D$4:$D$7,NPF!$E$4:$E$7,""),_xlpm.orig,NPF!$W$4:$W$33,_xlpm.abr,NPF!$X$4:$X$33,_xlpm.txt,_xlfn.REDUCE(UPPER(TRIM(E88&amp;" "&amp;F88)),_xlfn.SEQUENCE(ROWS(_xlpm.orig)),_xlfn.LAMBDA(_xlpm.a,_xlpm.i,IF(INDEX(_xlpm.orig,_xlpm.i)="",_xlpm.a,SUBSTITUTE(_xlpm.a,UPPER(INDEX(_xlpm.orig,_xlpm.i)),INDEX(_xlpm.abr,_xlpm.i))))),_xlpm.mv,SUBSTITUTE(SUBSTITUTE(SUBSTITUTE(_xlpm.txt,"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88),OR(_xlpm.comb="BEV",_xlpm.comb="PHEV",_xlpm.comb="MHEV")),ROUND(K88,0)&amp;"KWH",""),_xlpm.dec,1,_xlpm.cil,IF(OR(_xlpm.comb="BEV",P88="Motos",P88="Cuatrimotos",G88=""),"",SUBSTITUTE(FIXED(G88/1000,_xlpm.dec,TRUE),",",".")&amp;"L"),_xlpm.modelo,_xlpm.mv&amp;_xlpm.kwh,_xlpm.res,IF(B88="CAMIONES",_xlfn.TEXTJOIN("-",TRUE,_xlpm.modelo,_xlpm.cil,_xlpm.comb,UPPER(I88),_xlpm.trans),IF(B88="VEHICULOS",_xlfn.TEXTJOIN("-",TRUE,_xlpm.modelo,_xlpm.comb,_xlpm.cil,LOWER(I88),_xlpm.trans),"Elija TIPO MATERIAL")),IF(E88="","",_xlpm.res))</f>
        <v/>
      </c>
      <c r="Q88" s="21" t="str">
        <f t="shared" si="4"/>
        <v/>
      </c>
      <c r="R88" s="21" t="str">
        <f t="shared" si="5"/>
        <v/>
      </c>
    </row>
    <row r="89" spans="3:18" x14ac:dyDescent="0.25">
      <c r="C89" s="24" t="str">
        <f>_xlfn.LET(_xlpm.comb,_xlfn.XLOOKUP(H89,NPF!$A$4:$A$10,NPF!$B$4:$B$10,""),_xlpm.trans,_xlfn.XLOOKUP(J89,NPF!$D$4:$D$7,NPF!$E$4:$E$7,""),_xlpm.kwh,IF(AND(ISNUMBER(K89),OR(_xlpm.comb="BEV",_xlpm.comb="PHEV",_xlpm.comb="MHEV")),ROUND(K89,0)&amp;"KWH",""),_xlpm.dec,1,_xlpm.cil,IF(OR(_xlpm.comb="BEV",P89="Motos",P89="Cuatrimotos",G89=""),"",SUBSTITUTE(FIXED(G89/1000,_xlpm.dec,TRUE),",",".")&amp;"L"),IF(E89="","",UPPER(_xlfn.TEXTJOIN(" ",TRUE,E89,F89,_xlpm.cil,_xlpm.kwh,_xlpm.comb,I89,_xlpm.trans))))</f>
        <v/>
      </c>
      <c r="D89" s="24" t="str" cm="1">
        <f t="array" ref="D89">_xlfn.LET(_xlpm.comb,_xlfn.XLOOKUP(H89,NPF!$A$4:$A$10,NPF!$B$4:$B$10,""),_xlpm.trans,_xlfn.XLOOKUP(J89,NPF!$D$4:$D$7,NPF!$E$4:$E$7,""),_xlpm.orig,NPF!$W$4:$W$33,_xlpm.abr,NPF!$X$4:$X$33,_xlpm.txt,_xlfn.REDUCE(UPPER(TRIM(E89&amp;" "&amp;F89)),_xlfn.SEQUENCE(ROWS(_xlpm.orig)),_xlfn.LAMBDA(_xlpm.a,_xlpm.i,IF(INDEX(_xlpm.orig,_xlpm.i)="",_xlpm.a,SUBSTITUTE(_xlpm.a,UPPER(INDEX(_xlpm.orig,_xlpm.i)),INDEX(_xlpm.abr,_xlpm.i))))),_xlpm.mv,SUBSTITUTE(SUBSTITUTE(SUBSTITUTE(_xlpm.txt,"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89),OR(_xlpm.comb="BEV",_xlpm.comb="PHEV",_xlpm.comb="MHEV")),ROUND(K89,0)&amp;"KWH",""),_xlpm.dec,1,_xlpm.cil,IF(OR(_xlpm.comb="BEV",P89="Motos",P89="Cuatrimotos",G89=""),"",SUBSTITUTE(FIXED(G89/1000,_xlpm.dec,TRUE),",",".")&amp;"L"),_xlpm.modelo,_xlpm.mv&amp;_xlpm.kwh,_xlpm.res,IF(B89="CAMIONES",_xlfn.TEXTJOIN("-",TRUE,_xlpm.modelo,_xlpm.cil,_xlpm.comb,UPPER(I89),_xlpm.trans),IF(B89="VEHICULOS",_xlfn.TEXTJOIN("-",TRUE,_xlpm.modelo,_xlpm.comb,_xlpm.cil,LOWER(I89),_xlpm.trans),"Elija TIPO MATERIAL")),IF(E89="","",_xlpm.res))</f>
        <v/>
      </c>
      <c r="Q89" s="21" t="str">
        <f t="shared" si="4"/>
        <v/>
      </c>
      <c r="R89" s="21" t="str">
        <f t="shared" si="5"/>
        <v/>
      </c>
    </row>
    <row r="90" spans="3:18" x14ac:dyDescent="0.25">
      <c r="C90" s="24" t="str">
        <f>_xlfn.LET(_xlpm.comb,_xlfn.XLOOKUP(H90,NPF!$A$4:$A$10,NPF!$B$4:$B$10,""),_xlpm.trans,_xlfn.XLOOKUP(J90,NPF!$D$4:$D$7,NPF!$E$4:$E$7,""),_xlpm.kwh,IF(AND(ISNUMBER(K90),OR(_xlpm.comb="BEV",_xlpm.comb="PHEV",_xlpm.comb="MHEV")),ROUND(K90,0)&amp;"KWH",""),_xlpm.dec,1,_xlpm.cil,IF(OR(_xlpm.comb="BEV",P90="Motos",P90="Cuatrimotos",G90=""),"",SUBSTITUTE(FIXED(G90/1000,_xlpm.dec,TRUE),",",".")&amp;"L"),IF(E90="","",UPPER(_xlfn.TEXTJOIN(" ",TRUE,E90,F90,_xlpm.cil,_xlpm.kwh,_xlpm.comb,I90,_xlpm.trans))))</f>
        <v/>
      </c>
      <c r="D90" s="24" t="str" cm="1">
        <f t="array" ref="D90">_xlfn.LET(_xlpm.comb,_xlfn.XLOOKUP(H90,NPF!$A$4:$A$10,NPF!$B$4:$B$10,""),_xlpm.trans,_xlfn.XLOOKUP(J90,NPF!$D$4:$D$7,NPF!$E$4:$E$7,""),_xlpm.orig,NPF!$W$4:$W$33,_xlpm.abr,NPF!$X$4:$X$33,_xlpm.txt,_xlfn.REDUCE(UPPER(TRIM(E90&amp;" "&amp;F90)),_xlfn.SEQUENCE(ROWS(_xlpm.orig)),_xlfn.LAMBDA(_xlpm.a,_xlpm.i,IF(INDEX(_xlpm.orig,_xlpm.i)="",_xlpm.a,SUBSTITUTE(_xlpm.a,UPPER(INDEX(_xlpm.orig,_xlpm.i)),INDEX(_xlpm.abr,_xlpm.i))))),_xlpm.mv,SUBSTITUTE(SUBSTITUTE(SUBSTITUTE(_xlpm.txt,"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90),OR(_xlpm.comb="BEV",_xlpm.comb="PHEV",_xlpm.comb="MHEV")),ROUND(K90,0)&amp;"KWH",""),_xlpm.dec,1,_xlpm.cil,IF(OR(_xlpm.comb="BEV",P90="Motos",P90="Cuatrimotos",G90=""),"",SUBSTITUTE(FIXED(G90/1000,_xlpm.dec,TRUE),",",".")&amp;"L"),_xlpm.modelo,_xlpm.mv&amp;_xlpm.kwh,_xlpm.res,IF(B90="CAMIONES",_xlfn.TEXTJOIN("-",TRUE,_xlpm.modelo,_xlpm.cil,_xlpm.comb,UPPER(I90),_xlpm.trans),IF(B90="VEHICULOS",_xlfn.TEXTJOIN("-",TRUE,_xlpm.modelo,_xlpm.comb,_xlpm.cil,LOWER(I90),_xlpm.trans),"Elija TIPO MATERIAL")),IF(E90="","",_xlpm.res))</f>
        <v/>
      </c>
      <c r="Q90" s="21" t="str">
        <f t="shared" si="4"/>
        <v/>
      </c>
      <c r="R90" s="21" t="str">
        <f t="shared" si="5"/>
        <v/>
      </c>
    </row>
    <row r="91" spans="3:18" x14ac:dyDescent="0.25">
      <c r="C91" s="24" t="str">
        <f>_xlfn.LET(_xlpm.comb,_xlfn.XLOOKUP(H91,NPF!$A$4:$A$10,NPF!$B$4:$B$10,""),_xlpm.trans,_xlfn.XLOOKUP(J91,NPF!$D$4:$D$7,NPF!$E$4:$E$7,""),_xlpm.kwh,IF(AND(ISNUMBER(K91),OR(_xlpm.comb="BEV",_xlpm.comb="PHEV",_xlpm.comb="MHEV")),ROUND(K91,0)&amp;"KWH",""),_xlpm.dec,1,_xlpm.cil,IF(OR(_xlpm.comb="BEV",P91="Motos",P91="Cuatrimotos",G91=""),"",SUBSTITUTE(FIXED(G91/1000,_xlpm.dec,TRUE),",",".")&amp;"L"),IF(E91="","",UPPER(_xlfn.TEXTJOIN(" ",TRUE,E91,F91,_xlpm.cil,_xlpm.kwh,_xlpm.comb,I91,_xlpm.trans))))</f>
        <v/>
      </c>
      <c r="D91" s="24" t="str" cm="1">
        <f t="array" ref="D91">_xlfn.LET(_xlpm.comb,_xlfn.XLOOKUP(H91,NPF!$A$4:$A$10,NPF!$B$4:$B$10,""),_xlpm.trans,_xlfn.XLOOKUP(J91,NPF!$D$4:$D$7,NPF!$E$4:$E$7,""),_xlpm.orig,NPF!$W$4:$W$33,_xlpm.abr,NPF!$X$4:$X$33,_xlpm.txt,_xlfn.REDUCE(UPPER(TRIM(E91&amp;" "&amp;F91)),_xlfn.SEQUENCE(ROWS(_xlpm.orig)),_xlfn.LAMBDA(_xlpm.a,_xlpm.i,IF(INDEX(_xlpm.orig,_xlpm.i)="",_xlpm.a,SUBSTITUTE(_xlpm.a,UPPER(INDEX(_xlpm.orig,_xlpm.i)),INDEX(_xlpm.abr,_xlpm.i))))),_xlpm.mv,SUBSTITUTE(SUBSTITUTE(SUBSTITUTE(_xlpm.txt,"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91),OR(_xlpm.comb="BEV",_xlpm.comb="PHEV",_xlpm.comb="MHEV")),ROUND(K91,0)&amp;"KWH",""),_xlpm.dec,1,_xlpm.cil,IF(OR(_xlpm.comb="BEV",P91="Motos",P91="Cuatrimotos",G91=""),"",SUBSTITUTE(FIXED(G91/1000,_xlpm.dec,TRUE),",",".")&amp;"L"),_xlpm.modelo,_xlpm.mv&amp;_xlpm.kwh,_xlpm.res,IF(B91="CAMIONES",_xlfn.TEXTJOIN("-",TRUE,_xlpm.modelo,_xlpm.cil,_xlpm.comb,UPPER(I91),_xlpm.trans),IF(B91="VEHICULOS",_xlfn.TEXTJOIN("-",TRUE,_xlpm.modelo,_xlpm.comb,_xlpm.cil,LOWER(I91),_xlpm.trans),"Elija TIPO MATERIAL")),IF(E91="","",_xlpm.res))</f>
        <v/>
      </c>
      <c r="Q91" s="21" t="str">
        <f t="shared" si="4"/>
        <v/>
      </c>
      <c r="R91" s="21" t="str">
        <f t="shared" si="5"/>
        <v/>
      </c>
    </row>
    <row r="92" spans="3:18" x14ac:dyDescent="0.25">
      <c r="C92" s="24" t="str">
        <f>_xlfn.LET(_xlpm.comb,_xlfn.XLOOKUP(H92,NPF!$A$4:$A$10,NPF!$B$4:$B$10,""),_xlpm.trans,_xlfn.XLOOKUP(J92,NPF!$D$4:$D$7,NPF!$E$4:$E$7,""),_xlpm.kwh,IF(AND(ISNUMBER(K92),OR(_xlpm.comb="BEV",_xlpm.comb="PHEV",_xlpm.comb="MHEV")),ROUND(K92,0)&amp;"KWH",""),_xlpm.dec,1,_xlpm.cil,IF(OR(_xlpm.comb="BEV",P92="Motos",P92="Cuatrimotos",G92=""),"",SUBSTITUTE(FIXED(G92/1000,_xlpm.dec,TRUE),",",".")&amp;"L"),IF(E92="","",UPPER(_xlfn.TEXTJOIN(" ",TRUE,E92,F92,_xlpm.cil,_xlpm.kwh,_xlpm.comb,I92,_xlpm.trans))))</f>
        <v/>
      </c>
      <c r="D92" s="24" t="str" cm="1">
        <f t="array" ref="D92">_xlfn.LET(_xlpm.comb,_xlfn.XLOOKUP(H92,NPF!$A$4:$A$10,NPF!$B$4:$B$10,""),_xlpm.trans,_xlfn.XLOOKUP(J92,NPF!$D$4:$D$7,NPF!$E$4:$E$7,""),_xlpm.orig,NPF!$W$4:$W$33,_xlpm.abr,NPF!$X$4:$X$33,_xlpm.txt,_xlfn.REDUCE(UPPER(TRIM(E92&amp;" "&amp;F92)),_xlfn.SEQUENCE(ROWS(_xlpm.orig)),_xlfn.LAMBDA(_xlpm.a,_xlpm.i,IF(INDEX(_xlpm.orig,_xlpm.i)="",_xlpm.a,SUBSTITUTE(_xlpm.a,UPPER(INDEX(_xlpm.orig,_xlpm.i)),INDEX(_xlpm.abr,_xlpm.i))))),_xlpm.mv,SUBSTITUTE(SUBSTITUTE(SUBSTITUTE(_xlpm.txt,"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92),OR(_xlpm.comb="BEV",_xlpm.comb="PHEV",_xlpm.comb="MHEV")),ROUND(K92,0)&amp;"KWH",""),_xlpm.dec,1,_xlpm.cil,IF(OR(_xlpm.comb="BEV",P92="Motos",P92="Cuatrimotos",G92=""),"",SUBSTITUTE(FIXED(G92/1000,_xlpm.dec,TRUE),",",".")&amp;"L"),_xlpm.modelo,_xlpm.mv&amp;_xlpm.kwh,_xlpm.res,IF(B92="CAMIONES",_xlfn.TEXTJOIN("-",TRUE,_xlpm.modelo,_xlpm.cil,_xlpm.comb,UPPER(I92),_xlpm.trans),IF(B92="VEHICULOS",_xlfn.TEXTJOIN("-",TRUE,_xlpm.modelo,_xlpm.comb,_xlpm.cil,LOWER(I92),_xlpm.trans),"Elija TIPO MATERIAL")),IF(E92="","",_xlpm.res))</f>
        <v/>
      </c>
      <c r="Q92" s="21" t="str">
        <f t="shared" si="4"/>
        <v/>
      </c>
      <c r="R92" s="21" t="str">
        <f t="shared" si="5"/>
        <v/>
      </c>
    </row>
    <row r="93" spans="3:18" x14ac:dyDescent="0.25">
      <c r="C93" s="24" t="str">
        <f>_xlfn.LET(_xlpm.comb,_xlfn.XLOOKUP(H93,NPF!$A$4:$A$10,NPF!$B$4:$B$10,""),_xlpm.trans,_xlfn.XLOOKUP(J93,NPF!$D$4:$D$7,NPF!$E$4:$E$7,""),_xlpm.kwh,IF(AND(ISNUMBER(K93),OR(_xlpm.comb="BEV",_xlpm.comb="PHEV",_xlpm.comb="MHEV")),ROUND(K93,0)&amp;"KWH",""),_xlpm.dec,1,_xlpm.cil,IF(OR(_xlpm.comb="BEV",P93="Motos",P93="Cuatrimotos",G93=""),"",SUBSTITUTE(FIXED(G93/1000,_xlpm.dec,TRUE),",",".")&amp;"L"),IF(E93="","",UPPER(_xlfn.TEXTJOIN(" ",TRUE,E93,F93,_xlpm.cil,_xlpm.kwh,_xlpm.comb,I93,_xlpm.trans))))</f>
        <v/>
      </c>
      <c r="D93" s="24" t="str" cm="1">
        <f t="array" ref="D93">_xlfn.LET(_xlpm.comb,_xlfn.XLOOKUP(H93,NPF!$A$4:$A$10,NPF!$B$4:$B$10,""),_xlpm.trans,_xlfn.XLOOKUP(J93,NPF!$D$4:$D$7,NPF!$E$4:$E$7,""),_xlpm.orig,NPF!$W$4:$W$33,_xlpm.abr,NPF!$X$4:$X$33,_xlpm.txt,_xlfn.REDUCE(UPPER(TRIM(E93&amp;" "&amp;F93)),_xlfn.SEQUENCE(ROWS(_xlpm.orig)),_xlfn.LAMBDA(_xlpm.a,_xlpm.i,IF(INDEX(_xlpm.orig,_xlpm.i)="",_xlpm.a,SUBSTITUTE(_xlpm.a,UPPER(INDEX(_xlpm.orig,_xlpm.i)),INDEX(_xlpm.abr,_xlpm.i))))),_xlpm.mv,SUBSTITUTE(SUBSTITUTE(SUBSTITUTE(_xlpm.txt,"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93),OR(_xlpm.comb="BEV",_xlpm.comb="PHEV",_xlpm.comb="MHEV")),ROUND(K93,0)&amp;"KWH",""),_xlpm.dec,1,_xlpm.cil,IF(OR(_xlpm.comb="BEV",P93="Motos",P93="Cuatrimotos",G93=""),"",SUBSTITUTE(FIXED(G93/1000,_xlpm.dec,TRUE),",",".")&amp;"L"),_xlpm.modelo,_xlpm.mv&amp;_xlpm.kwh,_xlpm.res,IF(B93="CAMIONES",_xlfn.TEXTJOIN("-",TRUE,_xlpm.modelo,_xlpm.cil,_xlpm.comb,UPPER(I93),_xlpm.trans),IF(B93="VEHICULOS",_xlfn.TEXTJOIN("-",TRUE,_xlpm.modelo,_xlpm.comb,_xlpm.cil,LOWER(I93),_xlpm.trans),"Elija TIPO MATERIAL")),IF(E93="","",_xlpm.res))</f>
        <v/>
      </c>
      <c r="Q93" s="21" t="str">
        <f t="shared" si="4"/>
        <v/>
      </c>
      <c r="R93" s="21" t="str">
        <f t="shared" si="5"/>
        <v/>
      </c>
    </row>
    <row r="94" spans="3:18" x14ac:dyDescent="0.25">
      <c r="C94" s="24" t="str">
        <f>_xlfn.LET(_xlpm.comb,_xlfn.XLOOKUP(H94,NPF!$A$4:$A$10,NPF!$B$4:$B$10,""),_xlpm.trans,_xlfn.XLOOKUP(J94,NPF!$D$4:$D$7,NPF!$E$4:$E$7,""),_xlpm.kwh,IF(AND(ISNUMBER(K94),OR(_xlpm.comb="BEV",_xlpm.comb="PHEV",_xlpm.comb="MHEV")),ROUND(K94,0)&amp;"KWH",""),_xlpm.dec,1,_xlpm.cil,IF(OR(_xlpm.comb="BEV",P94="Motos",P94="Cuatrimotos",G94=""),"",SUBSTITUTE(FIXED(G94/1000,_xlpm.dec,TRUE),",",".")&amp;"L"),IF(E94="","",UPPER(_xlfn.TEXTJOIN(" ",TRUE,E94,F94,_xlpm.cil,_xlpm.kwh,_xlpm.comb,I94,_xlpm.trans))))</f>
        <v/>
      </c>
      <c r="D94" s="24" t="str" cm="1">
        <f t="array" ref="D94">_xlfn.LET(_xlpm.comb,_xlfn.XLOOKUP(H94,NPF!$A$4:$A$10,NPF!$B$4:$B$10,""),_xlpm.trans,_xlfn.XLOOKUP(J94,NPF!$D$4:$D$7,NPF!$E$4:$E$7,""),_xlpm.orig,NPF!$W$4:$W$33,_xlpm.abr,NPF!$X$4:$X$33,_xlpm.txt,_xlfn.REDUCE(UPPER(TRIM(E94&amp;" "&amp;F94)),_xlfn.SEQUENCE(ROWS(_xlpm.orig)),_xlfn.LAMBDA(_xlpm.a,_xlpm.i,IF(INDEX(_xlpm.orig,_xlpm.i)="",_xlpm.a,SUBSTITUTE(_xlpm.a,UPPER(INDEX(_xlpm.orig,_xlpm.i)),INDEX(_xlpm.abr,_xlpm.i))))),_xlpm.mv,SUBSTITUTE(SUBSTITUTE(SUBSTITUTE(_xlpm.txt,"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94),OR(_xlpm.comb="BEV",_xlpm.comb="PHEV",_xlpm.comb="MHEV")),ROUND(K94,0)&amp;"KWH",""),_xlpm.dec,1,_xlpm.cil,IF(OR(_xlpm.comb="BEV",P94="Motos",P94="Cuatrimotos",G94=""),"",SUBSTITUTE(FIXED(G94/1000,_xlpm.dec,TRUE),",",".")&amp;"L"),_xlpm.modelo,_xlpm.mv&amp;_xlpm.kwh,_xlpm.res,IF(B94="CAMIONES",_xlfn.TEXTJOIN("-",TRUE,_xlpm.modelo,_xlpm.cil,_xlpm.comb,UPPER(I94),_xlpm.trans),IF(B94="VEHICULOS",_xlfn.TEXTJOIN("-",TRUE,_xlpm.modelo,_xlpm.comb,_xlpm.cil,LOWER(I94),_xlpm.trans),"Elija TIPO MATERIAL")),IF(E94="","",_xlpm.res))</f>
        <v/>
      </c>
      <c r="Q94" s="21" t="str">
        <f t="shared" si="4"/>
        <v/>
      </c>
      <c r="R94" s="21" t="str">
        <f t="shared" si="5"/>
        <v/>
      </c>
    </row>
    <row r="95" spans="3:18" x14ac:dyDescent="0.25">
      <c r="C95" s="24" t="str">
        <f>_xlfn.LET(_xlpm.comb,_xlfn.XLOOKUP(H95,NPF!$A$4:$A$10,NPF!$B$4:$B$10,""),_xlpm.trans,_xlfn.XLOOKUP(J95,NPF!$D$4:$D$7,NPF!$E$4:$E$7,""),_xlpm.kwh,IF(AND(ISNUMBER(K95),OR(_xlpm.comb="BEV",_xlpm.comb="PHEV",_xlpm.comb="MHEV")),ROUND(K95,0)&amp;"KWH",""),_xlpm.dec,1,_xlpm.cil,IF(OR(_xlpm.comb="BEV",P95="Motos",P95="Cuatrimotos",G95=""),"",SUBSTITUTE(FIXED(G95/1000,_xlpm.dec,TRUE),",",".")&amp;"L"),IF(E95="","",UPPER(_xlfn.TEXTJOIN(" ",TRUE,E95,F95,_xlpm.cil,_xlpm.kwh,_xlpm.comb,I95,_xlpm.trans))))</f>
        <v/>
      </c>
      <c r="D95" s="24" t="str" cm="1">
        <f t="array" ref="D95">_xlfn.LET(_xlpm.comb,_xlfn.XLOOKUP(H95,NPF!$A$4:$A$10,NPF!$B$4:$B$10,""),_xlpm.trans,_xlfn.XLOOKUP(J95,NPF!$D$4:$D$7,NPF!$E$4:$E$7,""),_xlpm.orig,NPF!$W$4:$W$33,_xlpm.abr,NPF!$X$4:$X$33,_xlpm.txt,_xlfn.REDUCE(UPPER(TRIM(E95&amp;" "&amp;F95)),_xlfn.SEQUENCE(ROWS(_xlpm.orig)),_xlfn.LAMBDA(_xlpm.a,_xlpm.i,IF(INDEX(_xlpm.orig,_xlpm.i)="",_xlpm.a,SUBSTITUTE(_xlpm.a,UPPER(INDEX(_xlpm.orig,_xlpm.i)),INDEX(_xlpm.abr,_xlpm.i))))),_xlpm.mv,SUBSTITUTE(SUBSTITUTE(SUBSTITUTE(_xlpm.txt,"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95),OR(_xlpm.comb="BEV",_xlpm.comb="PHEV",_xlpm.comb="MHEV")),ROUND(K95,0)&amp;"KWH",""),_xlpm.dec,1,_xlpm.cil,IF(OR(_xlpm.comb="BEV",P95="Motos",P95="Cuatrimotos",G95=""),"",SUBSTITUTE(FIXED(G95/1000,_xlpm.dec,TRUE),",",".")&amp;"L"),_xlpm.modelo,_xlpm.mv&amp;_xlpm.kwh,_xlpm.res,IF(B95="CAMIONES",_xlfn.TEXTJOIN("-",TRUE,_xlpm.modelo,_xlpm.cil,_xlpm.comb,UPPER(I95),_xlpm.trans),IF(B95="VEHICULOS",_xlfn.TEXTJOIN("-",TRUE,_xlpm.modelo,_xlpm.comb,_xlpm.cil,LOWER(I95),_xlpm.trans),"Elija TIPO MATERIAL")),IF(E95="","",_xlpm.res))</f>
        <v/>
      </c>
      <c r="Q95" s="21" t="str">
        <f t="shared" si="4"/>
        <v/>
      </c>
      <c r="R95" s="21" t="str">
        <f t="shared" si="5"/>
        <v/>
      </c>
    </row>
    <row r="96" spans="3:18" x14ac:dyDescent="0.25">
      <c r="C96" s="24" t="str">
        <f>_xlfn.LET(_xlpm.comb,_xlfn.XLOOKUP(H96,NPF!$A$4:$A$10,NPF!$B$4:$B$10,""),_xlpm.trans,_xlfn.XLOOKUP(J96,NPF!$D$4:$D$7,NPF!$E$4:$E$7,""),_xlpm.kwh,IF(AND(ISNUMBER(K96),OR(_xlpm.comb="BEV",_xlpm.comb="PHEV",_xlpm.comb="MHEV")),ROUND(K96,0)&amp;"KWH",""),_xlpm.dec,1,_xlpm.cil,IF(OR(_xlpm.comb="BEV",P96="Motos",P96="Cuatrimotos",G96=""),"",SUBSTITUTE(FIXED(G96/1000,_xlpm.dec,TRUE),",",".")&amp;"L"),IF(E96="","",UPPER(_xlfn.TEXTJOIN(" ",TRUE,E96,F96,_xlpm.cil,_xlpm.kwh,_xlpm.comb,I96,_xlpm.trans))))</f>
        <v/>
      </c>
      <c r="D96" s="24" t="str" cm="1">
        <f t="array" ref="D96">_xlfn.LET(_xlpm.comb,_xlfn.XLOOKUP(H96,NPF!$A$4:$A$10,NPF!$B$4:$B$10,""),_xlpm.trans,_xlfn.XLOOKUP(J96,NPF!$D$4:$D$7,NPF!$E$4:$E$7,""),_xlpm.orig,NPF!$W$4:$W$33,_xlpm.abr,NPF!$X$4:$X$33,_xlpm.txt,_xlfn.REDUCE(UPPER(TRIM(E96&amp;" "&amp;F96)),_xlfn.SEQUENCE(ROWS(_xlpm.orig)),_xlfn.LAMBDA(_xlpm.a,_xlpm.i,IF(INDEX(_xlpm.orig,_xlpm.i)="",_xlpm.a,SUBSTITUTE(_xlpm.a,UPPER(INDEX(_xlpm.orig,_xlpm.i)),INDEX(_xlpm.abr,_xlpm.i))))),_xlpm.mv,SUBSTITUTE(SUBSTITUTE(SUBSTITUTE(_xlpm.txt,"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96),OR(_xlpm.comb="BEV",_xlpm.comb="PHEV",_xlpm.comb="MHEV")),ROUND(K96,0)&amp;"KWH",""),_xlpm.dec,1,_xlpm.cil,IF(OR(_xlpm.comb="BEV",P96="Motos",P96="Cuatrimotos",G96=""),"",SUBSTITUTE(FIXED(G96/1000,_xlpm.dec,TRUE),",",".")&amp;"L"),_xlpm.modelo,_xlpm.mv&amp;_xlpm.kwh,_xlpm.res,IF(B96="CAMIONES",_xlfn.TEXTJOIN("-",TRUE,_xlpm.modelo,_xlpm.cil,_xlpm.comb,UPPER(I96),_xlpm.trans),IF(B96="VEHICULOS",_xlfn.TEXTJOIN("-",TRUE,_xlpm.modelo,_xlpm.comb,_xlpm.cil,LOWER(I96),_xlpm.trans),"Elija TIPO MATERIAL")),IF(E96="","",_xlpm.res))</f>
        <v/>
      </c>
      <c r="Q96" s="21" t="str">
        <f t="shared" si="4"/>
        <v/>
      </c>
      <c r="R96" s="21" t="str">
        <f t="shared" si="5"/>
        <v/>
      </c>
    </row>
    <row r="97" spans="3:18" x14ac:dyDescent="0.25">
      <c r="C97" s="24" t="str">
        <f>_xlfn.LET(_xlpm.comb,_xlfn.XLOOKUP(H97,NPF!$A$4:$A$10,NPF!$B$4:$B$10,""),_xlpm.trans,_xlfn.XLOOKUP(J97,NPF!$D$4:$D$7,NPF!$E$4:$E$7,""),_xlpm.kwh,IF(AND(ISNUMBER(K97),OR(_xlpm.comb="BEV",_xlpm.comb="PHEV",_xlpm.comb="MHEV")),ROUND(K97,0)&amp;"KWH",""),_xlpm.dec,1,_xlpm.cil,IF(OR(_xlpm.comb="BEV",P97="Motos",P97="Cuatrimotos",G97=""),"",SUBSTITUTE(FIXED(G97/1000,_xlpm.dec,TRUE),",",".")&amp;"L"),IF(E97="","",UPPER(_xlfn.TEXTJOIN(" ",TRUE,E97,F97,_xlpm.cil,_xlpm.kwh,_xlpm.comb,I97,_xlpm.trans))))</f>
        <v/>
      </c>
      <c r="D97" s="24" t="str" cm="1">
        <f t="array" ref="D97">_xlfn.LET(_xlpm.comb,_xlfn.XLOOKUP(H97,NPF!$A$4:$A$10,NPF!$B$4:$B$10,""),_xlpm.trans,_xlfn.XLOOKUP(J97,NPF!$D$4:$D$7,NPF!$E$4:$E$7,""),_xlpm.orig,NPF!$W$4:$W$33,_xlpm.abr,NPF!$X$4:$X$33,_xlpm.txt,_xlfn.REDUCE(UPPER(TRIM(E97&amp;" "&amp;F97)),_xlfn.SEQUENCE(ROWS(_xlpm.orig)),_xlfn.LAMBDA(_xlpm.a,_xlpm.i,IF(INDEX(_xlpm.orig,_xlpm.i)="",_xlpm.a,SUBSTITUTE(_xlpm.a,UPPER(INDEX(_xlpm.orig,_xlpm.i)),INDEX(_xlpm.abr,_xlpm.i))))),_xlpm.mv,SUBSTITUTE(SUBSTITUTE(SUBSTITUTE(_xlpm.txt,"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97),OR(_xlpm.comb="BEV",_xlpm.comb="PHEV",_xlpm.comb="MHEV")),ROUND(K97,0)&amp;"KWH",""),_xlpm.dec,1,_xlpm.cil,IF(OR(_xlpm.comb="BEV",P97="Motos",P97="Cuatrimotos",G97=""),"",SUBSTITUTE(FIXED(G97/1000,_xlpm.dec,TRUE),",",".")&amp;"L"),_xlpm.modelo,_xlpm.mv&amp;_xlpm.kwh,_xlpm.res,IF(B97="CAMIONES",_xlfn.TEXTJOIN("-",TRUE,_xlpm.modelo,_xlpm.cil,_xlpm.comb,UPPER(I97),_xlpm.trans),IF(B97="VEHICULOS",_xlfn.TEXTJOIN("-",TRUE,_xlpm.modelo,_xlpm.comb,_xlpm.cil,LOWER(I97),_xlpm.trans),"Elija TIPO MATERIAL")),IF(E97="","",_xlpm.res))</f>
        <v/>
      </c>
      <c r="Q97" s="21" t="str">
        <f t="shared" si="4"/>
        <v/>
      </c>
      <c r="R97" s="21" t="str">
        <f t="shared" si="5"/>
        <v/>
      </c>
    </row>
    <row r="98" spans="3:18" x14ac:dyDescent="0.25">
      <c r="C98" s="24" t="str">
        <f>_xlfn.LET(_xlpm.comb,_xlfn.XLOOKUP(H98,NPF!$A$4:$A$10,NPF!$B$4:$B$10,""),_xlpm.trans,_xlfn.XLOOKUP(J98,NPF!$D$4:$D$7,NPF!$E$4:$E$7,""),_xlpm.kwh,IF(AND(ISNUMBER(K98),OR(_xlpm.comb="BEV",_xlpm.comb="PHEV",_xlpm.comb="MHEV")),ROUND(K98,0)&amp;"KWH",""),_xlpm.dec,1,_xlpm.cil,IF(OR(_xlpm.comb="BEV",P98="Motos",P98="Cuatrimotos",G98=""),"",SUBSTITUTE(FIXED(G98/1000,_xlpm.dec,TRUE),",",".")&amp;"L"),IF(E98="","",UPPER(_xlfn.TEXTJOIN(" ",TRUE,E98,F98,_xlpm.cil,_xlpm.kwh,_xlpm.comb,I98,_xlpm.trans))))</f>
        <v/>
      </c>
      <c r="D98" s="24" t="str" cm="1">
        <f t="array" ref="D98">_xlfn.LET(_xlpm.comb,_xlfn.XLOOKUP(H98,NPF!$A$4:$A$10,NPF!$B$4:$B$10,""),_xlpm.trans,_xlfn.XLOOKUP(J98,NPF!$D$4:$D$7,NPF!$E$4:$E$7,""),_xlpm.orig,NPF!$W$4:$W$33,_xlpm.abr,NPF!$X$4:$X$33,_xlpm.txt,_xlfn.REDUCE(UPPER(TRIM(E98&amp;" "&amp;F98)),_xlfn.SEQUENCE(ROWS(_xlpm.orig)),_xlfn.LAMBDA(_xlpm.a,_xlpm.i,IF(INDEX(_xlpm.orig,_xlpm.i)="",_xlpm.a,SUBSTITUTE(_xlpm.a,UPPER(INDEX(_xlpm.orig,_xlpm.i)),INDEX(_xlpm.abr,_xlpm.i))))),_xlpm.mv,SUBSTITUTE(SUBSTITUTE(SUBSTITUTE(_xlpm.txt,"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98),OR(_xlpm.comb="BEV",_xlpm.comb="PHEV",_xlpm.comb="MHEV")),ROUND(K98,0)&amp;"KWH",""),_xlpm.dec,1,_xlpm.cil,IF(OR(_xlpm.comb="BEV",P98="Motos",P98="Cuatrimotos",G98=""),"",SUBSTITUTE(FIXED(G98/1000,_xlpm.dec,TRUE),",",".")&amp;"L"),_xlpm.modelo,_xlpm.mv&amp;_xlpm.kwh,_xlpm.res,IF(B98="CAMIONES",_xlfn.TEXTJOIN("-",TRUE,_xlpm.modelo,_xlpm.cil,_xlpm.comb,UPPER(I98),_xlpm.trans),IF(B98="VEHICULOS",_xlfn.TEXTJOIN("-",TRUE,_xlpm.modelo,_xlpm.comb,_xlpm.cil,LOWER(I98),_xlpm.trans),"Elija TIPO MATERIAL")),IF(E98="","",_xlpm.res))</f>
        <v/>
      </c>
      <c r="Q98" s="21" t="str">
        <f t="shared" ref="Q98:Q129" si="6">IF(C98="","",LEN(C98))</f>
        <v/>
      </c>
      <c r="R98" s="21" t="str">
        <f t="shared" ref="R98:R129" si="7">IF(D98="","",LEN(D98))</f>
        <v/>
      </c>
    </row>
    <row r="99" spans="3:18" x14ac:dyDescent="0.25">
      <c r="C99" s="24" t="str">
        <f>_xlfn.LET(_xlpm.comb,_xlfn.XLOOKUP(H99,NPF!$A$4:$A$10,NPF!$B$4:$B$10,""),_xlpm.trans,_xlfn.XLOOKUP(J99,NPF!$D$4:$D$7,NPF!$E$4:$E$7,""),_xlpm.kwh,IF(AND(ISNUMBER(K99),OR(_xlpm.comb="BEV",_xlpm.comb="PHEV",_xlpm.comb="MHEV")),ROUND(K99,0)&amp;"KWH",""),_xlpm.dec,1,_xlpm.cil,IF(OR(_xlpm.comb="BEV",P99="Motos",P99="Cuatrimotos",G99=""),"",SUBSTITUTE(FIXED(G99/1000,_xlpm.dec,TRUE),",",".")&amp;"L"),IF(E99="","",UPPER(_xlfn.TEXTJOIN(" ",TRUE,E99,F99,_xlpm.cil,_xlpm.kwh,_xlpm.comb,I99,_xlpm.trans))))</f>
        <v/>
      </c>
      <c r="D99" s="24" t="str" cm="1">
        <f t="array" ref="D99">_xlfn.LET(_xlpm.comb,_xlfn.XLOOKUP(H99,NPF!$A$4:$A$10,NPF!$B$4:$B$10,""),_xlpm.trans,_xlfn.XLOOKUP(J99,NPF!$D$4:$D$7,NPF!$E$4:$E$7,""),_xlpm.orig,NPF!$W$4:$W$33,_xlpm.abr,NPF!$X$4:$X$33,_xlpm.txt,_xlfn.REDUCE(UPPER(TRIM(E99&amp;" "&amp;F99)),_xlfn.SEQUENCE(ROWS(_xlpm.orig)),_xlfn.LAMBDA(_xlpm.a,_xlpm.i,IF(INDEX(_xlpm.orig,_xlpm.i)="",_xlpm.a,SUBSTITUTE(_xlpm.a,UPPER(INDEX(_xlpm.orig,_xlpm.i)),INDEX(_xlpm.abr,_xlpm.i))))),_xlpm.mv,SUBSTITUTE(SUBSTITUTE(SUBSTITUTE(_xlpm.txt,"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99),OR(_xlpm.comb="BEV",_xlpm.comb="PHEV",_xlpm.comb="MHEV")),ROUND(K99,0)&amp;"KWH",""),_xlpm.dec,1,_xlpm.cil,IF(OR(_xlpm.comb="BEV",P99="Motos",P99="Cuatrimotos",G99=""),"",SUBSTITUTE(FIXED(G99/1000,_xlpm.dec,TRUE),",",".")&amp;"L"),_xlpm.modelo,_xlpm.mv&amp;_xlpm.kwh,_xlpm.res,IF(B99="CAMIONES",_xlfn.TEXTJOIN("-",TRUE,_xlpm.modelo,_xlpm.cil,_xlpm.comb,UPPER(I99),_xlpm.trans),IF(B99="VEHICULOS",_xlfn.TEXTJOIN("-",TRUE,_xlpm.modelo,_xlpm.comb,_xlpm.cil,LOWER(I99),_xlpm.trans),"Elija TIPO MATERIAL")),IF(E99="","",_xlpm.res))</f>
        <v/>
      </c>
      <c r="Q99" s="21" t="str">
        <f t="shared" si="6"/>
        <v/>
      </c>
      <c r="R99" s="21" t="str">
        <f t="shared" si="7"/>
        <v/>
      </c>
    </row>
    <row r="100" spans="3:18" x14ac:dyDescent="0.25">
      <c r="C100" s="24" t="str">
        <f>_xlfn.LET(_xlpm.comb,_xlfn.XLOOKUP(H100,NPF!$A$4:$A$10,NPF!$B$4:$B$10,""),_xlpm.trans,_xlfn.XLOOKUP(J100,NPF!$D$4:$D$7,NPF!$E$4:$E$7,""),_xlpm.kwh,IF(AND(ISNUMBER(K100),OR(_xlpm.comb="BEV",_xlpm.comb="PHEV",_xlpm.comb="MHEV")),ROUND(K100,0)&amp;"KWH",""),_xlpm.dec,1,_xlpm.cil,IF(OR(_xlpm.comb="BEV",P100="Motos",P100="Cuatrimotos",G100=""),"",SUBSTITUTE(FIXED(G100/1000,_xlpm.dec,TRUE),",",".")&amp;"L"),IF(E100="","",UPPER(_xlfn.TEXTJOIN(" ",TRUE,E100,F100,_xlpm.cil,_xlpm.kwh,_xlpm.comb,I100,_xlpm.trans))))</f>
        <v/>
      </c>
      <c r="D100" s="24" t="str" cm="1">
        <f t="array" ref="D100">_xlfn.LET(_xlpm.comb,_xlfn.XLOOKUP(H100,NPF!$A$4:$A$10,NPF!$B$4:$B$10,""),_xlpm.trans,_xlfn.XLOOKUP(J100,NPF!$D$4:$D$7,NPF!$E$4:$E$7,""),_xlpm.orig,NPF!$W$4:$W$33,_xlpm.abr,NPF!$X$4:$X$33,_xlpm.txt,_xlfn.REDUCE(UPPER(TRIM(E100&amp;" "&amp;F100)),_xlfn.SEQUENCE(ROWS(_xlpm.orig)),_xlfn.LAMBDA(_xlpm.a,_xlpm.i,IF(INDEX(_xlpm.orig,_xlpm.i)="",_xlpm.a,SUBSTITUTE(_xlpm.a,UPPER(INDEX(_xlpm.orig,_xlpm.i)),INDEX(_xlpm.abr,_xlpm.i))))),_xlpm.mv,SUBSTITUTE(SUBSTITUTE(SUBSTITUTE(_xlpm.txt,"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100),OR(_xlpm.comb="BEV",_xlpm.comb="PHEV",_xlpm.comb="MHEV")),ROUND(K100,0)&amp;"KWH",""),_xlpm.dec,1,_xlpm.cil,IF(OR(_xlpm.comb="BEV",P100="Motos",P100="Cuatrimotos",G100=""),"",SUBSTITUTE(FIXED(G100/1000,_xlpm.dec,TRUE),",",".")&amp;"L"),_xlpm.modelo,_xlpm.mv&amp;_xlpm.kwh,_xlpm.res,IF(B100="CAMIONES",_xlfn.TEXTJOIN("-",TRUE,_xlpm.modelo,_xlpm.cil,_xlpm.comb,UPPER(I100),_xlpm.trans),IF(B100="VEHICULOS",_xlfn.TEXTJOIN("-",TRUE,_xlpm.modelo,_xlpm.comb,_xlpm.cil,LOWER(I100),_xlpm.trans),"Elija TIPO MATERIAL")),IF(E100="","",_xlpm.res))</f>
        <v/>
      </c>
      <c r="Q100" s="21" t="str">
        <f t="shared" si="6"/>
        <v/>
      </c>
      <c r="R100" s="21" t="str">
        <f t="shared" si="7"/>
        <v/>
      </c>
    </row>
    <row r="101" spans="3:18" x14ac:dyDescent="0.25">
      <c r="C101" s="24" t="str">
        <f>_xlfn.LET(_xlpm.comb,_xlfn.XLOOKUP(H101,NPF!$A$4:$A$10,NPF!$B$4:$B$10,""),_xlpm.trans,_xlfn.XLOOKUP(J101,NPF!$D$4:$D$7,NPF!$E$4:$E$7,""),_xlpm.kwh,IF(AND(ISNUMBER(K101),OR(_xlpm.comb="BEV",_xlpm.comb="PHEV",_xlpm.comb="MHEV")),ROUND(K101,0)&amp;"KWH",""),_xlpm.dec,1,_xlpm.cil,IF(OR(_xlpm.comb="BEV",P101="Motos",P101="Cuatrimotos",G101=""),"",SUBSTITUTE(FIXED(G101/1000,_xlpm.dec,TRUE),",",".")&amp;"L"),IF(E101="","",UPPER(_xlfn.TEXTJOIN(" ",TRUE,E101,F101,_xlpm.cil,_xlpm.kwh,_xlpm.comb,I101,_xlpm.trans))))</f>
        <v/>
      </c>
      <c r="D101" s="24" t="str" cm="1">
        <f t="array" ref="D101">_xlfn.LET(_xlpm.comb,_xlfn.XLOOKUP(H101,NPF!$A$4:$A$10,NPF!$B$4:$B$10,""),_xlpm.trans,_xlfn.XLOOKUP(J101,NPF!$D$4:$D$7,NPF!$E$4:$E$7,""),_xlpm.orig,NPF!$W$4:$W$33,_xlpm.abr,NPF!$X$4:$X$33,_xlpm.txt,_xlfn.REDUCE(UPPER(TRIM(E101&amp;" "&amp;F101)),_xlfn.SEQUENCE(ROWS(_xlpm.orig)),_xlfn.LAMBDA(_xlpm.a,_xlpm.i,IF(INDEX(_xlpm.orig,_xlpm.i)="",_xlpm.a,SUBSTITUTE(_xlpm.a,UPPER(INDEX(_xlpm.orig,_xlpm.i)),INDEX(_xlpm.abr,_xlpm.i))))),_xlpm.mv,SUBSTITUTE(SUBSTITUTE(SUBSTITUTE(_xlpm.txt,"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101),OR(_xlpm.comb="BEV",_xlpm.comb="PHEV",_xlpm.comb="MHEV")),ROUND(K101,0)&amp;"KWH",""),_xlpm.dec,1,_xlpm.cil,IF(OR(_xlpm.comb="BEV",P101="Motos",P101="Cuatrimotos",G101=""),"",SUBSTITUTE(FIXED(G101/1000,_xlpm.dec,TRUE),",",".")&amp;"L"),_xlpm.modelo,_xlpm.mv&amp;_xlpm.kwh,_xlpm.res,IF(B101="CAMIONES",_xlfn.TEXTJOIN("-",TRUE,_xlpm.modelo,_xlpm.cil,_xlpm.comb,UPPER(I101),_xlpm.trans),IF(B101="VEHICULOS",_xlfn.TEXTJOIN("-",TRUE,_xlpm.modelo,_xlpm.comb,_xlpm.cil,LOWER(I101),_xlpm.trans),"Elija TIPO MATERIAL")),IF(E101="","",_xlpm.res))</f>
        <v/>
      </c>
      <c r="Q101" s="21" t="str">
        <f t="shared" si="6"/>
        <v/>
      </c>
      <c r="R101" s="21" t="str">
        <f t="shared" si="7"/>
        <v/>
      </c>
    </row>
    <row r="102" spans="3:18" x14ac:dyDescent="0.25">
      <c r="C102" s="24" t="str">
        <f>_xlfn.LET(_xlpm.comb,_xlfn.XLOOKUP(H102,NPF!$A$4:$A$10,NPF!$B$4:$B$10,""),_xlpm.trans,_xlfn.XLOOKUP(J102,NPF!$D$4:$D$7,NPF!$E$4:$E$7,""),_xlpm.kwh,IF(AND(ISNUMBER(K102),OR(_xlpm.comb="BEV",_xlpm.comb="PHEV",_xlpm.comb="MHEV")),ROUND(K102,0)&amp;"KWH",""),_xlpm.dec,1,_xlpm.cil,IF(OR(_xlpm.comb="BEV",P102="Motos",P102="Cuatrimotos",G102=""),"",SUBSTITUTE(FIXED(G102/1000,_xlpm.dec,TRUE),",",".")&amp;"L"),IF(E102="","",UPPER(_xlfn.TEXTJOIN(" ",TRUE,E102,F102,_xlpm.cil,_xlpm.kwh,_xlpm.comb,I102,_xlpm.trans))))</f>
        <v/>
      </c>
      <c r="D102" s="24" t="str" cm="1">
        <f t="array" ref="D102">_xlfn.LET(_xlpm.comb,_xlfn.XLOOKUP(H102,NPF!$A$4:$A$10,NPF!$B$4:$B$10,""),_xlpm.trans,_xlfn.XLOOKUP(J102,NPF!$D$4:$D$7,NPF!$E$4:$E$7,""),_xlpm.orig,NPF!$W$4:$W$33,_xlpm.abr,NPF!$X$4:$X$33,_xlpm.txt,_xlfn.REDUCE(UPPER(TRIM(E102&amp;" "&amp;F102)),_xlfn.SEQUENCE(ROWS(_xlpm.orig)),_xlfn.LAMBDA(_xlpm.a,_xlpm.i,IF(INDEX(_xlpm.orig,_xlpm.i)="",_xlpm.a,SUBSTITUTE(_xlpm.a,UPPER(INDEX(_xlpm.orig,_xlpm.i)),INDEX(_xlpm.abr,_xlpm.i))))),_xlpm.mv,SUBSTITUTE(SUBSTITUTE(SUBSTITUTE(_xlpm.txt,"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102),OR(_xlpm.comb="BEV",_xlpm.comb="PHEV",_xlpm.comb="MHEV")),ROUND(K102,0)&amp;"KWH",""),_xlpm.dec,1,_xlpm.cil,IF(OR(_xlpm.comb="BEV",P102="Motos",P102="Cuatrimotos",G102=""),"",SUBSTITUTE(FIXED(G102/1000,_xlpm.dec,TRUE),",",".")&amp;"L"),_xlpm.modelo,_xlpm.mv&amp;_xlpm.kwh,_xlpm.res,IF(B102="CAMIONES",_xlfn.TEXTJOIN("-",TRUE,_xlpm.modelo,_xlpm.cil,_xlpm.comb,UPPER(I102),_xlpm.trans),IF(B102="VEHICULOS",_xlfn.TEXTJOIN("-",TRUE,_xlpm.modelo,_xlpm.comb,_xlpm.cil,LOWER(I102),_xlpm.trans),"Elija TIPO MATERIAL")),IF(E102="","",_xlpm.res))</f>
        <v/>
      </c>
      <c r="Q102" s="21" t="str">
        <f t="shared" si="6"/>
        <v/>
      </c>
      <c r="R102" s="21" t="str">
        <f t="shared" si="7"/>
        <v/>
      </c>
    </row>
    <row r="103" spans="3:18" x14ac:dyDescent="0.25">
      <c r="C103" s="24" t="str">
        <f>_xlfn.LET(_xlpm.comb,_xlfn.XLOOKUP(H103,NPF!$A$4:$A$10,NPF!$B$4:$B$10,""),_xlpm.trans,_xlfn.XLOOKUP(J103,NPF!$D$4:$D$7,NPF!$E$4:$E$7,""),_xlpm.kwh,IF(AND(ISNUMBER(K103),OR(_xlpm.comb="BEV",_xlpm.comb="PHEV",_xlpm.comb="MHEV")),ROUND(K103,0)&amp;"KWH",""),_xlpm.dec,1,_xlpm.cil,IF(OR(_xlpm.comb="BEV",P103="Motos",P103="Cuatrimotos",G103=""),"",SUBSTITUTE(FIXED(G103/1000,_xlpm.dec,TRUE),",",".")&amp;"L"),IF(E103="","",UPPER(_xlfn.TEXTJOIN(" ",TRUE,E103,F103,_xlpm.cil,_xlpm.kwh,_xlpm.comb,I103,_xlpm.trans))))</f>
        <v/>
      </c>
      <c r="D103" s="24" t="str" cm="1">
        <f t="array" ref="D103">_xlfn.LET(_xlpm.comb,_xlfn.XLOOKUP(H103,NPF!$A$4:$A$10,NPF!$B$4:$B$10,""),_xlpm.trans,_xlfn.XLOOKUP(J103,NPF!$D$4:$D$7,NPF!$E$4:$E$7,""),_xlpm.orig,NPF!$W$4:$W$33,_xlpm.abr,NPF!$X$4:$X$33,_xlpm.txt,_xlfn.REDUCE(UPPER(TRIM(E103&amp;" "&amp;F103)),_xlfn.SEQUENCE(ROWS(_xlpm.orig)),_xlfn.LAMBDA(_xlpm.a,_xlpm.i,IF(INDEX(_xlpm.orig,_xlpm.i)="",_xlpm.a,SUBSTITUTE(_xlpm.a,UPPER(INDEX(_xlpm.orig,_xlpm.i)),INDEX(_xlpm.abr,_xlpm.i))))),_xlpm.mv,SUBSTITUTE(SUBSTITUTE(SUBSTITUTE(_xlpm.txt,"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103),OR(_xlpm.comb="BEV",_xlpm.comb="PHEV",_xlpm.comb="MHEV")),ROUND(K103,0)&amp;"KWH",""),_xlpm.dec,1,_xlpm.cil,IF(OR(_xlpm.comb="BEV",P103="Motos",P103="Cuatrimotos",G103=""),"",SUBSTITUTE(FIXED(G103/1000,_xlpm.dec,TRUE),",",".")&amp;"L"),_xlpm.modelo,_xlpm.mv&amp;_xlpm.kwh,_xlpm.res,IF(B103="CAMIONES",_xlfn.TEXTJOIN("-",TRUE,_xlpm.modelo,_xlpm.cil,_xlpm.comb,UPPER(I103),_xlpm.trans),IF(B103="VEHICULOS",_xlfn.TEXTJOIN("-",TRUE,_xlpm.modelo,_xlpm.comb,_xlpm.cil,LOWER(I103),_xlpm.trans),"Elija TIPO MATERIAL")),IF(E103="","",_xlpm.res))</f>
        <v/>
      </c>
      <c r="Q103" s="21" t="str">
        <f t="shared" si="6"/>
        <v/>
      </c>
      <c r="R103" s="21" t="str">
        <f t="shared" si="7"/>
        <v/>
      </c>
    </row>
    <row r="104" spans="3:18" x14ac:dyDescent="0.25">
      <c r="C104" s="24" t="str">
        <f>_xlfn.LET(_xlpm.comb,_xlfn.XLOOKUP(H104,NPF!$A$4:$A$10,NPF!$B$4:$B$10,""),_xlpm.trans,_xlfn.XLOOKUP(J104,NPF!$D$4:$D$7,NPF!$E$4:$E$7,""),_xlpm.kwh,IF(AND(ISNUMBER(K104),OR(_xlpm.comb="BEV",_xlpm.comb="PHEV",_xlpm.comb="MHEV")),ROUND(K104,0)&amp;"KWH",""),_xlpm.dec,1,_xlpm.cil,IF(OR(_xlpm.comb="BEV",P104="Motos",P104="Cuatrimotos",G104=""),"",SUBSTITUTE(FIXED(G104/1000,_xlpm.dec,TRUE),",",".")&amp;"L"),IF(E104="","",UPPER(_xlfn.TEXTJOIN(" ",TRUE,E104,F104,_xlpm.cil,_xlpm.kwh,_xlpm.comb,I104,_xlpm.trans))))</f>
        <v/>
      </c>
      <c r="D104" s="24" t="str" cm="1">
        <f t="array" ref="D104">_xlfn.LET(_xlpm.comb,_xlfn.XLOOKUP(H104,NPF!$A$4:$A$10,NPF!$B$4:$B$10,""),_xlpm.trans,_xlfn.XLOOKUP(J104,NPF!$D$4:$D$7,NPF!$E$4:$E$7,""),_xlpm.orig,NPF!$W$4:$W$33,_xlpm.abr,NPF!$X$4:$X$33,_xlpm.txt,_xlfn.REDUCE(UPPER(TRIM(E104&amp;" "&amp;F104)),_xlfn.SEQUENCE(ROWS(_xlpm.orig)),_xlfn.LAMBDA(_xlpm.a,_xlpm.i,IF(INDEX(_xlpm.orig,_xlpm.i)="",_xlpm.a,SUBSTITUTE(_xlpm.a,UPPER(INDEX(_xlpm.orig,_xlpm.i)),INDEX(_xlpm.abr,_xlpm.i))))),_xlpm.mv,SUBSTITUTE(SUBSTITUTE(SUBSTITUTE(_xlpm.txt,"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104),OR(_xlpm.comb="BEV",_xlpm.comb="PHEV",_xlpm.comb="MHEV")),ROUND(K104,0)&amp;"KWH",""),_xlpm.dec,1,_xlpm.cil,IF(OR(_xlpm.comb="BEV",P104="Motos",P104="Cuatrimotos",G104=""),"",SUBSTITUTE(FIXED(G104/1000,_xlpm.dec,TRUE),",",".")&amp;"L"),_xlpm.modelo,_xlpm.mv&amp;_xlpm.kwh,_xlpm.res,IF(B104="CAMIONES",_xlfn.TEXTJOIN("-",TRUE,_xlpm.modelo,_xlpm.cil,_xlpm.comb,UPPER(I104),_xlpm.trans),IF(B104="VEHICULOS",_xlfn.TEXTJOIN("-",TRUE,_xlpm.modelo,_xlpm.comb,_xlpm.cil,LOWER(I104),_xlpm.trans),"Elija TIPO MATERIAL")),IF(E104="","",_xlpm.res))</f>
        <v/>
      </c>
      <c r="Q104" s="21" t="str">
        <f t="shared" si="6"/>
        <v/>
      </c>
      <c r="R104" s="21" t="str">
        <f t="shared" si="7"/>
        <v/>
      </c>
    </row>
    <row r="105" spans="3:18" x14ac:dyDescent="0.25">
      <c r="C105" s="24" t="str">
        <f>_xlfn.LET(_xlpm.comb,_xlfn.XLOOKUP(H105,NPF!$A$4:$A$10,NPF!$B$4:$B$10,""),_xlpm.trans,_xlfn.XLOOKUP(J105,NPF!$D$4:$D$7,NPF!$E$4:$E$7,""),_xlpm.kwh,IF(AND(ISNUMBER(K105),OR(_xlpm.comb="BEV",_xlpm.comb="PHEV",_xlpm.comb="MHEV")),ROUND(K105,0)&amp;"KWH",""),_xlpm.dec,1,_xlpm.cil,IF(OR(_xlpm.comb="BEV",P105="Motos",P105="Cuatrimotos",G105=""),"",SUBSTITUTE(FIXED(G105/1000,_xlpm.dec,TRUE),",",".")&amp;"L"),IF(E105="","",UPPER(_xlfn.TEXTJOIN(" ",TRUE,E105,F105,_xlpm.cil,_xlpm.kwh,_xlpm.comb,I105,_xlpm.trans))))</f>
        <v/>
      </c>
      <c r="D105" s="24" t="str" cm="1">
        <f t="array" ref="D105">_xlfn.LET(_xlpm.comb,_xlfn.XLOOKUP(H105,NPF!$A$4:$A$10,NPF!$B$4:$B$10,""),_xlpm.trans,_xlfn.XLOOKUP(J105,NPF!$D$4:$D$7,NPF!$E$4:$E$7,""),_xlpm.orig,NPF!$W$4:$W$33,_xlpm.abr,NPF!$X$4:$X$33,_xlpm.txt,_xlfn.REDUCE(UPPER(TRIM(E105&amp;" "&amp;F105)),_xlfn.SEQUENCE(ROWS(_xlpm.orig)),_xlfn.LAMBDA(_xlpm.a,_xlpm.i,IF(INDEX(_xlpm.orig,_xlpm.i)="",_xlpm.a,SUBSTITUTE(_xlpm.a,UPPER(INDEX(_xlpm.orig,_xlpm.i)),INDEX(_xlpm.abr,_xlpm.i))))),_xlpm.mv,SUBSTITUTE(SUBSTITUTE(SUBSTITUTE(_xlpm.txt,"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105),OR(_xlpm.comb="BEV",_xlpm.comb="PHEV",_xlpm.comb="MHEV")),ROUND(K105,0)&amp;"KWH",""),_xlpm.dec,1,_xlpm.cil,IF(OR(_xlpm.comb="BEV",P105="Motos",P105="Cuatrimotos",G105=""),"",SUBSTITUTE(FIXED(G105/1000,_xlpm.dec,TRUE),",",".")&amp;"L"),_xlpm.modelo,_xlpm.mv&amp;_xlpm.kwh,_xlpm.res,IF(B105="CAMIONES",_xlfn.TEXTJOIN("-",TRUE,_xlpm.modelo,_xlpm.cil,_xlpm.comb,UPPER(I105),_xlpm.trans),IF(B105="VEHICULOS",_xlfn.TEXTJOIN("-",TRUE,_xlpm.modelo,_xlpm.comb,_xlpm.cil,LOWER(I105),_xlpm.trans),"Elija TIPO MATERIAL")),IF(E105="","",_xlpm.res))</f>
        <v/>
      </c>
      <c r="Q105" s="21" t="str">
        <f t="shared" si="6"/>
        <v/>
      </c>
      <c r="R105" s="21" t="str">
        <f t="shared" si="7"/>
        <v/>
      </c>
    </row>
    <row r="106" spans="3:18" x14ac:dyDescent="0.25">
      <c r="C106" s="24" t="str">
        <f>_xlfn.LET(_xlpm.comb,_xlfn.XLOOKUP(H106,NPF!$A$4:$A$10,NPF!$B$4:$B$10,""),_xlpm.trans,_xlfn.XLOOKUP(J106,NPF!$D$4:$D$7,NPF!$E$4:$E$7,""),_xlpm.kwh,IF(AND(ISNUMBER(K106),OR(_xlpm.comb="BEV",_xlpm.comb="PHEV",_xlpm.comb="MHEV")),ROUND(K106,0)&amp;"KWH",""),_xlpm.dec,1,_xlpm.cil,IF(OR(_xlpm.comb="BEV",P106="Motos",P106="Cuatrimotos",G106=""),"",SUBSTITUTE(FIXED(G106/1000,_xlpm.dec,TRUE),",",".")&amp;"L"),IF(E106="","",UPPER(_xlfn.TEXTJOIN(" ",TRUE,E106,F106,_xlpm.cil,_xlpm.kwh,_xlpm.comb,I106,_xlpm.trans))))</f>
        <v/>
      </c>
      <c r="D106" s="24" t="str" cm="1">
        <f t="array" ref="D106">_xlfn.LET(_xlpm.comb,_xlfn.XLOOKUP(H106,NPF!$A$4:$A$10,NPF!$B$4:$B$10,""),_xlpm.trans,_xlfn.XLOOKUP(J106,NPF!$D$4:$D$7,NPF!$E$4:$E$7,""),_xlpm.orig,NPF!$W$4:$W$33,_xlpm.abr,NPF!$X$4:$X$33,_xlpm.txt,_xlfn.REDUCE(UPPER(TRIM(E106&amp;" "&amp;F106)),_xlfn.SEQUENCE(ROWS(_xlpm.orig)),_xlfn.LAMBDA(_xlpm.a,_xlpm.i,IF(INDEX(_xlpm.orig,_xlpm.i)="",_xlpm.a,SUBSTITUTE(_xlpm.a,UPPER(INDEX(_xlpm.orig,_xlpm.i)),INDEX(_xlpm.abr,_xlpm.i))))),_xlpm.mv,SUBSTITUTE(SUBSTITUTE(SUBSTITUTE(_xlpm.txt,"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106),OR(_xlpm.comb="BEV",_xlpm.comb="PHEV",_xlpm.comb="MHEV")),ROUND(K106,0)&amp;"KWH",""),_xlpm.dec,1,_xlpm.cil,IF(OR(_xlpm.comb="BEV",P106="Motos",P106="Cuatrimotos",G106=""),"",SUBSTITUTE(FIXED(G106/1000,_xlpm.dec,TRUE),",",".")&amp;"L"),_xlpm.modelo,_xlpm.mv&amp;_xlpm.kwh,_xlpm.res,IF(B106="CAMIONES",_xlfn.TEXTJOIN("-",TRUE,_xlpm.modelo,_xlpm.cil,_xlpm.comb,UPPER(I106),_xlpm.trans),IF(B106="VEHICULOS",_xlfn.TEXTJOIN("-",TRUE,_xlpm.modelo,_xlpm.comb,_xlpm.cil,LOWER(I106),_xlpm.trans),"Elija TIPO MATERIAL")),IF(E106="","",_xlpm.res))</f>
        <v/>
      </c>
      <c r="Q106" s="21" t="str">
        <f t="shared" si="6"/>
        <v/>
      </c>
      <c r="R106" s="21" t="str">
        <f t="shared" si="7"/>
        <v/>
      </c>
    </row>
    <row r="107" spans="3:18" x14ac:dyDescent="0.25">
      <c r="C107" s="24" t="str">
        <f>_xlfn.LET(_xlpm.comb,_xlfn.XLOOKUP(H107,NPF!$A$4:$A$10,NPF!$B$4:$B$10,""),_xlpm.trans,_xlfn.XLOOKUP(J107,NPF!$D$4:$D$7,NPF!$E$4:$E$7,""),_xlpm.kwh,IF(AND(ISNUMBER(K107),OR(_xlpm.comb="BEV",_xlpm.comb="PHEV",_xlpm.comb="MHEV")),ROUND(K107,0)&amp;"KWH",""),_xlpm.dec,1,_xlpm.cil,IF(OR(_xlpm.comb="BEV",P107="Motos",P107="Cuatrimotos",G107=""),"",SUBSTITUTE(FIXED(G107/1000,_xlpm.dec,TRUE),",",".")&amp;"L"),IF(E107="","",UPPER(_xlfn.TEXTJOIN(" ",TRUE,E107,F107,_xlpm.cil,_xlpm.kwh,_xlpm.comb,I107,_xlpm.trans))))</f>
        <v/>
      </c>
      <c r="D107" s="24" t="str" cm="1">
        <f t="array" ref="D107">_xlfn.LET(_xlpm.comb,_xlfn.XLOOKUP(H107,NPF!$A$4:$A$10,NPF!$B$4:$B$10,""),_xlpm.trans,_xlfn.XLOOKUP(J107,NPF!$D$4:$D$7,NPF!$E$4:$E$7,""),_xlpm.orig,NPF!$W$4:$W$33,_xlpm.abr,NPF!$X$4:$X$33,_xlpm.txt,_xlfn.REDUCE(UPPER(TRIM(E107&amp;" "&amp;F107)),_xlfn.SEQUENCE(ROWS(_xlpm.orig)),_xlfn.LAMBDA(_xlpm.a,_xlpm.i,IF(INDEX(_xlpm.orig,_xlpm.i)="",_xlpm.a,SUBSTITUTE(_xlpm.a,UPPER(INDEX(_xlpm.orig,_xlpm.i)),INDEX(_xlpm.abr,_xlpm.i))))),_xlpm.mv,SUBSTITUTE(SUBSTITUTE(SUBSTITUTE(_xlpm.txt,"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107),OR(_xlpm.comb="BEV",_xlpm.comb="PHEV",_xlpm.comb="MHEV")),ROUND(K107,0)&amp;"KWH",""),_xlpm.dec,1,_xlpm.cil,IF(OR(_xlpm.comb="BEV",P107="Motos",P107="Cuatrimotos",G107=""),"",SUBSTITUTE(FIXED(G107/1000,_xlpm.dec,TRUE),",",".")&amp;"L"),_xlpm.modelo,_xlpm.mv&amp;_xlpm.kwh,_xlpm.res,IF(B107="CAMIONES",_xlfn.TEXTJOIN("-",TRUE,_xlpm.modelo,_xlpm.cil,_xlpm.comb,UPPER(I107),_xlpm.trans),IF(B107="VEHICULOS",_xlfn.TEXTJOIN("-",TRUE,_xlpm.modelo,_xlpm.comb,_xlpm.cil,LOWER(I107),_xlpm.trans),"Elija TIPO MATERIAL")),IF(E107="","",_xlpm.res))</f>
        <v/>
      </c>
      <c r="Q107" s="21" t="str">
        <f t="shared" si="6"/>
        <v/>
      </c>
      <c r="R107" s="21" t="str">
        <f t="shared" si="7"/>
        <v/>
      </c>
    </row>
    <row r="108" spans="3:18" x14ac:dyDescent="0.25">
      <c r="C108" s="24" t="str">
        <f>_xlfn.LET(_xlpm.comb,_xlfn.XLOOKUP(H108,NPF!$A$4:$A$10,NPF!$B$4:$B$10,""),_xlpm.trans,_xlfn.XLOOKUP(J108,NPF!$D$4:$D$7,NPF!$E$4:$E$7,""),_xlpm.kwh,IF(AND(ISNUMBER(K108),OR(_xlpm.comb="BEV",_xlpm.comb="PHEV",_xlpm.comb="MHEV")),ROUND(K108,0)&amp;"KWH",""),_xlpm.dec,1,_xlpm.cil,IF(OR(_xlpm.comb="BEV",P108="Motos",P108="Cuatrimotos",G108=""),"",SUBSTITUTE(FIXED(G108/1000,_xlpm.dec,TRUE),",",".")&amp;"L"),IF(E108="","",UPPER(_xlfn.TEXTJOIN(" ",TRUE,E108,F108,_xlpm.cil,_xlpm.kwh,_xlpm.comb,I108,_xlpm.trans))))</f>
        <v/>
      </c>
      <c r="D108" s="24" t="str" cm="1">
        <f t="array" ref="D108">_xlfn.LET(_xlpm.comb,_xlfn.XLOOKUP(H108,NPF!$A$4:$A$10,NPF!$B$4:$B$10,""),_xlpm.trans,_xlfn.XLOOKUP(J108,NPF!$D$4:$D$7,NPF!$E$4:$E$7,""),_xlpm.orig,NPF!$W$4:$W$33,_xlpm.abr,NPF!$X$4:$X$33,_xlpm.txt,_xlfn.REDUCE(UPPER(TRIM(E108&amp;" "&amp;F108)),_xlfn.SEQUENCE(ROWS(_xlpm.orig)),_xlfn.LAMBDA(_xlpm.a,_xlpm.i,IF(INDEX(_xlpm.orig,_xlpm.i)="",_xlpm.a,SUBSTITUTE(_xlpm.a,UPPER(INDEX(_xlpm.orig,_xlpm.i)),INDEX(_xlpm.abr,_xlpm.i))))),_xlpm.mv,SUBSTITUTE(SUBSTITUTE(SUBSTITUTE(_xlpm.txt,"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108),OR(_xlpm.comb="BEV",_xlpm.comb="PHEV",_xlpm.comb="MHEV")),ROUND(K108,0)&amp;"KWH",""),_xlpm.dec,1,_xlpm.cil,IF(OR(_xlpm.comb="BEV",P108="Motos",P108="Cuatrimotos",G108=""),"",SUBSTITUTE(FIXED(G108/1000,_xlpm.dec,TRUE),",",".")&amp;"L"),_xlpm.modelo,_xlpm.mv&amp;_xlpm.kwh,_xlpm.res,IF(B108="CAMIONES",_xlfn.TEXTJOIN("-",TRUE,_xlpm.modelo,_xlpm.cil,_xlpm.comb,UPPER(I108),_xlpm.trans),IF(B108="VEHICULOS",_xlfn.TEXTJOIN("-",TRUE,_xlpm.modelo,_xlpm.comb,_xlpm.cil,LOWER(I108),_xlpm.trans),"Elija TIPO MATERIAL")),IF(E108="","",_xlpm.res))</f>
        <v/>
      </c>
      <c r="Q108" s="21" t="str">
        <f t="shared" si="6"/>
        <v/>
      </c>
      <c r="R108" s="21" t="str">
        <f t="shared" si="7"/>
        <v/>
      </c>
    </row>
    <row r="109" spans="3:18" x14ac:dyDescent="0.25">
      <c r="C109" s="24" t="str">
        <f>_xlfn.LET(_xlpm.comb,_xlfn.XLOOKUP(H109,NPF!$A$4:$A$10,NPF!$B$4:$B$10,""),_xlpm.trans,_xlfn.XLOOKUP(J109,NPF!$D$4:$D$7,NPF!$E$4:$E$7,""),_xlpm.kwh,IF(AND(ISNUMBER(K109),OR(_xlpm.comb="BEV",_xlpm.comb="PHEV",_xlpm.comb="MHEV")),ROUND(K109,0)&amp;"KWH",""),_xlpm.dec,1,_xlpm.cil,IF(OR(_xlpm.comb="BEV",P109="Motos",P109="Cuatrimotos",G109=""),"",SUBSTITUTE(FIXED(G109/1000,_xlpm.dec,TRUE),",",".")&amp;"L"),IF(E109="","",UPPER(_xlfn.TEXTJOIN(" ",TRUE,E109,F109,_xlpm.cil,_xlpm.kwh,_xlpm.comb,I109,_xlpm.trans))))</f>
        <v/>
      </c>
      <c r="D109" s="24" t="str" cm="1">
        <f t="array" ref="D109">_xlfn.LET(_xlpm.comb,_xlfn.XLOOKUP(H109,NPF!$A$4:$A$10,NPF!$B$4:$B$10,""),_xlpm.trans,_xlfn.XLOOKUP(J109,NPF!$D$4:$D$7,NPF!$E$4:$E$7,""),_xlpm.orig,NPF!$W$4:$W$33,_xlpm.abr,NPF!$X$4:$X$33,_xlpm.txt,_xlfn.REDUCE(UPPER(TRIM(E109&amp;" "&amp;F109)),_xlfn.SEQUENCE(ROWS(_xlpm.orig)),_xlfn.LAMBDA(_xlpm.a,_xlpm.i,IF(INDEX(_xlpm.orig,_xlpm.i)="",_xlpm.a,SUBSTITUTE(_xlpm.a,UPPER(INDEX(_xlpm.orig,_xlpm.i)),INDEX(_xlpm.abr,_xlpm.i))))),_xlpm.mv,SUBSTITUTE(SUBSTITUTE(SUBSTITUTE(_xlpm.txt,"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109),OR(_xlpm.comb="BEV",_xlpm.comb="PHEV",_xlpm.comb="MHEV")),ROUND(K109,0)&amp;"KWH",""),_xlpm.dec,1,_xlpm.cil,IF(OR(_xlpm.comb="BEV",P109="Motos",P109="Cuatrimotos",G109=""),"",SUBSTITUTE(FIXED(G109/1000,_xlpm.dec,TRUE),",",".")&amp;"L"),_xlpm.modelo,_xlpm.mv&amp;_xlpm.kwh,_xlpm.res,IF(B109="CAMIONES",_xlfn.TEXTJOIN("-",TRUE,_xlpm.modelo,_xlpm.cil,_xlpm.comb,UPPER(I109),_xlpm.trans),IF(B109="VEHICULOS",_xlfn.TEXTJOIN("-",TRUE,_xlpm.modelo,_xlpm.comb,_xlpm.cil,LOWER(I109),_xlpm.trans),"Elija TIPO MATERIAL")),IF(E109="","",_xlpm.res))</f>
        <v/>
      </c>
      <c r="Q109" s="21" t="str">
        <f t="shared" si="6"/>
        <v/>
      </c>
      <c r="R109" s="21" t="str">
        <f t="shared" si="7"/>
        <v/>
      </c>
    </row>
    <row r="110" spans="3:18" x14ac:dyDescent="0.25">
      <c r="C110" s="24" t="str">
        <f>_xlfn.LET(_xlpm.comb,_xlfn.XLOOKUP(H110,NPF!$A$4:$A$10,NPF!$B$4:$B$10,""),_xlpm.trans,_xlfn.XLOOKUP(J110,NPF!$D$4:$D$7,NPF!$E$4:$E$7,""),_xlpm.kwh,IF(AND(ISNUMBER(K110),OR(_xlpm.comb="BEV",_xlpm.comb="PHEV",_xlpm.comb="MHEV")),ROUND(K110,0)&amp;"KWH",""),_xlpm.dec,1,_xlpm.cil,IF(OR(_xlpm.comb="BEV",P110="Motos",P110="Cuatrimotos",G110=""),"",SUBSTITUTE(FIXED(G110/1000,_xlpm.dec,TRUE),",",".")&amp;"L"),IF(E110="","",UPPER(_xlfn.TEXTJOIN(" ",TRUE,E110,F110,_xlpm.cil,_xlpm.kwh,_xlpm.comb,I110,_xlpm.trans))))</f>
        <v/>
      </c>
      <c r="D110" s="24" t="str" cm="1">
        <f t="array" ref="D110">_xlfn.LET(_xlpm.comb,_xlfn.XLOOKUP(H110,NPF!$A$4:$A$10,NPF!$B$4:$B$10,""),_xlpm.trans,_xlfn.XLOOKUP(J110,NPF!$D$4:$D$7,NPF!$E$4:$E$7,""),_xlpm.orig,NPF!$W$4:$W$33,_xlpm.abr,NPF!$X$4:$X$33,_xlpm.txt,_xlfn.REDUCE(UPPER(TRIM(E110&amp;" "&amp;F110)),_xlfn.SEQUENCE(ROWS(_xlpm.orig)),_xlfn.LAMBDA(_xlpm.a,_xlpm.i,IF(INDEX(_xlpm.orig,_xlpm.i)="",_xlpm.a,SUBSTITUTE(_xlpm.a,UPPER(INDEX(_xlpm.orig,_xlpm.i)),INDEX(_xlpm.abr,_xlpm.i))))),_xlpm.mv,SUBSTITUTE(SUBSTITUTE(SUBSTITUTE(_xlpm.txt,"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110),OR(_xlpm.comb="BEV",_xlpm.comb="PHEV",_xlpm.comb="MHEV")),ROUND(K110,0)&amp;"KWH",""),_xlpm.dec,1,_xlpm.cil,IF(OR(_xlpm.comb="BEV",P110="Motos",P110="Cuatrimotos",G110=""),"",SUBSTITUTE(FIXED(G110/1000,_xlpm.dec,TRUE),",",".")&amp;"L"),_xlpm.modelo,_xlpm.mv&amp;_xlpm.kwh,_xlpm.res,IF(B110="CAMIONES",_xlfn.TEXTJOIN("-",TRUE,_xlpm.modelo,_xlpm.cil,_xlpm.comb,UPPER(I110),_xlpm.trans),IF(B110="VEHICULOS",_xlfn.TEXTJOIN("-",TRUE,_xlpm.modelo,_xlpm.comb,_xlpm.cil,LOWER(I110),_xlpm.trans),"Elija TIPO MATERIAL")),IF(E110="","",_xlpm.res))</f>
        <v/>
      </c>
      <c r="Q110" s="21" t="str">
        <f t="shared" si="6"/>
        <v/>
      </c>
      <c r="R110" s="21" t="str">
        <f t="shared" si="7"/>
        <v/>
      </c>
    </row>
    <row r="111" spans="3:18" x14ac:dyDescent="0.25">
      <c r="C111" s="24" t="str">
        <f>_xlfn.LET(_xlpm.comb,_xlfn.XLOOKUP(H111,NPF!$A$4:$A$10,NPF!$B$4:$B$10,""),_xlpm.trans,_xlfn.XLOOKUP(J111,NPF!$D$4:$D$7,NPF!$E$4:$E$7,""),_xlpm.kwh,IF(AND(ISNUMBER(K111),OR(_xlpm.comb="BEV",_xlpm.comb="PHEV",_xlpm.comb="MHEV")),ROUND(K111,0)&amp;"KWH",""),_xlpm.dec,1,_xlpm.cil,IF(OR(_xlpm.comb="BEV",P111="Motos",P111="Cuatrimotos",G111=""),"",SUBSTITUTE(FIXED(G111/1000,_xlpm.dec,TRUE),",",".")&amp;"L"),IF(E111="","",UPPER(_xlfn.TEXTJOIN(" ",TRUE,E111,F111,_xlpm.cil,_xlpm.kwh,_xlpm.comb,I111,_xlpm.trans))))</f>
        <v/>
      </c>
      <c r="D111" s="24" t="str" cm="1">
        <f t="array" ref="D111">_xlfn.LET(_xlpm.comb,_xlfn.XLOOKUP(H111,NPF!$A$4:$A$10,NPF!$B$4:$B$10,""),_xlpm.trans,_xlfn.XLOOKUP(J111,NPF!$D$4:$D$7,NPF!$E$4:$E$7,""),_xlpm.orig,NPF!$W$4:$W$33,_xlpm.abr,NPF!$X$4:$X$33,_xlpm.txt,_xlfn.REDUCE(UPPER(TRIM(E111&amp;" "&amp;F111)),_xlfn.SEQUENCE(ROWS(_xlpm.orig)),_xlfn.LAMBDA(_xlpm.a,_xlpm.i,IF(INDEX(_xlpm.orig,_xlpm.i)="",_xlpm.a,SUBSTITUTE(_xlpm.a,UPPER(INDEX(_xlpm.orig,_xlpm.i)),INDEX(_xlpm.abr,_xlpm.i))))),_xlpm.mv,SUBSTITUTE(SUBSTITUTE(SUBSTITUTE(_xlpm.txt,"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111),OR(_xlpm.comb="BEV",_xlpm.comb="PHEV",_xlpm.comb="MHEV")),ROUND(K111,0)&amp;"KWH",""),_xlpm.dec,1,_xlpm.cil,IF(OR(_xlpm.comb="BEV",P111="Motos",P111="Cuatrimotos",G111=""),"",SUBSTITUTE(FIXED(G111/1000,_xlpm.dec,TRUE),",",".")&amp;"L"),_xlpm.modelo,_xlpm.mv&amp;_xlpm.kwh,_xlpm.res,IF(B111="CAMIONES",_xlfn.TEXTJOIN("-",TRUE,_xlpm.modelo,_xlpm.cil,_xlpm.comb,UPPER(I111),_xlpm.trans),IF(B111="VEHICULOS",_xlfn.TEXTJOIN("-",TRUE,_xlpm.modelo,_xlpm.comb,_xlpm.cil,LOWER(I111),_xlpm.trans),"Elija TIPO MATERIAL")),IF(E111="","",_xlpm.res))</f>
        <v/>
      </c>
      <c r="Q111" s="21" t="str">
        <f t="shared" si="6"/>
        <v/>
      </c>
      <c r="R111" s="21" t="str">
        <f t="shared" si="7"/>
        <v/>
      </c>
    </row>
    <row r="112" spans="3:18" x14ac:dyDescent="0.25">
      <c r="C112" s="24" t="str">
        <f>_xlfn.LET(_xlpm.comb,_xlfn.XLOOKUP(H112,NPF!$A$4:$A$10,NPF!$B$4:$B$10,""),_xlpm.trans,_xlfn.XLOOKUP(J112,NPF!$D$4:$D$7,NPF!$E$4:$E$7,""),_xlpm.kwh,IF(AND(ISNUMBER(K112),OR(_xlpm.comb="BEV",_xlpm.comb="PHEV",_xlpm.comb="MHEV")),ROUND(K112,0)&amp;"KWH",""),_xlpm.dec,1,_xlpm.cil,IF(OR(_xlpm.comb="BEV",P112="Motos",P112="Cuatrimotos",G112=""),"",SUBSTITUTE(FIXED(G112/1000,_xlpm.dec,TRUE),",",".")&amp;"L"),IF(E112="","",UPPER(_xlfn.TEXTJOIN(" ",TRUE,E112,F112,_xlpm.cil,_xlpm.kwh,_xlpm.comb,I112,_xlpm.trans))))</f>
        <v/>
      </c>
      <c r="D112" s="24" t="str" cm="1">
        <f t="array" ref="D112">_xlfn.LET(_xlpm.comb,_xlfn.XLOOKUP(H112,NPF!$A$4:$A$10,NPF!$B$4:$B$10,""),_xlpm.trans,_xlfn.XLOOKUP(J112,NPF!$D$4:$D$7,NPF!$E$4:$E$7,""),_xlpm.orig,NPF!$W$4:$W$33,_xlpm.abr,NPF!$X$4:$X$33,_xlpm.txt,_xlfn.REDUCE(UPPER(TRIM(E112&amp;" "&amp;F112)),_xlfn.SEQUENCE(ROWS(_xlpm.orig)),_xlfn.LAMBDA(_xlpm.a,_xlpm.i,IF(INDEX(_xlpm.orig,_xlpm.i)="",_xlpm.a,SUBSTITUTE(_xlpm.a,UPPER(INDEX(_xlpm.orig,_xlpm.i)),INDEX(_xlpm.abr,_xlpm.i))))),_xlpm.mv,SUBSTITUTE(SUBSTITUTE(SUBSTITUTE(_xlpm.txt,"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112),OR(_xlpm.comb="BEV",_xlpm.comb="PHEV",_xlpm.comb="MHEV")),ROUND(K112,0)&amp;"KWH",""),_xlpm.dec,1,_xlpm.cil,IF(OR(_xlpm.comb="BEV",P112="Motos",P112="Cuatrimotos",G112=""),"",SUBSTITUTE(FIXED(G112/1000,_xlpm.dec,TRUE),",",".")&amp;"L"),_xlpm.modelo,_xlpm.mv&amp;_xlpm.kwh,_xlpm.res,IF(B112="CAMIONES",_xlfn.TEXTJOIN("-",TRUE,_xlpm.modelo,_xlpm.cil,_xlpm.comb,UPPER(I112),_xlpm.trans),IF(B112="VEHICULOS",_xlfn.TEXTJOIN("-",TRUE,_xlpm.modelo,_xlpm.comb,_xlpm.cil,LOWER(I112),_xlpm.trans),"Elija TIPO MATERIAL")),IF(E112="","",_xlpm.res))</f>
        <v/>
      </c>
      <c r="Q112" s="21" t="str">
        <f t="shared" si="6"/>
        <v/>
      </c>
      <c r="R112" s="21" t="str">
        <f t="shared" si="7"/>
        <v/>
      </c>
    </row>
    <row r="113" spans="3:18" x14ac:dyDescent="0.25">
      <c r="C113" s="24" t="str">
        <f>_xlfn.LET(_xlpm.comb,_xlfn.XLOOKUP(H113,NPF!$A$4:$A$10,NPF!$B$4:$B$10,""),_xlpm.trans,_xlfn.XLOOKUP(J113,NPF!$D$4:$D$7,NPF!$E$4:$E$7,""),_xlpm.kwh,IF(AND(ISNUMBER(K113),OR(_xlpm.comb="BEV",_xlpm.comb="PHEV",_xlpm.comb="MHEV")),ROUND(K113,0)&amp;"KWH",""),_xlpm.dec,1,_xlpm.cil,IF(OR(_xlpm.comb="BEV",P113="Motos",P113="Cuatrimotos",G113=""),"",SUBSTITUTE(FIXED(G113/1000,_xlpm.dec,TRUE),",",".")&amp;"L"),IF(E113="","",UPPER(_xlfn.TEXTJOIN(" ",TRUE,E113,F113,_xlpm.cil,_xlpm.kwh,_xlpm.comb,I113,_xlpm.trans))))</f>
        <v/>
      </c>
      <c r="D113" s="24" t="str" cm="1">
        <f t="array" ref="D113">_xlfn.LET(_xlpm.comb,_xlfn.XLOOKUP(H113,NPF!$A$4:$A$10,NPF!$B$4:$B$10,""),_xlpm.trans,_xlfn.XLOOKUP(J113,NPF!$D$4:$D$7,NPF!$E$4:$E$7,""),_xlpm.orig,NPF!$W$4:$W$33,_xlpm.abr,NPF!$X$4:$X$33,_xlpm.txt,_xlfn.REDUCE(UPPER(TRIM(E113&amp;" "&amp;F113)),_xlfn.SEQUENCE(ROWS(_xlpm.orig)),_xlfn.LAMBDA(_xlpm.a,_xlpm.i,IF(INDEX(_xlpm.orig,_xlpm.i)="",_xlpm.a,SUBSTITUTE(_xlpm.a,UPPER(INDEX(_xlpm.orig,_xlpm.i)),INDEX(_xlpm.abr,_xlpm.i))))),_xlpm.mv,SUBSTITUTE(SUBSTITUTE(SUBSTITUTE(_xlpm.txt,"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113),OR(_xlpm.comb="BEV",_xlpm.comb="PHEV",_xlpm.comb="MHEV")),ROUND(K113,0)&amp;"KWH",""),_xlpm.dec,1,_xlpm.cil,IF(OR(_xlpm.comb="BEV",P113="Motos",P113="Cuatrimotos",G113=""),"",SUBSTITUTE(FIXED(G113/1000,_xlpm.dec,TRUE),",",".")&amp;"L"),_xlpm.modelo,_xlpm.mv&amp;_xlpm.kwh,_xlpm.res,IF(B113="CAMIONES",_xlfn.TEXTJOIN("-",TRUE,_xlpm.modelo,_xlpm.cil,_xlpm.comb,UPPER(I113),_xlpm.trans),IF(B113="VEHICULOS",_xlfn.TEXTJOIN("-",TRUE,_xlpm.modelo,_xlpm.comb,_xlpm.cil,LOWER(I113),_xlpm.trans),"Elija TIPO MATERIAL")),IF(E113="","",_xlpm.res))</f>
        <v/>
      </c>
      <c r="Q113" s="21" t="str">
        <f t="shared" si="6"/>
        <v/>
      </c>
      <c r="R113" s="21" t="str">
        <f t="shared" si="7"/>
        <v/>
      </c>
    </row>
    <row r="114" spans="3:18" x14ac:dyDescent="0.25">
      <c r="C114" s="24" t="str">
        <f>_xlfn.LET(_xlpm.comb,_xlfn.XLOOKUP(H114,NPF!$A$4:$A$10,NPF!$B$4:$B$10,""),_xlpm.trans,_xlfn.XLOOKUP(J114,NPF!$D$4:$D$7,NPF!$E$4:$E$7,""),_xlpm.kwh,IF(AND(ISNUMBER(K114),OR(_xlpm.comb="BEV",_xlpm.comb="PHEV",_xlpm.comb="MHEV")),ROUND(K114,0)&amp;"KWH",""),_xlpm.dec,1,_xlpm.cil,IF(OR(_xlpm.comb="BEV",P114="Motos",P114="Cuatrimotos",G114=""),"",SUBSTITUTE(FIXED(G114/1000,_xlpm.dec,TRUE),",",".")&amp;"L"),IF(E114="","",UPPER(_xlfn.TEXTJOIN(" ",TRUE,E114,F114,_xlpm.cil,_xlpm.kwh,_xlpm.comb,I114,_xlpm.trans))))</f>
        <v/>
      </c>
      <c r="D114" s="24" t="str" cm="1">
        <f t="array" ref="D114">_xlfn.LET(_xlpm.comb,_xlfn.XLOOKUP(H114,NPF!$A$4:$A$10,NPF!$B$4:$B$10,""),_xlpm.trans,_xlfn.XLOOKUP(J114,NPF!$D$4:$D$7,NPF!$E$4:$E$7,""),_xlpm.orig,NPF!$W$4:$W$33,_xlpm.abr,NPF!$X$4:$X$33,_xlpm.txt,_xlfn.REDUCE(UPPER(TRIM(E114&amp;" "&amp;F114)),_xlfn.SEQUENCE(ROWS(_xlpm.orig)),_xlfn.LAMBDA(_xlpm.a,_xlpm.i,IF(INDEX(_xlpm.orig,_xlpm.i)="",_xlpm.a,SUBSTITUTE(_xlpm.a,UPPER(INDEX(_xlpm.orig,_xlpm.i)),INDEX(_xlpm.abr,_xlpm.i))))),_xlpm.mv,SUBSTITUTE(SUBSTITUTE(SUBSTITUTE(_xlpm.txt,"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114),OR(_xlpm.comb="BEV",_xlpm.comb="PHEV",_xlpm.comb="MHEV")),ROUND(K114,0)&amp;"KWH",""),_xlpm.dec,1,_xlpm.cil,IF(OR(_xlpm.comb="BEV",P114="Motos",P114="Cuatrimotos",G114=""),"",SUBSTITUTE(FIXED(G114/1000,_xlpm.dec,TRUE),",",".")&amp;"L"),_xlpm.modelo,_xlpm.mv&amp;_xlpm.kwh,_xlpm.res,IF(B114="CAMIONES",_xlfn.TEXTJOIN("-",TRUE,_xlpm.modelo,_xlpm.cil,_xlpm.comb,UPPER(I114),_xlpm.trans),IF(B114="VEHICULOS",_xlfn.TEXTJOIN("-",TRUE,_xlpm.modelo,_xlpm.comb,_xlpm.cil,LOWER(I114),_xlpm.trans),"Elija TIPO MATERIAL")),IF(E114="","",_xlpm.res))</f>
        <v/>
      </c>
      <c r="Q114" s="21" t="str">
        <f t="shared" si="6"/>
        <v/>
      </c>
      <c r="R114" s="21" t="str">
        <f t="shared" si="7"/>
        <v/>
      </c>
    </row>
    <row r="115" spans="3:18" x14ac:dyDescent="0.25">
      <c r="C115" s="24" t="str">
        <f>_xlfn.LET(_xlpm.comb,_xlfn.XLOOKUP(H115,NPF!$A$4:$A$10,NPF!$B$4:$B$10,""),_xlpm.trans,_xlfn.XLOOKUP(J115,NPF!$D$4:$D$7,NPF!$E$4:$E$7,""),_xlpm.kwh,IF(AND(ISNUMBER(K115),OR(_xlpm.comb="BEV",_xlpm.comb="PHEV",_xlpm.comb="MHEV")),ROUND(K115,0)&amp;"KWH",""),_xlpm.dec,1,_xlpm.cil,IF(OR(_xlpm.comb="BEV",P115="Motos",P115="Cuatrimotos",G115=""),"",SUBSTITUTE(FIXED(G115/1000,_xlpm.dec,TRUE),",",".")&amp;"L"),IF(E115="","",UPPER(_xlfn.TEXTJOIN(" ",TRUE,E115,F115,_xlpm.cil,_xlpm.kwh,_xlpm.comb,I115,_xlpm.trans))))</f>
        <v/>
      </c>
      <c r="D115" s="24" t="str" cm="1">
        <f t="array" ref="D115">_xlfn.LET(_xlpm.comb,_xlfn.XLOOKUP(H115,NPF!$A$4:$A$10,NPF!$B$4:$B$10,""),_xlpm.trans,_xlfn.XLOOKUP(J115,NPF!$D$4:$D$7,NPF!$E$4:$E$7,""),_xlpm.orig,NPF!$W$4:$W$33,_xlpm.abr,NPF!$X$4:$X$33,_xlpm.txt,_xlfn.REDUCE(UPPER(TRIM(E115&amp;" "&amp;F115)),_xlfn.SEQUENCE(ROWS(_xlpm.orig)),_xlfn.LAMBDA(_xlpm.a,_xlpm.i,IF(INDEX(_xlpm.orig,_xlpm.i)="",_xlpm.a,SUBSTITUTE(_xlpm.a,UPPER(INDEX(_xlpm.orig,_xlpm.i)),INDEX(_xlpm.abr,_xlpm.i))))),_xlpm.mv,SUBSTITUTE(SUBSTITUTE(SUBSTITUTE(_xlpm.txt,"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115),OR(_xlpm.comb="BEV",_xlpm.comb="PHEV",_xlpm.comb="MHEV")),ROUND(K115,0)&amp;"KWH",""),_xlpm.dec,1,_xlpm.cil,IF(OR(_xlpm.comb="BEV",P115="Motos",P115="Cuatrimotos",G115=""),"",SUBSTITUTE(FIXED(G115/1000,_xlpm.dec,TRUE),",",".")&amp;"L"),_xlpm.modelo,_xlpm.mv&amp;_xlpm.kwh,_xlpm.res,IF(B115="CAMIONES",_xlfn.TEXTJOIN("-",TRUE,_xlpm.modelo,_xlpm.cil,_xlpm.comb,UPPER(I115),_xlpm.trans),IF(B115="VEHICULOS",_xlfn.TEXTJOIN("-",TRUE,_xlpm.modelo,_xlpm.comb,_xlpm.cil,LOWER(I115),_xlpm.trans),"Elija TIPO MATERIAL")),IF(E115="","",_xlpm.res))</f>
        <v/>
      </c>
      <c r="Q115" s="21" t="str">
        <f t="shared" si="6"/>
        <v/>
      </c>
      <c r="R115" s="21" t="str">
        <f t="shared" si="7"/>
        <v/>
      </c>
    </row>
    <row r="116" spans="3:18" x14ac:dyDescent="0.25">
      <c r="C116" s="24" t="str">
        <f>_xlfn.LET(_xlpm.comb,_xlfn.XLOOKUP(H116,NPF!$A$4:$A$10,NPF!$B$4:$B$10,""),_xlpm.trans,_xlfn.XLOOKUP(J116,NPF!$D$4:$D$7,NPF!$E$4:$E$7,""),_xlpm.kwh,IF(AND(ISNUMBER(K116),OR(_xlpm.comb="BEV",_xlpm.comb="PHEV",_xlpm.comb="MHEV")),ROUND(K116,0)&amp;"KWH",""),_xlpm.dec,1,_xlpm.cil,IF(OR(_xlpm.comb="BEV",P116="Motos",P116="Cuatrimotos",G116=""),"",SUBSTITUTE(FIXED(G116/1000,_xlpm.dec,TRUE),",",".")&amp;"L"),IF(E116="","",UPPER(_xlfn.TEXTJOIN(" ",TRUE,E116,F116,_xlpm.cil,_xlpm.kwh,_xlpm.comb,I116,_xlpm.trans))))</f>
        <v/>
      </c>
      <c r="D116" s="24" t="str" cm="1">
        <f t="array" ref="D116">_xlfn.LET(_xlpm.comb,_xlfn.XLOOKUP(H116,NPF!$A$4:$A$10,NPF!$B$4:$B$10,""),_xlpm.trans,_xlfn.XLOOKUP(J116,NPF!$D$4:$D$7,NPF!$E$4:$E$7,""),_xlpm.orig,NPF!$W$4:$W$33,_xlpm.abr,NPF!$X$4:$X$33,_xlpm.txt,_xlfn.REDUCE(UPPER(TRIM(E116&amp;" "&amp;F116)),_xlfn.SEQUENCE(ROWS(_xlpm.orig)),_xlfn.LAMBDA(_xlpm.a,_xlpm.i,IF(INDEX(_xlpm.orig,_xlpm.i)="",_xlpm.a,SUBSTITUTE(_xlpm.a,UPPER(INDEX(_xlpm.orig,_xlpm.i)),INDEX(_xlpm.abr,_xlpm.i))))),_xlpm.mv,SUBSTITUTE(SUBSTITUTE(SUBSTITUTE(_xlpm.txt,"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116),OR(_xlpm.comb="BEV",_xlpm.comb="PHEV",_xlpm.comb="MHEV")),ROUND(K116,0)&amp;"KWH",""),_xlpm.dec,1,_xlpm.cil,IF(OR(_xlpm.comb="BEV",P116="Motos",P116="Cuatrimotos",G116=""),"",SUBSTITUTE(FIXED(G116/1000,_xlpm.dec,TRUE),",",".")&amp;"L"),_xlpm.modelo,_xlpm.mv&amp;_xlpm.kwh,_xlpm.res,IF(B116="CAMIONES",_xlfn.TEXTJOIN("-",TRUE,_xlpm.modelo,_xlpm.cil,_xlpm.comb,UPPER(I116),_xlpm.trans),IF(B116="VEHICULOS",_xlfn.TEXTJOIN("-",TRUE,_xlpm.modelo,_xlpm.comb,_xlpm.cil,LOWER(I116),_xlpm.trans),"Elija TIPO MATERIAL")),IF(E116="","",_xlpm.res))</f>
        <v/>
      </c>
      <c r="Q116" s="21" t="str">
        <f t="shared" si="6"/>
        <v/>
      </c>
      <c r="R116" s="21" t="str">
        <f t="shared" si="7"/>
        <v/>
      </c>
    </row>
    <row r="117" spans="3:18" x14ac:dyDescent="0.25">
      <c r="C117" s="24" t="str">
        <f>_xlfn.LET(_xlpm.comb,_xlfn.XLOOKUP(H117,NPF!$A$4:$A$10,NPF!$B$4:$B$10,""),_xlpm.trans,_xlfn.XLOOKUP(J117,NPF!$D$4:$D$7,NPF!$E$4:$E$7,""),_xlpm.kwh,IF(AND(ISNUMBER(K117),OR(_xlpm.comb="BEV",_xlpm.comb="PHEV",_xlpm.comb="MHEV")),ROUND(K117,0)&amp;"KWH",""),_xlpm.dec,1,_xlpm.cil,IF(OR(_xlpm.comb="BEV",P117="Motos",P117="Cuatrimotos",G117=""),"",SUBSTITUTE(FIXED(G117/1000,_xlpm.dec,TRUE),",",".")&amp;"L"),IF(E117="","",UPPER(_xlfn.TEXTJOIN(" ",TRUE,E117,F117,_xlpm.cil,_xlpm.kwh,_xlpm.comb,I117,_xlpm.trans))))</f>
        <v/>
      </c>
      <c r="D117" s="24" t="str" cm="1">
        <f t="array" ref="D117">_xlfn.LET(_xlpm.comb,_xlfn.XLOOKUP(H117,NPF!$A$4:$A$10,NPF!$B$4:$B$10,""),_xlpm.trans,_xlfn.XLOOKUP(J117,NPF!$D$4:$D$7,NPF!$E$4:$E$7,""),_xlpm.orig,NPF!$W$4:$W$33,_xlpm.abr,NPF!$X$4:$X$33,_xlpm.txt,_xlfn.REDUCE(UPPER(TRIM(E117&amp;" "&amp;F117)),_xlfn.SEQUENCE(ROWS(_xlpm.orig)),_xlfn.LAMBDA(_xlpm.a,_xlpm.i,IF(INDEX(_xlpm.orig,_xlpm.i)="",_xlpm.a,SUBSTITUTE(_xlpm.a,UPPER(INDEX(_xlpm.orig,_xlpm.i)),INDEX(_xlpm.abr,_xlpm.i))))),_xlpm.mv,SUBSTITUTE(SUBSTITUTE(SUBSTITUTE(_xlpm.txt,"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117),OR(_xlpm.comb="BEV",_xlpm.comb="PHEV",_xlpm.comb="MHEV")),ROUND(K117,0)&amp;"KWH",""),_xlpm.dec,1,_xlpm.cil,IF(OR(_xlpm.comb="BEV",P117="Motos",P117="Cuatrimotos",G117=""),"",SUBSTITUTE(FIXED(G117/1000,_xlpm.dec,TRUE),",",".")&amp;"L"),_xlpm.modelo,_xlpm.mv&amp;_xlpm.kwh,_xlpm.res,IF(B117="CAMIONES",_xlfn.TEXTJOIN("-",TRUE,_xlpm.modelo,_xlpm.cil,_xlpm.comb,UPPER(I117),_xlpm.trans),IF(B117="VEHICULOS",_xlfn.TEXTJOIN("-",TRUE,_xlpm.modelo,_xlpm.comb,_xlpm.cil,LOWER(I117),_xlpm.trans),"Elija TIPO MATERIAL")),IF(E117="","",_xlpm.res))</f>
        <v/>
      </c>
      <c r="Q117" s="21" t="str">
        <f t="shared" si="6"/>
        <v/>
      </c>
      <c r="R117" s="21" t="str">
        <f t="shared" si="7"/>
        <v/>
      </c>
    </row>
    <row r="118" spans="3:18" x14ac:dyDescent="0.25">
      <c r="C118" s="24" t="str">
        <f>_xlfn.LET(_xlpm.comb,_xlfn.XLOOKUP(H118,NPF!$A$4:$A$10,NPF!$B$4:$B$10,""),_xlpm.trans,_xlfn.XLOOKUP(J118,NPF!$D$4:$D$7,NPF!$E$4:$E$7,""),_xlpm.kwh,IF(AND(ISNUMBER(K118),OR(_xlpm.comb="BEV",_xlpm.comb="PHEV",_xlpm.comb="MHEV")),ROUND(K118,0)&amp;"KWH",""),_xlpm.dec,1,_xlpm.cil,IF(OR(_xlpm.comb="BEV",P118="Motos",P118="Cuatrimotos",G118=""),"",SUBSTITUTE(FIXED(G118/1000,_xlpm.dec,TRUE),",",".")&amp;"L"),IF(E118="","",UPPER(_xlfn.TEXTJOIN(" ",TRUE,E118,F118,_xlpm.cil,_xlpm.kwh,_xlpm.comb,I118,_xlpm.trans))))</f>
        <v/>
      </c>
      <c r="D118" s="24" t="str" cm="1">
        <f t="array" ref="D118">_xlfn.LET(_xlpm.comb,_xlfn.XLOOKUP(H118,NPF!$A$4:$A$10,NPF!$B$4:$B$10,""),_xlpm.trans,_xlfn.XLOOKUP(J118,NPF!$D$4:$D$7,NPF!$E$4:$E$7,""),_xlpm.orig,NPF!$W$4:$W$33,_xlpm.abr,NPF!$X$4:$X$33,_xlpm.txt,_xlfn.REDUCE(UPPER(TRIM(E118&amp;" "&amp;F118)),_xlfn.SEQUENCE(ROWS(_xlpm.orig)),_xlfn.LAMBDA(_xlpm.a,_xlpm.i,IF(INDEX(_xlpm.orig,_xlpm.i)="",_xlpm.a,SUBSTITUTE(_xlpm.a,UPPER(INDEX(_xlpm.orig,_xlpm.i)),INDEX(_xlpm.abr,_xlpm.i))))),_xlpm.mv,SUBSTITUTE(SUBSTITUTE(SUBSTITUTE(_xlpm.txt,"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118),OR(_xlpm.comb="BEV",_xlpm.comb="PHEV",_xlpm.comb="MHEV")),ROUND(K118,0)&amp;"KWH",""),_xlpm.dec,1,_xlpm.cil,IF(OR(_xlpm.comb="BEV",P118="Motos",P118="Cuatrimotos",G118=""),"",SUBSTITUTE(FIXED(G118/1000,_xlpm.dec,TRUE),",",".")&amp;"L"),_xlpm.modelo,_xlpm.mv&amp;_xlpm.kwh,_xlpm.res,IF(B118="CAMIONES",_xlfn.TEXTJOIN("-",TRUE,_xlpm.modelo,_xlpm.cil,_xlpm.comb,UPPER(I118),_xlpm.trans),IF(B118="VEHICULOS",_xlfn.TEXTJOIN("-",TRUE,_xlpm.modelo,_xlpm.comb,_xlpm.cil,LOWER(I118),_xlpm.trans),"Elija TIPO MATERIAL")),IF(E118="","",_xlpm.res))</f>
        <v/>
      </c>
      <c r="Q118" s="21" t="str">
        <f t="shared" si="6"/>
        <v/>
      </c>
      <c r="R118" s="21" t="str">
        <f t="shared" si="7"/>
        <v/>
      </c>
    </row>
    <row r="119" spans="3:18" x14ac:dyDescent="0.25">
      <c r="C119" s="24" t="str">
        <f>_xlfn.LET(_xlpm.comb,_xlfn.XLOOKUP(H119,NPF!$A$4:$A$10,NPF!$B$4:$B$10,""),_xlpm.trans,_xlfn.XLOOKUP(J119,NPF!$D$4:$D$7,NPF!$E$4:$E$7,""),_xlpm.kwh,IF(AND(ISNUMBER(K119),OR(_xlpm.comb="BEV",_xlpm.comb="PHEV",_xlpm.comb="MHEV")),ROUND(K119,0)&amp;"KWH",""),_xlpm.dec,1,_xlpm.cil,IF(OR(_xlpm.comb="BEV",P119="Motos",P119="Cuatrimotos",G119=""),"",SUBSTITUTE(FIXED(G119/1000,_xlpm.dec,TRUE),",",".")&amp;"L"),IF(E119="","",UPPER(_xlfn.TEXTJOIN(" ",TRUE,E119,F119,_xlpm.cil,_xlpm.kwh,_xlpm.comb,I119,_xlpm.trans))))</f>
        <v/>
      </c>
      <c r="D119" s="24" t="str" cm="1">
        <f t="array" ref="D119">_xlfn.LET(_xlpm.comb,_xlfn.XLOOKUP(H119,NPF!$A$4:$A$10,NPF!$B$4:$B$10,""),_xlpm.trans,_xlfn.XLOOKUP(J119,NPF!$D$4:$D$7,NPF!$E$4:$E$7,""),_xlpm.orig,NPF!$W$4:$W$33,_xlpm.abr,NPF!$X$4:$X$33,_xlpm.txt,_xlfn.REDUCE(UPPER(TRIM(E119&amp;" "&amp;F119)),_xlfn.SEQUENCE(ROWS(_xlpm.orig)),_xlfn.LAMBDA(_xlpm.a,_xlpm.i,IF(INDEX(_xlpm.orig,_xlpm.i)="",_xlpm.a,SUBSTITUTE(_xlpm.a,UPPER(INDEX(_xlpm.orig,_xlpm.i)),INDEX(_xlpm.abr,_xlpm.i))))),_xlpm.mv,SUBSTITUTE(SUBSTITUTE(SUBSTITUTE(_xlpm.txt,"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119),OR(_xlpm.comb="BEV",_xlpm.comb="PHEV",_xlpm.comb="MHEV")),ROUND(K119,0)&amp;"KWH",""),_xlpm.dec,1,_xlpm.cil,IF(OR(_xlpm.comb="BEV",P119="Motos",P119="Cuatrimotos",G119=""),"",SUBSTITUTE(FIXED(G119/1000,_xlpm.dec,TRUE),",",".")&amp;"L"),_xlpm.modelo,_xlpm.mv&amp;_xlpm.kwh,_xlpm.res,IF(B119="CAMIONES",_xlfn.TEXTJOIN("-",TRUE,_xlpm.modelo,_xlpm.cil,_xlpm.comb,UPPER(I119),_xlpm.trans),IF(B119="VEHICULOS",_xlfn.TEXTJOIN("-",TRUE,_xlpm.modelo,_xlpm.comb,_xlpm.cil,LOWER(I119),_xlpm.trans),"Elija TIPO MATERIAL")),IF(E119="","",_xlpm.res))</f>
        <v/>
      </c>
      <c r="Q119" s="21" t="str">
        <f t="shared" si="6"/>
        <v/>
      </c>
      <c r="R119" s="21" t="str">
        <f t="shared" si="7"/>
        <v/>
      </c>
    </row>
    <row r="120" spans="3:18" x14ac:dyDescent="0.25">
      <c r="C120" s="24" t="str">
        <f>_xlfn.LET(_xlpm.comb,_xlfn.XLOOKUP(H120,NPF!$A$4:$A$10,NPF!$B$4:$B$10,""),_xlpm.trans,_xlfn.XLOOKUP(J120,NPF!$D$4:$D$7,NPF!$E$4:$E$7,""),_xlpm.kwh,IF(AND(ISNUMBER(K120),OR(_xlpm.comb="BEV",_xlpm.comb="PHEV",_xlpm.comb="MHEV")),ROUND(K120,0)&amp;"KWH",""),_xlpm.dec,1,_xlpm.cil,IF(OR(_xlpm.comb="BEV",P120="Motos",P120="Cuatrimotos",G120=""),"",SUBSTITUTE(FIXED(G120/1000,_xlpm.dec,TRUE),",",".")&amp;"L"),IF(E120="","",UPPER(_xlfn.TEXTJOIN(" ",TRUE,E120,F120,_xlpm.cil,_xlpm.kwh,_xlpm.comb,I120,_xlpm.trans))))</f>
        <v/>
      </c>
      <c r="D120" s="24" t="str" cm="1">
        <f t="array" ref="D120">_xlfn.LET(_xlpm.comb,_xlfn.XLOOKUP(H120,NPF!$A$4:$A$10,NPF!$B$4:$B$10,""),_xlpm.trans,_xlfn.XLOOKUP(J120,NPF!$D$4:$D$7,NPF!$E$4:$E$7,""),_xlpm.orig,NPF!$W$4:$W$33,_xlpm.abr,NPF!$X$4:$X$33,_xlpm.txt,_xlfn.REDUCE(UPPER(TRIM(E120&amp;" "&amp;F120)),_xlfn.SEQUENCE(ROWS(_xlpm.orig)),_xlfn.LAMBDA(_xlpm.a,_xlpm.i,IF(INDEX(_xlpm.orig,_xlpm.i)="",_xlpm.a,SUBSTITUTE(_xlpm.a,UPPER(INDEX(_xlpm.orig,_xlpm.i)),INDEX(_xlpm.abr,_xlpm.i))))),_xlpm.mv,SUBSTITUTE(SUBSTITUTE(SUBSTITUTE(_xlpm.txt,"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120),OR(_xlpm.comb="BEV",_xlpm.comb="PHEV",_xlpm.comb="MHEV")),ROUND(K120,0)&amp;"KWH",""),_xlpm.dec,1,_xlpm.cil,IF(OR(_xlpm.comb="BEV",P120="Motos",P120="Cuatrimotos",G120=""),"",SUBSTITUTE(FIXED(G120/1000,_xlpm.dec,TRUE),",",".")&amp;"L"),_xlpm.modelo,_xlpm.mv&amp;_xlpm.kwh,_xlpm.res,IF(B120="CAMIONES",_xlfn.TEXTJOIN("-",TRUE,_xlpm.modelo,_xlpm.cil,_xlpm.comb,UPPER(I120),_xlpm.trans),IF(B120="VEHICULOS",_xlfn.TEXTJOIN("-",TRUE,_xlpm.modelo,_xlpm.comb,_xlpm.cil,LOWER(I120),_xlpm.trans),"Elija TIPO MATERIAL")),IF(E120="","",_xlpm.res))</f>
        <v/>
      </c>
      <c r="Q120" s="21" t="str">
        <f t="shared" si="6"/>
        <v/>
      </c>
      <c r="R120" s="21" t="str">
        <f t="shared" si="7"/>
        <v/>
      </c>
    </row>
    <row r="121" spans="3:18" x14ac:dyDescent="0.25">
      <c r="C121" s="24" t="str">
        <f>_xlfn.LET(_xlpm.comb,_xlfn.XLOOKUP(H121,NPF!$A$4:$A$10,NPF!$B$4:$B$10,""),_xlpm.trans,_xlfn.XLOOKUP(J121,NPF!$D$4:$D$7,NPF!$E$4:$E$7,""),_xlpm.kwh,IF(AND(ISNUMBER(K121),OR(_xlpm.comb="BEV",_xlpm.comb="PHEV",_xlpm.comb="MHEV")),ROUND(K121,0)&amp;"KWH",""),_xlpm.dec,1,_xlpm.cil,IF(OR(_xlpm.comb="BEV",P121="Motos",P121="Cuatrimotos",G121=""),"",SUBSTITUTE(FIXED(G121/1000,_xlpm.dec,TRUE),",",".")&amp;"L"),IF(E121="","",UPPER(_xlfn.TEXTJOIN(" ",TRUE,E121,F121,_xlpm.cil,_xlpm.kwh,_xlpm.comb,I121,_xlpm.trans))))</f>
        <v/>
      </c>
      <c r="D121" s="24" t="str" cm="1">
        <f t="array" ref="D121">_xlfn.LET(_xlpm.comb,_xlfn.XLOOKUP(H121,NPF!$A$4:$A$10,NPF!$B$4:$B$10,""),_xlpm.trans,_xlfn.XLOOKUP(J121,NPF!$D$4:$D$7,NPF!$E$4:$E$7,""),_xlpm.orig,NPF!$W$4:$W$33,_xlpm.abr,NPF!$X$4:$X$33,_xlpm.txt,_xlfn.REDUCE(UPPER(TRIM(E121&amp;" "&amp;F121)),_xlfn.SEQUENCE(ROWS(_xlpm.orig)),_xlfn.LAMBDA(_xlpm.a,_xlpm.i,IF(INDEX(_xlpm.orig,_xlpm.i)="",_xlpm.a,SUBSTITUTE(_xlpm.a,UPPER(INDEX(_xlpm.orig,_xlpm.i)),INDEX(_xlpm.abr,_xlpm.i))))),_xlpm.mv,SUBSTITUTE(SUBSTITUTE(SUBSTITUTE(_xlpm.txt,"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121),OR(_xlpm.comb="BEV",_xlpm.comb="PHEV",_xlpm.comb="MHEV")),ROUND(K121,0)&amp;"KWH",""),_xlpm.dec,1,_xlpm.cil,IF(OR(_xlpm.comb="BEV",P121="Motos",P121="Cuatrimotos",G121=""),"",SUBSTITUTE(FIXED(G121/1000,_xlpm.dec,TRUE),",",".")&amp;"L"),_xlpm.modelo,_xlpm.mv&amp;_xlpm.kwh,_xlpm.res,IF(B121="CAMIONES",_xlfn.TEXTJOIN("-",TRUE,_xlpm.modelo,_xlpm.cil,_xlpm.comb,UPPER(I121),_xlpm.trans),IF(B121="VEHICULOS",_xlfn.TEXTJOIN("-",TRUE,_xlpm.modelo,_xlpm.comb,_xlpm.cil,LOWER(I121),_xlpm.trans),"Elija TIPO MATERIAL")),IF(E121="","",_xlpm.res))</f>
        <v/>
      </c>
      <c r="Q121" s="21" t="str">
        <f t="shared" si="6"/>
        <v/>
      </c>
      <c r="R121" s="21" t="str">
        <f t="shared" si="7"/>
        <v/>
      </c>
    </row>
    <row r="122" spans="3:18" x14ac:dyDescent="0.25">
      <c r="C122" s="24" t="str">
        <f>_xlfn.LET(_xlpm.comb,_xlfn.XLOOKUP(H122,NPF!$A$4:$A$10,NPF!$B$4:$B$10,""),_xlpm.trans,_xlfn.XLOOKUP(J122,NPF!$D$4:$D$7,NPF!$E$4:$E$7,""),_xlpm.kwh,IF(AND(ISNUMBER(K122),OR(_xlpm.comb="BEV",_xlpm.comb="PHEV",_xlpm.comb="MHEV")),ROUND(K122,0)&amp;"KWH",""),_xlpm.dec,1,_xlpm.cil,IF(OR(_xlpm.comb="BEV",P122="Motos",P122="Cuatrimotos",G122=""),"",SUBSTITUTE(FIXED(G122/1000,_xlpm.dec,TRUE),",",".")&amp;"L"),IF(E122="","",UPPER(_xlfn.TEXTJOIN(" ",TRUE,E122,F122,_xlpm.cil,_xlpm.kwh,_xlpm.comb,I122,_xlpm.trans))))</f>
        <v/>
      </c>
      <c r="D122" s="24" t="str" cm="1">
        <f t="array" ref="D122">_xlfn.LET(_xlpm.comb,_xlfn.XLOOKUP(H122,NPF!$A$4:$A$10,NPF!$B$4:$B$10,""),_xlpm.trans,_xlfn.XLOOKUP(J122,NPF!$D$4:$D$7,NPF!$E$4:$E$7,""),_xlpm.orig,NPF!$W$4:$W$33,_xlpm.abr,NPF!$X$4:$X$33,_xlpm.txt,_xlfn.REDUCE(UPPER(TRIM(E122&amp;" "&amp;F122)),_xlfn.SEQUENCE(ROWS(_xlpm.orig)),_xlfn.LAMBDA(_xlpm.a,_xlpm.i,IF(INDEX(_xlpm.orig,_xlpm.i)="",_xlpm.a,SUBSTITUTE(_xlpm.a,UPPER(INDEX(_xlpm.orig,_xlpm.i)),INDEX(_xlpm.abr,_xlpm.i))))),_xlpm.mv,SUBSTITUTE(SUBSTITUTE(SUBSTITUTE(_xlpm.txt,"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122),OR(_xlpm.comb="BEV",_xlpm.comb="PHEV",_xlpm.comb="MHEV")),ROUND(K122,0)&amp;"KWH",""),_xlpm.dec,1,_xlpm.cil,IF(OR(_xlpm.comb="BEV",P122="Motos",P122="Cuatrimotos",G122=""),"",SUBSTITUTE(FIXED(G122/1000,_xlpm.dec,TRUE),",",".")&amp;"L"),_xlpm.modelo,_xlpm.mv&amp;_xlpm.kwh,_xlpm.res,IF(B122="CAMIONES",_xlfn.TEXTJOIN("-",TRUE,_xlpm.modelo,_xlpm.cil,_xlpm.comb,UPPER(I122),_xlpm.trans),IF(B122="VEHICULOS",_xlfn.TEXTJOIN("-",TRUE,_xlpm.modelo,_xlpm.comb,_xlpm.cil,LOWER(I122),_xlpm.trans),"Elija TIPO MATERIAL")),IF(E122="","",_xlpm.res))</f>
        <v/>
      </c>
      <c r="Q122" s="21" t="str">
        <f t="shared" si="6"/>
        <v/>
      </c>
      <c r="R122" s="21" t="str">
        <f t="shared" si="7"/>
        <v/>
      </c>
    </row>
    <row r="123" spans="3:18" x14ac:dyDescent="0.25">
      <c r="C123" s="24" t="str">
        <f>_xlfn.LET(_xlpm.comb,_xlfn.XLOOKUP(H123,NPF!$A$4:$A$10,NPF!$B$4:$B$10,""),_xlpm.trans,_xlfn.XLOOKUP(J123,NPF!$D$4:$D$7,NPF!$E$4:$E$7,""),_xlpm.kwh,IF(AND(ISNUMBER(K123),OR(_xlpm.comb="BEV",_xlpm.comb="PHEV",_xlpm.comb="MHEV")),ROUND(K123,0)&amp;"KWH",""),_xlpm.dec,1,_xlpm.cil,IF(OR(_xlpm.comb="BEV",P123="Motos",P123="Cuatrimotos",G123=""),"",SUBSTITUTE(FIXED(G123/1000,_xlpm.dec,TRUE),",",".")&amp;"L"),IF(E123="","",UPPER(_xlfn.TEXTJOIN(" ",TRUE,E123,F123,_xlpm.cil,_xlpm.kwh,_xlpm.comb,I123,_xlpm.trans))))</f>
        <v/>
      </c>
      <c r="D123" s="24" t="str" cm="1">
        <f t="array" ref="D123">_xlfn.LET(_xlpm.comb,_xlfn.XLOOKUP(H123,NPF!$A$4:$A$10,NPF!$B$4:$B$10,""),_xlpm.trans,_xlfn.XLOOKUP(J123,NPF!$D$4:$D$7,NPF!$E$4:$E$7,""),_xlpm.orig,NPF!$W$4:$W$33,_xlpm.abr,NPF!$X$4:$X$33,_xlpm.txt,_xlfn.REDUCE(UPPER(TRIM(E123&amp;" "&amp;F123)),_xlfn.SEQUENCE(ROWS(_xlpm.orig)),_xlfn.LAMBDA(_xlpm.a,_xlpm.i,IF(INDEX(_xlpm.orig,_xlpm.i)="",_xlpm.a,SUBSTITUTE(_xlpm.a,UPPER(INDEX(_xlpm.orig,_xlpm.i)),INDEX(_xlpm.abr,_xlpm.i))))),_xlpm.mv,SUBSTITUTE(SUBSTITUTE(SUBSTITUTE(_xlpm.txt,"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123),OR(_xlpm.comb="BEV",_xlpm.comb="PHEV",_xlpm.comb="MHEV")),ROUND(K123,0)&amp;"KWH",""),_xlpm.dec,1,_xlpm.cil,IF(OR(_xlpm.comb="BEV",P123="Motos",P123="Cuatrimotos",G123=""),"",SUBSTITUTE(FIXED(G123/1000,_xlpm.dec,TRUE),",",".")&amp;"L"),_xlpm.modelo,_xlpm.mv&amp;_xlpm.kwh,_xlpm.res,IF(B123="CAMIONES",_xlfn.TEXTJOIN("-",TRUE,_xlpm.modelo,_xlpm.cil,_xlpm.comb,UPPER(I123),_xlpm.trans),IF(B123="VEHICULOS",_xlfn.TEXTJOIN("-",TRUE,_xlpm.modelo,_xlpm.comb,_xlpm.cil,LOWER(I123),_xlpm.trans),"Elija TIPO MATERIAL")),IF(E123="","",_xlpm.res))</f>
        <v/>
      </c>
      <c r="Q123" s="21" t="str">
        <f t="shared" si="6"/>
        <v/>
      </c>
      <c r="R123" s="21" t="str">
        <f t="shared" si="7"/>
        <v/>
      </c>
    </row>
    <row r="124" spans="3:18" x14ac:dyDescent="0.25">
      <c r="C124" s="24" t="str">
        <f>_xlfn.LET(_xlpm.comb,_xlfn.XLOOKUP(H124,NPF!$A$4:$A$10,NPF!$B$4:$B$10,""),_xlpm.trans,_xlfn.XLOOKUP(J124,NPF!$D$4:$D$7,NPF!$E$4:$E$7,""),_xlpm.kwh,IF(AND(ISNUMBER(K124),OR(_xlpm.comb="BEV",_xlpm.comb="PHEV",_xlpm.comb="MHEV")),ROUND(K124,0)&amp;"KWH",""),_xlpm.dec,1,_xlpm.cil,IF(OR(_xlpm.comb="BEV",P124="Motos",P124="Cuatrimotos",G124=""),"",SUBSTITUTE(FIXED(G124/1000,_xlpm.dec,TRUE),",",".")&amp;"L"),IF(E124="","",UPPER(_xlfn.TEXTJOIN(" ",TRUE,E124,F124,_xlpm.cil,_xlpm.kwh,_xlpm.comb,I124,_xlpm.trans))))</f>
        <v/>
      </c>
      <c r="D124" s="24" t="str" cm="1">
        <f t="array" ref="D124">_xlfn.LET(_xlpm.comb,_xlfn.XLOOKUP(H124,NPF!$A$4:$A$10,NPF!$B$4:$B$10,""),_xlpm.trans,_xlfn.XLOOKUP(J124,NPF!$D$4:$D$7,NPF!$E$4:$E$7,""),_xlpm.orig,NPF!$W$4:$W$33,_xlpm.abr,NPF!$X$4:$X$33,_xlpm.txt,_xlfn.REDUCE(UPPER(TRIM(E124&amp;" "&amp;F124)),_xlfn.SEQUENCE(ROWS(_xlpm.orig)),_xlfn.LAMBDA(_xlpm.a,_xlpm.i,IF(INDEX(_xlpm.orig,_xlpm.i)="",_xlpm.a,SUBSTITUTE(_xlpm.a,UPPER(INDEX(_xlpm.orig,_xlpm.i)),INDEX(_xlpm.abr,_xlpm.i))))),_xlpm.mv,SUBSTITUTE(SUBSTITUTE(SUBSTITUTE(_xlpm.txt,"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124),OR(_xlpm.comb="BEV",_xlpm.comb="PHEV",_xlpm.comb="MHEV")),ROUND(K124,0)&amp;"KWH",""),_xlpm.dec,1,_xlpm.cil,IF(OR(_xlpm.comb="BEV",P124="Motos",P124="Cuatrimotos",G124=""),"",SUBSTITUTE(FIXED(G124/1000,_xlpm.dec,TRUE),",",".")&amp;"L"),_xlpm.modelo,_xlpm.mv&amp;_xlpm.kwh,_xlpm.res,IF(B124="CAMIONES",_xlfn.TEXTJOIN("-",TRUE,_xlpm.modelo,_xlpm.cil,_xlpm.comb,UPPER(I124),_xlpm.trans),IF(B124="VEHICULOS",_xlfn.TEXTJOIN("-",TRUE,_xlpm.modelo,_xlpm.comb,_xlpm.cil,LOWER(I124),_xlpm.trans),"Elija TIPO MATERIAL")),IF(E124="","",_xlpm.res))</f>
        <v/>
      </c>
      <c r="Q124" s="21" t="str">
        <f t="shared" si="6"/>
        <v/>
      </c>
      <c r="R124" s="21" t="str">
        <f t="shared" si="7"/>
        <v/>
      </c>
    </row>
    <row r="125" spans="3:18" x14ac:dyDescent="0.25">
      <c r="C125" s="24" t="str">
        <f>_xlfn.LET(_xlpm.comb,_xlfn.XLOOKUP(H125,NPF!$A$4:$A$10,NPF!$B$4:$B$10,""),_xlpm.trans,_xlfn.XLOOKUP(J125,NPF!$D$4:$D$7,NPF!$E$4:$E$7,""),_xlpm.kwh,IF(AND(ISNUMBER(K125),OR(_xlpm.comb="BEV",_xlpm.comb="PHEV",_xlpm.comb="MHEV")),ROUND(K125,0)&amp;"KWH",""),_xlpm.dec,1,_xlpm.cil,IF(OR(_xlpm.comb="BEV",P125="Motos",P125="Cuatrimotos",G125=""),"",SUBSTITUTE(FIXED(G125/1000,_xlpm.dec,TRUE),",",".")&amp;"L"),IF(E125="","",UPPER(_xlfn.TEXTJOIN(" ",TRUE,E125,F125,_xlpm.cil,_xlpm.kwh,_xlpm.comb,I125,_xlpm.trans))))</f>
        <v/>
      </c>
      <c r="D125" s="24" t="str" cm="1">
        <f t="array" ref="D125">_xlfn.LET(_xlpm.comb,_xlfn.XLOOKUP(H125,NPF!$A$4:$A$10,NPF!$B$4:$B$10,""),_xlpm.trans,_xlfn.XLOOKUP(J125,NPF!$D$4:$D$7,NPF!$E$4:$E$7,""),_xlpm.orig,NPF!$W$4:$W$33,_xlpm.abr,NPF!$X$4:$X$33,_xlpm.txt,_xlfn.REDUCE(UPPER(TRIM(E125&amp;" "&amp;F125)),_xlfn.SEQUENCE(ROWS(_xlpm.orig)),_xlfn.LAMBDA(_xlpm.a,_xlpm.i,IF(INDEX(_xlpm.orig,_xlpm.i)="",_xlpm.a,SUBSTITUTE(_xlpm.a,UPPER(INDEX(_xlpm.orig,_xlpm.i)),INDEX(_xlpm.abr,_xlpm.i))))),_xlpm.mv,SUBSTITUTE(SUBSTITUTE(SUBSTITUTE(_xlpm.txt,"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125),OR(_xlpm.comb="BEV",_xlpm.comb="PHEV",_xlpm.comb="MHEV")),ROUND(K125,0)&amp;"KWH",""),_xlpm.dec,1,_xlpm.cil,IF(OR(_xlpm.comb="BEV",P125="Motos",P125="Cuatrimotos",G125=""),"",SUBSTITUTE(FIXED(G125/1000,_xlpm.dec,TRUE),",",".")&amp;"L"),_xlpm.modelo,_xlpm.mv&amp;_xlpm.kwh,_xlpm.res,IF(B125="CAMIONES",_xlfn.TEXTJOIN("-",TRUE,_xlpm.modelo,_xlpm.cil,_xlpm.comb,UPPER(I125),_xlpm.trans),IF(B125="VEHICULOS",_xlfn.TEXTJOIN("-",TRUE,_xlpm.modelo,_xlpm.comb,_xlpm.cil,LOWER(I125),_xlpm.trans),"Elija TIPO MATERIAL")),IF(E125="","",_xlpm.res))</f>
        <v/>
      </c>
      <c r="Q125" s="21" t="str">
        <f t="shared" si="6"/>
        <v/>
      </c>
      <c r="R125" s="21" t="str">
        <f t="shared" si="7"/>
        <v/>
      </c>
    </row>
    <row r="126" spans="3:18" x14ac:dyDescent="0.25">
      <c r="C126" s="24" t="str">
        <f>_xlfn.LET(_xlpm.comb,_xlfn.XLOOKUP(H126,NPF!$A$4:$A$10,NPF!$B$4:$B$10,""),_xlpm.trans,_xlfn.XLOOKUP(J126,NPF!$D$4:$D$7,NPF!$E$4:$E$7,""),_xlpm.kwh,IF(AND(ISNUMBER(K126),OR(_xlpm.comb="BEV",_xlpm.comb="PHEV",_xlpm.comb="MHEV")),ROUND(K126,0)&amp;"KWH",""),_xlpm.dec,1,_xlpm.cil,IF(OR(_xlpm.comb="BEV",P126="Motos",P126="Cuatrimotos",G126=""),"",SUBSTITUTE(FIXED(G126/1000,_xlpm.dec,TRUE),",",".")&amp;"L"),IF(E126="","",UPPER(_xlfn.TEXTJOIN(" ",TRUE,E126,F126,_xlpm.cil,_xlpm.kwh,_xlpm.comb,I126,_xlpm.trans))))</f>
        <v/>
      </c>
      <c r="D126" s="24" t="str" cm="1">
        <f t="array" ref="D126">_xlfn.LET(_xlpm.comb,_xlfn.XLOOKUP(H126,NPF!$A$4:$A$10,NPF!$B$4:$B$10,""),_xlpm.trans,_xlfn.XLOOKUP(J126,NPF!$D$4:$D$7,NPF!$E$4:$E$7,""),_xlpm.orig,NPF!$W$4:$W$33,_xlpm.abr,NPF!$X$4:$X$33,_xlpm.txt,_xlfn.REDUCE(UPPER(TRIM(E126&amp;" "&amp;F126)),_xlfn.SEQUENCE(ROWS(_xlpm.orig)),_xlfn.LAMBDA(_xlpm.a,_xlpm.i,IF(INDEX(_xlpm.orig,_xlpm.i)="",_xlpm.a,SUBSTITUTE(_xlpm.a,UPPER(INDEX(_xlpm.orig,_xlpm.i)),INDEX(_xlpm.abr,_xlpm.i))))),_xlpm.mv,SUBSTITUTE(SUBSTITUTE(SUBSTITUTE(_xlpm.txt,"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126),OR(_xlpm.comb="BEV",_xlpm.comb="PHEV",_xlpm.comb="MHEV")),ROUND(K126,0)&amp;"KWH",""),_xlpm.dec,1,_xlpm.cil,IF(OR(_xlpm.comb="BEV",P126="Motos",P126="Cuatrimotos",G126=""),"",SUBSTITUTE(FIXED(G126/1000,_xlpm.dec,TRUE),",",".")&amp;"L"),_xlpm.modelo,_xlpm.mv&amp;_xlpm.kwh,_xlpm.res,IF(B126="CAMIONES",_xlfn.TEXTJOIN("-",TRUE,_xlpm.modelo,_xlpm.cil,_xlpm.comb,UPPER(I126),_xlpm.trans),IF(B126="VEHICULOS",_xlfn.TEXTJOIN("-",TRUE,_xlpm.modelo,_xlpm.comb,_xlpm.cil,LOWER(I126),_xlpm.trans),"Elija TIPO MATERIAL")),IF(E126="","",_xlpm.res))</f>
        <v/>
      </c>
      <c r="Q126" s="21" t="str">
        <f t="shared" si="6"/>
        <v/>
      </c>
      <c r="R126" s="21" t="str">
        <f t="shared" si="7"/>
        <v/>
      </c>
    </row>
    <row r="127" spans="3:18" x14ac:dyDescent="0.25">
      <c r="C127" s="24" t="str">
        <f>_xlfn.LET(_xlpm.comb,_xlfn.XLOOKUP(H127,NPF!$A$4:$A$10,NPF!$B$4:$B$10,""),_xlpm.trans,_xlfn.XLOOKUP(J127,NPF!$D$4:$D$7,NPF!$E$4:$E$7,""),_xlpm.kwh,IF(AND(ISNUMBER(K127),OR(_xlpm.comb="BEV",_xlpm.comb="PHEV",_xlpm.comb="MHEV")),ROUND(K127,0)&amp;"KWH",""),_xlpm.dec,1,_xlpm.cil,IF(OR(_xlpm.comb="BEV",P127="Motos",P127="Cuatrimotos",G127=""),"",SUBSTITUTE(FIXED(G127/1000,_xlpm.dec,TRUE),",",".")&amp;"L"),IF(E127="","",UPPER(_xlfn.TEXTJOIN(" ",TRUE,E127,F127,_xlpm.cil,_xlpm.kwh,_xlpm.comb,I127,_xlpm.trans))))</f>
        <v/>
      </c>
      <c r="D127" s="24" t="str" cm="1">
        <f t="array" ref="D127">_xlfn.LET(_xlpm.comb,_xlfn.XLOOKUP(H127,NPF!$A$4:$A$10,NPF!$B$4:$B$10,""),_xlpm.trans,_xlfn.XLOOKUP(J127,NPF!$D$4:$D$7,NPF!$E$4:$E$7,""),_xlpm.orig,NPF!$W$4:$W$33,_xlpm.abr,NPF!$X$4:$X$33,_xlpm.txt,_xlfn.REDUCE(UPPER(TRIM(E127&amp;" "&amp;F127)),_xlfn.SEQUENCE(ROWS(_xlpm.orig)),_xlfn.LAMBDA(_xlpm.a,_xlpm.i,IF(INDEX(_xlpm.orig,_xlpm.i)="",_xlpm.a,SUBSTITUTE(_xlpm.a,UPPER(INDEX(_xlpm.orig,_xlpm.i)),INDEX(_xlpm.abr,_xlpm.i))))),_xlpm.mv,SUBSTITUTE(SUBSTITUTE(SUBSTITUTE(_xlpm.txt,"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127),OR(_xlpm.comb="BEV",_xlpm.comb="PHEV",_xlpm.comb="MHEV")),ROUND(K127,0)&amp;"KWH",""),_xlpm.dec,1,_xlpm.cil,IF(OR(_xlpm.comb="BEV",P127="Motos",P127="Cuatrimotos",G127=""),"",SUBSTITUTE(FIXED(G127/1000,_xlpm.dec,TRUE),",",".")&amp;"L"),_xlpm.modelo,_xlpm.mv&amp;_xlpm.kwh,_xlpm.res,IF(B127="CAMIONES",_xlfn.TEXTJOIN("-",TRUE,_xlpm.modelo,_xlpm.cil,_xlpm.comb,UPPER(I127),_xlpm.trans),IF(B127="VEHICULOS",_xlfn.TEXTJOIN("-",TRUE,_xlpm.modelo,_xlpm.comb,_xlpm.cil,LOWER(I127),_xlpm.trans),"Elija TIPO MATERIAL")),IF(E127="","",_xlpm.res))</f>
        <v/>
      </c>
      <c r="Q127" s="21" t="str">
        <f t="shared" si="6"/>
        <v/>
      </c>
      <c r="R127" s="21" t="str">
        <f t="shared" si="7"/>
        <v/>
      </c>
    </row>
    <row r="128" spans="3:18" x14ac:dyDescent="0.25">
      <c r="C128" s="24" t="str">
        <f>_xlfn.LET(_xlpm.comb,_xlfn.XLOOKUP(H128,NPF!$A$4:$A$10,NPF!$B$4:$B$10,""),_xlpm.trans,_xlfn.XLOOKUP(J128,NPF!$D$4:$D$7,NPF!$E$4:$E$7,""),_xlpm.kwh,IF(AND(ISNUMBER(K128),OR(_xlpm.comb="BEV",_xlpm.comb="PHEV",_xlpm.comb="MHEV")),ROUND(K128,0)&amp;"KWH",""),_xlpm.dec,1,_xlpm.cil,IF(OR(_xlpm.comb="BEV",P128="Motos",P128="Cuatrimotos",G128=""),"",SUBSTITUTE(FIXED(G128/1000,_xlpm.dec,TRUE),",",".")&amp;"L"),IF(E128="","",UPPER(_xlfn.TEXTJOIN(" ",TRUE,E128,F128,_xlpm.cil,_xlpm.kwh,_xlpm.comb,I128,_xlpm.trans))))</f>
        <v/>
      </c>
      <c r="D128" s="24" t="str" cm="1">
        <f t="array" ref="D128">_xlfn.LET(_xlpm.comb,_xlfn.XLOOKUP(H128,NPF!$A$4:$A$10,NPF!$B$4:$B$10,""),_xlpm.trans,_xlfn.XLOOKUP(J128,NPF!$D$4:$D$7,NPF!$E$4:$E$7,""),_xlpm.orig,NPF!$W$4:$W$33,_xlpm.abr,NPF!$X$4:$X$33,_xlpm.txt,_xlfn.REDUCE(UPPER(TRIM(E128&amp;" "&amp;F128)),_xlfn.SEQUENCE(ROWS(_xlpm.orig)),_xlfn.LAMBDA(_xlpm.a,_xlpm.i,IF(INDEX(_xlpm.orig,_xlpm.i)="",_xlpm.a,SUBSTITUTE(_xlpm.a,UPPER(INDEX(_xlpm.orig,_xlpm.i)),INDEX(_xlpm.abr,_xlpm.i))))),_xlpm.mv,SUBSTITUTE(SUBSTITUTE(SUBSTITUTE(_xlpm.txt,"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128),OR(_xlpm.comb="BEV",_xlpm.comb="PHEV",_xlpm.comb="MHEV")),ROUND(K128,0)&amp;"KWH",""),_xlpm.dec,1,_xlpm.cil,IF(OR(_xlpm.comb="BEV",P128="Motos",P128="Cuatrimotos",G128=""),"",SUBSTITUTE(FIXED(G128/1000,_xlpm.dec,TRUE),",",".")&amp;"L"),_xlpm.modelo,_xlpm.mv&amp;_xlpm.kwh,_xlpm.res,IF(B128="CAMIONES",_xlfn.TEXTJOIN("-",TRUE,_xlpm.modelo,_xlpm.cil,_xlpm.comb,UPPER(I128),_xlpm.trans),IF(B128="VEHICULOS",_xlfn.TEXTJOIN("-",TRUE,_xlpm.modelo,_xlpm.comb,_xlpm.cil,LOWER(I128),_xlpm.trans),"Elija TIPO MATERIAL")),IF(E128="","",_xlpm.res))</f>
        <v/>
      </c>
      <c r="Q128" s="21" t="str">
        <f t="shared" si="6"/>
        <v/>
      </c>
      <c r="R128" s="21" t="str">
        <f t="shared" si="7"/>
        <v/>
      </c>
    </row>
    <row r="129" spans="3:18" x14ac:dyDescent="0.25">
      <c r="C129" s="24" t="str">
        <f>_xlfn.LET(_xlpm.comb,_xlfn.XLOOKUP(H129,NPF!$A$4:$A$10,NPF!$B$4:$B$10,""),_xlpm.trans,_xlfn.XLOOKUP(J129,NPF!$D$4:$D$7,NPF!$E$4:$E$7,""),_xlpm.kwh,IF(AND(ISNUMBER(K129),OR(_xlpm.comb="BEV",_xlpm.comb="PHEV",_xlpm.comb="MHEV")),ROUND(K129,0)&amp;"KWH",""),_xlpm.dec,1,_xlpm.cil,IF(OR(_xlpm.comb="BEV",P129="Motos",P129="Cuatrimotos",G129=""),"",SUBSTITUTE(FIXED(G129/1000,_xlpm.dec,TRUE),",",".")&amp;"L"),IF(E129="","",UPPER(_xlfn.TEXTJOIN(" ",TRUE,E129,F129,_xlpm.cil,_xlpm.kwh,_xlpm.comb,I129,_xlpm.trans))))</f>
        <v/>
      </c>
      <c r="D129" s="24" t="str" cm="1">
        <f t="array" ref="D129">_xlfn.LET(_xlpm.comb,_xlfn.XLOOKUP(H129,NPF!$A$4:$A$10,NPF!$B$4:$B$10,""),_xlpm.trans,_xlfn.XLOOKUP(J129,NPF!$D$4:$D$7,NPF!$E$4:$E$7,""),_xlpm.orig,NPF!$W$4:$W$33,_xlpm.abr,NPF!$X$4:$X$33,_xlpm.txt,_xlfn.REDUCE(UPPER(TRIM(E129&amp;" "&amp;F129)),_xlfn.SEQUENCE(ROWS(_xlpm.orig)),_xlfn.LAMBDA(_xlpm.a,_xlpm.i,IF(INDEX(_xlpm.orig,_xlpm.i)="",_xlpm.a,SUBSTITUTE(_xlpm.a,UPPER(INDEX(_xlpm.orig,_xlpm.i)),INDEX(_xlpm.abr,_xlpm.i))))),_xlpm.mv,SUBSTITUTE(SUBSTITUTE(SUBSTITUTE(_xlpm.txt,"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129),OR(_xlpm.comb="BEV",_xlpm.comb="PHEV",_xlpm.comb="MHEV")),ROUND(K129,0)&amp;"KWH",""),_xlpm.dec,1,_xlpm.cil,IF(OR(_xlpm.comb="BEV",P129="Motos",P129="Cuatrimotos",G129=""),"",SUBSTITUTE(FIXED(G129/1000,_xlpm.dec,TRUE),",",".")&amp;"L"),_xlpm.modelo,_xlpm.mv&amp;_xlpm.kwh,_xlpm.res,IF(B129="CAMIONES",_xlfn.TEXTJOIN("-",TRUE,_xlpm.modelo,_xlpm.cil,_xlpm.comb,UPPER(I129),_xlpm.trans),IF(B129="VEHICULOS",_xlfn.TEXTJOIN("-",TRUE,_xlpm.modelo,_xlpm.comb,_xlpm.cil,LOWER(I129),_xlpm.trans),"Elija TIPO MATERIAL")),IF(E129="","",_xlpm.res))</f>
        <v/>
      </c>
      <c r="Q129" s="21" t="str">
        <f t="shared" si="6"/>
        <v/>
      </c>
      <c r="R129" s="21" t="str">
        <f t="shared" si="7"/>
        <v/>
      </c>
    </row>
    <row r="130" spans="3:18" x14ac:dyDescent="0.25">
      <c r="C130" s="24" t="str">
        <f>_xlfn.LET(_xlpm.comb,_xlfn.XLOOKUP(H130,NPF!$A$4:$A$10,NPF!$B$4:$B$10,""),_xlpm.trans,_xlfn.XLOOKUP(J130,NPF!$D$4:$D$7,NPF!$E$4:$E$7,""),_xlpm.kwh,IF(AND(ISNUMBER(K130),OR(_xlpm.comb="BEV",_xlpm.comb="PHEV",_xlpm.comb="MHEV")),ROUND(K130,0)&amp;"KWH",""),_xlpm.dec,1,_xlpm.cil,IF(OR(_xlpm.comb="BEV",P130="Motos",P130="Cuatrimotos",G130=""),"",SUBSTITUTE(FIXED(G130/1000,_xlpm.dec,TRUE),",",".")&amp;"L"),IF(E130="","",UPPER(_xlfn.TEXTJOIN(" ",TRUE,E130,F130,_xlpm.cil,_xlpm.kwh,_xlpm.comb,I130,_xlpm.trans))))</f>
        <v/>
      </c>
      <c r="D130" s="24" t="str" cm="1">
        <f t="array" ref="D130">_xlfn.LET(_xlpm.comb,_xlfn.XLOOKUP(H130,NPF!$A$4:$A$10,NPF!$B$4:$B$10,""),_xlpm.trans,_xlfn.XLOOKUP(J130,NPF!$D$4:$D$7,NPF!$E$4:$E$7,""),_xlpm.orig,NPF!$W$4:$W$33,_xlpm.abr,NPF!$X$4:$X$33,_xlpm.txt,_xlfn.REDUCE(UPPER(TRIM(E130&amp;" "&amp;F130)),_xlfn.SEQUENCE(ROWS(_xlpm.orig)),_xlfn.LAMBDA(_xlpm.a,_xlpm.i,IF(INDEX(_xlpm.orig,_xlpm.i)="",_xlpm.a,SUBSTITUTE(_xlpm.a,UPPER(INDEX(_xlpm.orig,_xlpm.i)),INDEX(_xlpm.abr,_xlpm.i))))),_xlpm.mv,SUBSTITUTE(SUBSTITUTE(SUBSTITUTE(_xlpm.txt,"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130),OR(_xlpm.comb="BEV",_xlpm.comb="PHEV",_xlpm.comb="MHEV")),ROUND(K130,0)&amp;"KWH",""),_xlpm.dec,1,_xlpm.cil,IF(OR(_xlpm.comb="BEV",P130="Motos",P130="Cuatrimotos",G130=""),"",SUBSTITUTE(FIXED(G130/1000,_xlpm.dec,TRUE),",",".")&amp;"L"),_xlpm.modelo,_xlpm.mv&amp;_xlpm.kwh,_xlpm.res,IF(B130="CAMIONES",_xlfn.TEXTJOIN("-",TRUE,_xlpm.modelo,_xlpm.cil,_xlpm.comb,UPPER(I130),_xlpm.trans),IF(B130="VEHICULOS",_xlfn.TEXTJOIN("-",TRUE,_xlpm.modelo,_xlpm.comb,_xlpm.cil,LOWER(I130),_xlpm.trans),"Elija TIPO MATERIAL")),IF(E130="","",_xlpm.res))</f>
        <v/>
      </c>
      <c r="Q130" s="21" t="str">
        <f t="shared" ref="Q130:Q161" si="8">IF(C130="","",LEN(C130))</f>
        <v/>
      </c>
      <c r="R130" s="21" t="str">
        <f t="shared" ref="R130:R161" si="9">IF(D130="","",LEN(D130))</f>
        <v/>
      </c>
    </row>
    <row r="131" spans="3:18" x14ac:dyDescent="0.25">
      <c r="C131" s="24" t="str">
        <f>_xlfn.LET(_xlpm.comb,_xlfn.XLOOKUP(H131,NPF!$A$4:$A$10,NPF!$B$4:$B$10,""),_xlpm.trans,_xlfn.XLOOKUP(J131,NPF!$D$4:$D$7,NPF!$E$4:$E$7,""),_xlpm.kwh,IF(AND(ISNUMBER(K131),OR(_xlpm.comb="BEV",_xlpm.comb="PHEV",_xlpm.comb="MHEV")),ROUND(K131,0)&amp;"KWH",""),_xlpm.dec,1,_xlpm.cil,IF(OR(_xlpm.comb="BEV",P131="Motos",P131="Cuatrimotos",G131=""),"",SUBSTITUTE(FIXED(G131/1000,_xlpm.dec,TRUE),",",".")&amp;"L"),IF(E131="","",UPPER(_xlfn.TEXTJOIN(" ",TRUE,E131,F131,_xlpm.cil,_xlpm.kwh,_xlpm.comb,I131,_xlpm.trans))))</f>
        <v/>
      </c>
      <c r="D131" s="24" t="str" cm="1">
        <f t="array" ref="D131">_xlfn.LET(_xlpm.comb,_xlfn.XLOOKUP(H131,NPF!$A$4:$A$10,NPF!$B$4:$B$10,""),_xlpm.trans,_xlfn.XLOOKUP(J131,NPF!$D$4:$D$7,NPF!$E$4:$E$7,""),_xlpm.orig,NPF!$W$4:$W$33,_xlpm.abr,NPF!$X$4:$X$33,_xlpm.txt,_xlfn.REDUCE(UPPER(TRIM(E131&amp;" "&amp;F131)),_xlfn.SEQUENCE(ROWS(_xlpm.orig)),_xlfn.LAMBDA(_xlpm.a,_xlpm.i,IF(INDEX(_xlpm.orig,_xlpm.i)="",_xlpm.a,SUBSTITUTE(_xlpm.a,UPPER(INDEX(_xlpm.orig,_xlpm.i)),INDEX(_xlpm.abr,_xlpm.i))))),_xlpm.mv,SUBSTITUTE(SUBSTITUTE(SUBSTITUTE(_xlpm.txt,"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131),OR(_xlpm.comb="BEV",_xlpm.comb="PHEV",_xlpm.comb="MHEV")),ROUND(K131,0)&amp;"KWH",""),_xlpm.dec,1,_xlpm.cil,IF(OR(_xlpm.comb="BEV",P131="Motos",P131="Cuatrimotos",G131=""),"",SUBSTITUTE(FIXED(G131/1000,_xlpm.dec,TRUE),",",".")&amp;"L"),_xlpm.modelo,_xlpm.mv&amp;_xlpm.kwh,_xlpm.res,IF(B131="CAMIONES",_xlfn.TEXTJOIN("-",TRUE,_xlpm.modelo,_xlpm.cil,_xlpm.comb,UPPER(I131),_xlpm.trans),IF(B131="VEHICULOS",_xlfn.TEXTJOIN("-",TRUE,_xlpm.modelo,_xlpm.comb,_xlpm.cil,LOWER(I131),_xlpm.trans),"Elija TIPO MATERIAL")),IF(E131="","",_xlpm.res))</f>
        <v/>
      </c>
      <c r="Q131" s="21" t="str">
        <f t="shared" si="8"/>
        <v/>
      </c>
      <c r="R131" s="21" t="str">
        <f t="shared" si="9"/>
        <v/>
      </c>
    </row>
    <row r="132" spans="3:18" x14ac:dyDescent="0.25">
      <c r="C132" s="24" t="str">
        <f>_xlfn.LET(_xlpm.comb,_xlfn.XLOOKUP(H132,NPF!$A$4:$A$10,NPF!$B$4:$B$10,""),_xlpm.trans,_xlfn.XLOOKUP(J132,NPF!$D$4:$D$7,NPF!$E$4:$E$7,""),_xlpm.kwh,IF(AND(ISNUMBER(K132),OR(_xlpm.comb="BEV",_xlpm.comb="PHEV",_xlpm.comb="MHEV")),ROUND(K132,0)&amp;"KWH",""),_xlpm.dec,1,_xlpm.cil,IF(OR(_xlpm.comb="BEV",P132="Motos",P132="Cuatrimotos",G132=""),"",SUBSTITUTE(FIXED(G132/1000,_xlpm.dec,TRUE),",",".")&amp;"L"),IF(E132="","",UPPER(_xlfn.TEXTJOIN(" ",TRUE,E132,F132,_xlpm.cil,_xlpm.kwh,_xlpm.comb,I132,_xlpm.trans))))</f>
        <v/>
      </c>
      <c r="D132" s="24" t="str" cm="1">
        <f t="array" ref="D132">_xlfn.LET(_xlpm.comb,_xlfn.XLOOKUP(H132,NPF!$A$4:$A$10,NPF!$B$4:$B$10,""),_xlpm.trans,_xlfn.XLOOKUP(J132,NPF!$D$4:$D$7,NPF!$E$4:$E$7,""),_xlpm.orig,NPF!$W$4:$W$33,_xlpm.abr,NPF!$X$4:$X$33,_xlpm.txt,_xlfn.REDUCE(UPPER(TRIM(E132&amp;" "&amp;F132)),_xlfn.SEQUENCE(ROWS(_xlpm.orig)),_xlfn.LAMBDA(_xlpm.a,_xlpm.i,IF(INDEX(_xlpm.orig,_xlpm.i)="",_xlpm.a,SUBSTITUTE(_xlpm.a,UPPER(INDEX(_xlpm.orig,_xlpm.i)),INDEX(_xlpm.abr,_xlpm.i))))),_xlpm.mv,SUBSTITUTE(SUBSTITUTE(SUBSTITUTE(_xlpm.txt,"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132),OR(_xlpm.comb="BEV",_xlpm.comb="PHEV",_xlpm.comb="MHEV")),ROUND(K132,0)&amp;"KWH",""),_xlpm.dec,1,_xlpm.cil,IF(OR(_xlpm.comb="BEV",P132="Motos",P132="Cuatrimotos",G132=""),"",SUBSTITUTE(FIXED(G132/1000,_xlpm.dec,TRUE),",",".")&amp;"L"),_xlpm.modelo,_xlpm.mv&amp;_xlpm.kwh,_xlpm.res,IF(B132="CAMIONES",_xlfn.TEXTJOIN("-",TRUE,_xlpm.modelo,_xlpm.cil,_xlpm.comb,UPPER(I132),_xlpm.trans),IF(B132="VEHICULOS",_xlfn.TEXTJOIN("-",TRUE,_xlpm.modelo,_xlpm.comb,_xlpm.cil,LOWER(I132),_xlpm.trans),"Elija TIPO MATERIAL")),IF(E132="","",_xlpm.res))</f>
        <v/>
      </c>
      <c r="Q132" s="21" t="str">
        <f t="shared" si="8"/>
        <v/>
      </c>
      <c r="R132" s="21" t="str">
        <f t="shared" si="9"/>
        <v/>
      </c>
    </row>
    <row r="133" spans="3:18" x14ac:dyDescent="0.25">
      <c r="C133" s="24" t="str">
        <f>_xlfn.LET(_xlpm.comb,_xlfn.XLOOKUP(H133,NPF!$A$4:$A$10,NPF!$B$4:$B$10,""),_xlpm.trans,_xlfn.XLOOKUP(J133,NPF!$D$4:$D$7,NPF!$E$4:$E$7,""),_xlpm.kwh,IF(AND(ISNUMBER(K133),OR(_xlpm.comb="BEV",_xlpm.comb="PHEV",_xlpm.comb="MHEV")),ROUND(K133,0)&amp;"KWH",""),_xlpm.dec,1,_xlpm.cil,IF(OR(_xlpm.comb="BEV",P133="Motos",P133="Cuatrimotos",G133=""),"",SUBSTITUTE(FIXED(G133/1000,_xlpm.dec,TRUE),",",".")&amp;"L"),IF(E133="","",UPPER(_xlfn.TEXTJOIN(" ",TRUE,E133,F133,_xlpm.cil,_xlpm.kwh,_xlpm.comb,I133,_xlpm.trans))))</f>
        <v/>
      </c>
      <c r="D133" s="24" t="str" cm="1">
        <f t="array" ref="D133">_xlfn.LET(_xlpm.comb,_xlfn.XLOOKUP(H133,NPF!$A$4:$A$10,NPF!$B$4:$B$10,""),_xlpm.trans,_xlfn.XLOOKUP(J133,NPF!$D$4:$D$7,NPF!$E$4:$E$7,""),_xlpm.orig,NPF!$W$4:$W$33,_xlpm.abr,NPF!$X$4:$X$33,_xlpm.txt,_xlfn.REDUCE(UPPER(TRIM(E133&amp;" "&amp;F133)),_xlfn.SEQUENCE(ROWS(_xlpm.orig)),_xlfn.LAMBDA(_xlpm.a,_xlpm.i,IF(INDEX(_xlpm.orig,_xlpm.i)="",_xlpm.a,SUBSTITUTE(_xlpm.a,UPPER(INDEX(_xlpm.orig,_xlpm.i)),INDEX(_xlpm.abr,_xlpm.i))))),_xlpm.mv,SUBSTITUTE(SUBSTITUTE(SUBSTITUTE(_xlpm.txt,"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133),OR(_xlpm.comb="BEV",_xlpm.comb="PHEV",_xlpm.comb="MHEV")),ROUND(K133,0)&amp;"KWH",""),_xlpm.dec,1,_xlpm.cil,IF(OR(_xlpm.comb="BEV",P133="Motos",P133="Cuatrimotos",G133=""),"",SUBSTITUTE(FIXED(G133/1000,_xlpm.dec,TRUE),",",".")&amp;"L"),_xlpm.modelo,_xlpm.mv&amp;_xlpm.kwh,_xlpm.res,IF(B133="CAMIONES",_xlfn.TEXTJOIN("-",TRUE,_xlpm.modelo,_xlpm.cil,_xlpm.comb,UPPER(I133),_xlpm.trans),IF(B133="VEHICULOS",_xlfn.TEXTJOIN("-",TRUE,_xlpm.modelo,_xlpm.comb,_xlpm.cil,LOWER(I133),_xlpm.trans),"Elija TIPO MATERIAL")),IF(E133="","",_xlpm.res))</f>
        <v/>
      </c>
      <c r="Q133" s="21" t="str">
        <f t="shared" si="8"/>
        <v/>
      </c>
      <c r="R133" s="21" t="str">
        <f t="shared" si="9"/>
        <v/>
      </c>
    </row>
    <row r="134" spans="3:18" x14ac:dyDescent="0.25">
      <c r="C134" s="24" t="str">
        <f>_xlfn.LET(_xlpm.comb,_xlfn.XLOOKUP(H134,NPF!$A$4:$A$10,NPF!$B$4:$B$10,""),_xlpm.trans,_xlfn.XLOOKUP(J134,NPF!$D$4:$D$7,NPF!$E$4:$E$7,""),_xlpm.kwh,IF(AND(ISNUMBER(K134),OR(_xlpm.comb="BEV",_xlpm.comb="PHEV",_xlpm.comb="MHEV")),ROUND(K134,0)&amp;"KWH",""),_xlpm.dec,1,_xlpm.cil,IF(OR(_xlpm.comb="BEV",P134="Motos",P134="Cuatrimotos",G134=""),"",SUBSTITUTE(FIXED(G134/1000,_xlpm.dec,TRUE),",",".")&amp;"L"),IF(E134="","",UPPER(_xlfn.TEXTJOIN(" ",TRUE,E134,F134,_xlpm.cil,_xlpm.kwh,_xlpm.comb,I134,_xlpm.trans))))</f>
        <v/>
      </c>
      <c r="D134" s="24" t="str" cm="1">
        <f t="array" ref="D134">_xlfn.LET(_xlpm.comb,_xlfn.XLOOKUP(H134,NPF!$A$4:$A$10,NPF!$B$4:$B$10,""),_xlpm.trans,_xlfn.XLOOKUP(J134,NPF!$D$4:$D$7,NPF!$E$4:$E$7,""),_xlpm.orig,NPF!$W$4:$W$33,_xlpm.abr,NPF!$X$4:$X$33,_xlpm.txt,_xlfn.REDUCE(UPPER(TRIM(E134&amp;" "&amp;F134)),_xlfn.SEQUENCE(ROWS(_xlpm.orig)),_xlfn.LAMBDA(_xlpm.a,_xlpm.i,IF(INDEX(_xlpm.orig,_xlpm.i)="",_xlpm.a,SUBSTITUTE(_xlpm.a,UPPER(INDEX(_xlpm.orig,_xlpm.i)),INDEX(_xlpm.abr,_xlpm.i))))),_xlpm.mv,SUBSTITUTE(SUBSTITUTE(SUBSTITUTE(_xlpm.txt,"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134),OR(_xlpm.comb="BEV",_xlpm.comb="PHEV",_xlpm.comb="MHEV")),ROUND(K134,0)&amp;"KWH",""),_xlpm.dec,1,_xlpm.cil,IF(OR(_xlpm.comb="BEV",P134="Motos",P134="Cuatrimotos",G134=""),"",SUBSTITUTE(FIXED(G134/1000,_xlpm.dec,TRUE),",",".")&amp;"L"),_xlpm.modelo,_xlpm.mv&amp;_xlpm.kwh,_xlpm.res,IF(B134="CAMIONES",_xlfn.TEXTJOIN("-",TRUE,_xlpm.modelo,_xlpm.cil,_xlpm.comb,UPPER(I134),_xlpm.trans),IF(B134="VEHICULOS",_xlfn.TEXTJOIN("-",TRUE,_xlpm.modelo,_xlpm.comb,_xlpm.cil,LOWER(I134),_xlpm.trans),"Elija TIPO MATERIAL")),IF(E134="","",_xlpm.res))</f>
        <v/>
      </c>
      <c r="Q134" s="21" t="str">
        <f t="shared" si="8"/>
        <v/>
      </c>
      <c r="R134" s="21" t="str">
        <f t="shared" si="9"/>
        <v/>
      </c>
    </row>
    <row r="135" spans="3:18" x14ac:dyDescent="0.25">
      <c r="C135" s="24" t="str">
        <f>_xlfn.LET(_xlpm.comb,_xlfn.XLOOKUP(H135,NPF!$A$4:$A$10,NPF!$B$4:$B$10,""),_xlpm.trans,_xlfn.XLOOKUP(J135,NPF!$D$4:$D$7,NPF!$E$4:$E$7,""),_xlpm.kwh,IF(AND(ISNUMBER(K135),OR(_xlpm.comb="BEV",_xlpm.comb="PHEV",_xlpm.comb="MHEV")),ROUND(K135,0)&amp;"KWH",""),_xlpm.dec,1,_xlpm.cil,IF(OR(_xlpm.comb="BEV",P135="Motos",P135="Cuatrimotos",G135=""),"",SUBSTITUTE(FIXED(G135/1000,_xlpm.dec,TRUE),",",".")&amp;"L"),IF(E135="","",UPPER(_xlfn.TEXTJOIN(" ",TRUE,E135,F135,_xlpm.cil,_xlpm.kwh,_xlpm.comb,I135,_xlpm.trans))))</f>
        <v/>
      </c>
      <c r="D135" s="24" t="str" cm="1">
        <f t="array" ref="D135">_xlfn.LET(_xlpm.comb,_xlfn.XLOOKUP(H135,NPF!$A$4:$A$10,NPF!$B$4:$B$10,""),_xlpm.trans,_xlfn.XLOOKUP(J135,NPF!$D$4:$D$7,NPF!$E$4:$E$7,""),_xlpm.orig,NPF!$W$4:$W$33,_xlpm.abr,NPF!$X$4:$X$33,_xlpm.txt,_xlfn.REDUCE(UPPER(TRIM(E135&amp;" "&amp;F135)),_xlfn.SEQUENCE(ROWS(_xlpm.orig)),_xlfn.LAMBDA(_xlpm.a,_xlpm.i,IF(INDEX(_xlpm.orig,_xlpm.i)="",_xlpm.a,SUBSTITUTE(_xlpm.a,UPPER(INDEX(_xlpm.orig,_xlpm.i)),INDEX(_xlpm.abr,_xlpm.i))))),_xlpm.mv,SUBSTITUTE(SUBSTITUTE(SUBSTITUTE(_xlpm.txt,"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135),OR(_xlpm.comb="BEV",_xlpm.comb="PHEV",_xlpm.comb="MHEV")),ROUND(K135,0)&amp;"KWH",""),_xlpm.dec,1,_xlpm.cil,IF(OR(_xlpm.comb="BEV",P135="Motos",P135="Cuatrimotos",G135=""),"",SUBSTITUTE(FIXED(G135/1000,_xlpm.dec,TRUE),",",".")&amp;"L"),_xlpm.modelo,_xlpm.mv&amp;_xlpm.kwh,_xlpm.res,IF(B135="CAMIONES",_xlfn.TEXTJOIN("-",TRUE,_xlpm.modelo,_xlpm.cil,_xlpm.comb,UPPER(I135),_xlpm.trans),IF(B135="VEHICULOS",_xlfn.TEXTJOIN("-",TRUE,_xlpm.modelo,_xlpm.comb,_xlpm.cil,LOWER(I135),_xlpm.trans),"Elija TIPO MATERIAL")),IF(E135="","",_xlpm.res))</f>
        <v/>
      </c>
      <c r="Q135" s="21" t="str">
        <f t="shared" si="8"/>
        <v/>
      </c>
      <c r="R135" s="21" t="str">
        <f t="shared" si="9"/>
        <v/>
      </c>
    </row>
    <row r="136" spans="3:18" x14ac:dyDescent="0.25">
      <c r="C136" s="24" t="str">
        <f>_xlfn.LET(_xlpm.comb,_xlfn.XLOOKUP(H136,NPF!$A$4:$A$10,NPF!$B$4:$B$10,""),_xlpm.trans,_xlfn.XLOOKUP(J136,NPF!$D$4:$D$7,NPF!$E$4:$E$7,""),_xlpm.kwh,IF(AND(ISNUMBER(K136),OR(_xlpm.comb="BEV",_xlpm.comb="PHEV",_xlpm.comb="MHEV")),ROUND(K136,0)&amp;"KWH",""),_xlpm.dec,1,_xlpm.cil,IF(OR(_xlpm.comb="BEV",P136="Motos",P136="Cuatrimotos",G136=""),"",SUBSTITUTE(FIXED(G136/1000,_xlpm.dec,TRUE),",",".")&amp;"L"),IF(E136="","",UPPER(_xlfn.TEXTJOIN(" ",TRUE,E136,F136,_xlpm.cil,_xlpm.kwh,_xlpm.comb,I136,_xlpm.trans))))</f>
        <v/>
      </c>
      <c r="D136" s="24" t="str" cm="1">
        <f t="array" ref="D136">_xlfn.LET(_xlpm.comb,_xlfn.XLOOKUP(H136,NPF!$A$4:$A$10,NPF!$B$4:$B$10,""),_xlpm.trans,_xlfn.XLOOKUP(J136,NPF!$D$4:$D$7,NPF!$E$4:$E$7,""),_xlpm.orig,NPF!$W$4:$W$33,_xlpm.abr,NPF!$X$4:$X$33,_xlpm.txt,_xlfn.REDUCE(UPPER(TRIM(E136&amp;" "&amp;F136)),_xlfn.SEQUENCE(ROWS(_xlpm.orig)),_xlfn.LAMBDA(_xlpm.a,_xlpm.i,IF(INDEX(_xlpm.orig,_xlpm.i)="",_xlpm.a,SUBSTITUTE(_xlpm.a,UPPER(INDEX(_xlpm.orig,_xlpm.i)),INDEX(_xlpm.abr,_xlpm.i))))),_xlpm.mv,SUBSTITUTE(SUBSTITUTE(SUBSTITUTE(_xlpm.txt,"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136),OR(_xlpm.comb="BEV",_xlpm.comb="PHEV",_xlpm.comb="MHEV")),ROUND(K136,0)&amp;"KWH",""),_xlpm.dec,1,_xlpm.cil,IF(OR(_xlpm.comb="BEV",P136="Motos",P136="Cuatrimotos",G136=""),"",SUBSTITUTE(FIXED(G136/1000,_xlpm.dec,TRUE),",",".")&amp;"L"),_xlpm.modelo,_xlpm.mv&amp;_xlpm.kwh,_xlpm.res,IF(B136="CAMIONES",_xlfn.TEXTJOIN("-",TRUE,_xlpm.modelo,_xlpm.cil,_xlpm.comb,UPPER(I136),_xlpm.trans),IF(B136="VEHICULOS",_xlfn.TEXTJOIN("-",TRUE,_xlpm.modelo,_xlpm.comb,_xlpm.cil,LOWER(I136),_xlpm.trans),"Elija TIPO MATERIAL")),IF(E136="","",_xlpm.res))</f>
        <v/>
      </c>
      <c r="Q136" s="21" t="str">
        <f t="shared" si="8"/>
        <v/>
      </c>
      <c r="R136" s="21" t="str">
        <f t="shared" si="9"/>
        <v/>
      </c>
    </row>
    <row r="137" spans="3:18" x14ac:dyDescent="0.25">
      <c r="C137" s="24" t="str">
        <f>_xlfn.LET(_xlpm.comb,_xlfn.XLOOKUP(H137,NPF!$A$4:$A$10,NPF!$B$4:$B$10,""),_xlpm.trans,_xlfn.XLOOKUP(J137,NPF!$D$4:$D$7,NPF!$E$4:$E$7,""),_xlpm.kwh,IF(AND(ISNUMBER(K137),OR(_xlpm.comb="BEV",_xlpm.comb="PHEV",_xlpm.comb="MHEV")),ROUND(K137,0)&amp;"KWH",""),_xlpm.dec,1,_xlpm.cil,IF(OR(_xlpm.comb="BEV",P137="Motos",P137="Cuatrimotos",G137=""),"",SUBSTITUTE(FIXED(G137/1000,_xlpm.dec,TRUE),",",".")&amp;"L"),IF(E137="","",UPPER(_xlfn.TEXTJOIN(" ",TRUE,E137,F137,_xlpm.cil,_xlpm.kwh,_xlpm.comb,I137,_xlpm.trans))))</f>
        <v/>
      </c>
      <c r="D137" s="24" t="str" cm="1">
        <f t="array" ref="D137">_xlfn.LET(_xlpm.comb,_xlfn.XLOOKUP(H137,NPF!$A$4:$A$10,NPF!$B$4:$B$10,""),_xlpm.trans,_xlfn.XLOOKUP(J137,NPF!$D$4:$D$7,NPF!$E$4:$E$7,""),_xlpm.orig,NPF!$W$4:$W$33,_xlpm.abr,NPF!$X$4:$X$33,_xlpm.txt,_xlfn.REDUCE(UPPER(TRIM(E137&amp;" "&amp;F137)),_xlfn.SEQUENCE(ROWS(_xlpm.orig)),_xlfn.LAMBDA(_xlpm.a,_xlpm.i,IF(INDEX(_xlpm.orig,_xlpm.i)="",_xlpm.a,SUBSTITUTE(_xlpm.a,UPPER(INDEX(_xlpm.orig,_xlpm.i)),INDEX(_xlpm.abr,_xlpm.i))))),_xlpm.mv,SUBSTITUTE(SUBSTITUTE(SUBSTITUTE(_xlpm.txt,"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137),OR(_xlpm.comb="BEV",_xlpm.comb="PHEV",_xlpm.comb="MHEV")),ROUND(K137,0)&amp;"KWH",""),_xlpm.dec,1,_xlpm.cil,IF(OR(_xlpm.comb="BEV",P137="Motos",P137="Cuatrimotos",G137=""),"",SUBSTITUTE(FIXED(G137/1000,_xlpm.dec,TRUE),",",".")&amp;"L"),_xlpm.modelo,_xlpm.mv&amp;_xlpm.kwh,_xlpm.res,IF(B137="CAMIONES",_xlfn.TEXTJOIN("-",TRUE,_xlpm.modelo,_xlpm.cil,_xlpm.comb,UPPER(I137),_xlpm.trans),IF(B137="VEHICULOS",_xlfn.TEXTJOIN("-",TRUE,_xlpm.modelo,_xlpm.comb,_xlpm.cil,LOWER(I137),_xlpm.trans),"Elija TIPO MATERIAL")),IF(E137="","",_xlpm.res))</f>
        <v/>
      </c>
      <c r="Q137" s="21" t="str">
        <f t="shared" si="8"/>
        <v/>
      </c>
      <c r="R137" s="21" t="str">
        <f t="shared" si="9"/>
        <v/>
      </c>
    </row>
    <row r="138" spans="3:18" x14ac:dyDescent="0.25">
      <c r="C138" s="24" t="str">
        <f>_xlfn.LET(_xlpm.comb,_xlfn.XLOOKUP(H138,NPF!$A$4:$A$10,NPF!$B$4:$B$10,""),_xlpm.trans,_xlfn.XLOOKUP(J138,NPF!$D$4:$D$7,NPF!$E$4:$E$7,""),_xlpm.kwh,IF(AND(ISNUMBER(K138),OR(_xlpm.comb="BEV",_xlpm.comb="PHEV",_xlpm.comb="MHEV")),ROUND(K138,0)&amp;"KWH",""),_xlpm.dec,1,_xlpm.cil,IF(OR(_xlpm.comb="BEV",P138="Motos",P138="Cuatrimotos",G138=""),"",SUBSTITUTE(FIXED(G138/1000,_xlpm.dec,TRUE),",",".")&amp;"L"),IF(E138="","",UPPER(_xlfn.TEXTJOIN(" ",TRUE,E138,F138,_xlpm.cil,_xlpm.kwh,_xlpm.comb,I138,_xlpm.trans))))</f>
        <v/>
      </c>
      <c r="D138" s="24" t="str" cm="1">
        <f t="array" ref="D138">_xlfn.LET(_xlpm.comb,_xlfn.XLOOKUP(H138,NPF!$A$4:$A$10,NPF!$B$4:$B$10,""),_xlpm.trans,_xlfn.XLOOKUP(J138,NPF!$D$4:$D$7,NPF!$E$4:$E$7,""),_xlpm.orig,NPF!$W$4:$W$33,_xlpm.abr,NPF!$X$4:$X$33,_xlpm.txt,_xlfn.REDUCE(UPPER(TRIM(E138&amp;" "&amp;F138)),_xlfn.SEQUENCE(ROWS(_xlpm.orig)),_xlfn.LAMBDA(_xlpm.a,_xlpm.i,IF(INDEX(_xlpm.orig,_xlpm.i)="",_xlpm.a,SUBSTITUTE(_xlpm.a,UPPER(INDEX(_xlpm.orig,_xlpm.i)),INDEX(_xlpm.abr,_xlpm.i))))),_xlpm.mv,SUBSTITUTE(SUBSTITUTE(SUBSTITUTE(_xlpm.txt,"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138),OR(_xlpm.comb="BEV",_xlpm.comb="PHEV",_xlpm.comb="MHEV")),ROUND(K138,0)&amp;"KWH",""),_xlpm.dec,1,_xlpm.cil,IF(OR(_xlpm.comb="BEV",P138="Motos",P138="Cuatrimotos",G138=""),"",SUBSTITUTE(FIXED(G138/1000,_xlpm.dec,TRUE),",",".")&amp;"L"),_xlpm.modelo,_xlpm.mv&amp;_xlpm.kwh,_xlpm.res,IF(B138="CAMIONES",_xlfn.TEXTJOIN("-",TRUE,_xlpm.modelo,_xlpm.cil,_xlpm.comb,UPPER(I138),_xlpm.trans),IF(B138="VEHICULOS",_xlfn.TEXTJOIN("-",TRUE,_xlpm.modelo,_xlpm.comb,_xlpm.cil,LOWER(I138),_xlpm.trans),"Elija TIPO MATERIAL")),IF(E138="","",_xlpm.res))</f>
        <v/>
      </c>
      <c r="Q138" s="21" t="str">
        <f t="shared" si="8"/>
        <v/>
      </c>
      <c r="R138" s="21" t="str">
        <f t="shared" si="9"/>
        <v/>
      </c>
    </row>
    <row r="139" spans="3:18" x14ac:dyDescent="0.25">
      <c r="C139" s="24" t="str">
        <f>_xlfn.LET(_xlpm.comb,_xlfn.XLOOKUP(H139,NPF!$A$4:$A$10,NPF!$B$4:$B$10,""),_xlpm.trans,_xlfn.XLOOKUP(J139,NPF!$D$4:$D$7,NPF!$E$4:$E$7,""),_xlpm.kwh,IF(AND(ISNUMBER(K139),OR(_xlpm.comb="BEV",_xlpm.comb="PHEV",_xlpm.comb="MHEV")),ROUND(K139,0)&amp;"KWH",""),_xlpm.dec,1,_xlpm.cil,IF(OR(_xlpm.comb="BEV",P139="Motos",P139="Cuatrimotos",G139=""),"",SUBSTITUTE(FIXED(G139/1000,_xlpm.dec,TRUE),",",".")&amp;"L"),IF(E139="","",UPPER(_xlfn.TEXTJOIN(" ",TRUE,E139,F139,_xlpm.cil,_xlpm.kwh,_xlpm.comb,I139,_xlpm.trans))))</f>
        <v/>
      </c>
      <c r="D139" s="24" t="str" cm="1">
        <f t="array" ref="D139">_xlfn.LET(_xlpm.comb,_xlfn.XLOOKUP(H139,NPF!$A$4:$A$10,NPF!$B$4:$B$10,""),_xlpm.trans,_xlfn.XLOOKUP(J139,NPF!$D$4:$D$7,NPF!$E$4:$E$7,""),_xlpm.orig,NPF!$W$4:$W$33,_xlpm.abr,NPF!$X$4:$X$33,_xlpm.txt,_xlfn.REDUCE(UPPER(TRIM(E139&amp;" "&amp;F139)),_xlfn.SEQUENCE(ROWS(_xlpm.orig)),_xlfn.LAMBDA(_xlpm.a,_xlpm.i,IF(INDEX(_xlpm.orig,_xlpm.i)="",_xlpm.a,SUBSTITUTE(_xlpm.a,UPPER(INDEX(_xlpm.orig,_xlpm.i)),INDEX(_xlpm.abr,_xlpm.i))))),_xlpm.mv,SUBSTITUTE(SUBSTITUTE(SUBSTITUTE(_xlpm.txt,"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139),OR(_xlpm.comb="BEV",_xlpm.comb="PHEV",_xlpm.comb="MHEV")),ROUND(K139,0)&amp;"KWH",""),_xlpm.dec,1,_xlpm.cil,IF(OR(_xlpm.comb="BEV",P139="Motos",P139="Cuatrimotos",G139=""),"",SUBSTITUTE(FIXED(G139/1000,_xlpm.dec,TRUE),",",".")&amp;"L"),_xlpm.modelo,_xlpm.mv&amp;_xlpm.kwh,_xlpm.res,IF(B139="CAMIONES",_xlfn.TEXTJOIN("-",TRUE,_xlpm.modelo,_xlpm.cil,_xlpm.comb,UPPER(I139),_xlpm.trans),IF(B139="VEHICULOS",_xlfn.TEXTJOIN("-",TRUE,_xlpm.modelo,_xlpm.comb,_xlpm.cil,LOWER(I139),_xlpm.trans),"Elija TIPO MATERIAL")),IF(E139="","",_xlpm.res))</f>
        <v/>
      </c>
      <c r="Q139" s="21" t="str">
        <f t="shared" si="8"/>
        <v/>
      </c>
      <c r="R139" s="21" t="str">
        <f t="shared" si="9"/>
        <v/>
      </c>
    </row>
    <row r="140" spans="3:18" x14ac:dyDescent="0.25">
      <c r="C140" s="24" t="str">
        <f>_xlfn.LET(_xlpm.comb,_xlfn.XLOOKUP(H140,NPF!$A$4:$A$10,NPF!$B$4:$B$10,""),_xlpm.trans,_xlfn.XLOOKUP(J140,NPF!$D$4:$D$7,NPF!$E$4:$E$7,""),_xlpm.kwh,IF(AND(ISNUMBER(K140),OR(_xlpm.comb="BEV",_xlpm.comb="PHEV",_xlpm.comb="MHEV")),ROUND(K140,0)&amp;"KWH",""),_xlpm.dec,1,_xlpm.cil,IF(OR(_xlpm.comb="BEV",P140="Motos",P140="Cuatrimotos",G140=""),"",SUBSTITUTE(FIXED(G140/1000,_xlpm.dec,TRUE),",",".")&amp;"L"),IF(E140="","",UPPER(_xlfn.TEXTJOIN(" ",TRUE,E140,F140,_xlpm.cil,_xlpm.kwh,_xlpm.comb,I140,_xlpm.trans))))</f>
        <v/>
      </c>
      <c r="D140" s="24" t="str" cm="1">
        <f t="array" ref="D140">_xlfn.LET(_xlpm.comb,_xlfn.XLOOKUP(H140,NPF!$A$4:$A$10,NPF!$B$4:$B$10,""),_xlpm.trans,_xlfn.XLOOKUP(J140,NPF!$D$4:$D$7,NPF!$E$4:$E$7,""),_xlpm.orig,NPF!$W$4:$W$33,_xlpm.abr,NPF!$X$4:$X$33,_xlpm.txt,_xlfn.REDUCE(UPPER(TRIM(E140&amp;" "&amp;F140)),_xlfn.SEQUENCE(ROWS(_xlpm.orig)),_xlfn.LAMBDA(_xlpm.a,_xlpm.i,IF(INDEX(_xlpm.orig,_xlpm.i)="",_xlpm.a,SUBSTITUTE(_xlpm.a,UPPER(INDEX(_xlpm.orig,_xlpm.i)),INDEX(_xlpm.abr,_xlpm.i))))),_xlpm.mv,SUBSTITUTE(SUBSTITUTE(SUBSTITUTE(_xlpm.txt,"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140),OR(_xlpm.comb="BEV",_xlpm.comb="PHEV",_xlpm.comb="MHEV")),ROUND(K140,0)&amp;"KWH",""),_xlpm.dec,1,_xlpm.cil,IF(OR(_xlpm.comb="BEV",P140="Motos",P140="Cuatrimotos",G140=""),"",SUBSTITUTE(FIXED(G140/1000,_xlpm.dec,TRUE),",",".")&amp;"L"),_xlpm.modelo,_xlpm.mv&amp;_xlpm.kwh,_xlpm.res,IF(B140="CAMIONES",_xlfn.TEXTJOIN("-",TRUE,_xlpm.modelo,_xlpm.cil,_xlpm.comb,UPPER(I140),_xlpm.trans),IF(B140="VEHICULOS",_xlfn.TEXTJOIN("-",TRUE,_xlpm.modelo,_xlpm.comb,_xlpm.cil,LOWER(I140),_xlpm.trans),"Elija TIPO MATERIAL")),IF(E140="","",_xlpm.res))</f>
        <v/>
      </c>
      <c r="Q140" s="21" t="str">
        <f t="shared" si="8"/>
        <v/>
      </c>
      <c r="R140" s="21" t="str">
        <f t="shared" si="9"/>
        <v/>
      </c>
    </row>
    <row r="141" spans="3:18" x14ac:dyDescent="0.25">
      <c r="C141" s="24" t="str">
        <f>_xlfn.LET(_xlpm.comb,_xlfn.XLOOKUP(H141,NPF!$A$4:$A$10,NPF!$B$4:$B$10,""),_xlpm.trans,_xlfn.XLOOKUP(J141,NPF!$D$4:$D$7,NPF!$E$4:$E$7,""),_xlpm.kwh,IF(AND(ISNUMBER(K141),OR(_xlpm.comb="BEV",_xlpm.comb="PHEV",_xlpm.comb="MHEV")),ROUND(K141,0)&amp;"KWH",""),_xlpm.dec,1,_xlpm.cil,IF(OR(_xlpm.comb="BEV",P141="Motos",P141="Cuatrimotos",G141=""),"",SUBSTITUTE(FIXED(G141/1000,_xlpm.dec,TRUE),",",".")&amp;"L"),IF(E141="","",UPPER(_xlfn.TEXTJOIN(" ",TRUE,E141,F141,_xlpm.cil,_xlpm.kwh,_xlpm.comb,I141,_xlpm.trans))))</f>
        <v/>
      </c>
      <c r="D141" s="24" t="str" cm="1">
        <f t="array" ref="D141">_xlfn.LET(_xlpm.comb,_xlfn.XLOOKUP(H141,NPF!$A$4:$A$10,NPF!$B$4:$B$10,""),_xlpm.trans,_xlfn.XLOOKUP(J141,NPF!$D$4:$D$7,NPF!$E$4:$E$7,""),_xlpm.orig,NPF!$W$4:$W$33,_xlpm.abr,NPF!$X$4:$X$33,_xlpm.txt,_xlfn.REDUCE(UPPER(TRIM(E141&amp;" "&amp;F141)),_xlfn.SEQUENCE(ROWS(_xlpm.orig)),_xlfn.LAMBDA(_xlpm.a,_xlpm.i,IF(INDEX(_xlpm.orig,_xlpm.i)="",_xlpm.a,SUBSTITUTE(_xlpm.a,UPPER(INDEX(_xlpm.orig,_xlpm.i)),INDEX(_xlpm.abr,_xlpm.i))))),_xlpm.mv,SUBSTITUTE(SUBSTITUTE(SUBSTITUTE(_xlpm.txt,"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141),OR(_xlpm.comb="BEV",_xlpm.comb="PHEV",_xlpm.comb="MHEV")),ROUND(K141,0)&amp;"KWH",""),_xlpm.dec,1,_xlpm.cil,IF(OR(_xlpm.comb="BEV",P141="Motos",P141="Cuatrimotos",G141=""),"",SUBSTITUTE(FIXED(G141/1000,_xlpm.dec,TRUE),",",".")&amp;"L"),_xlpm.modelo,_xlpm.mv&amp;_xlpm.kwh,_xlpm.res,IF(B141="CAMIONES",_xlfn.TEXTJOIN("-",TRUE,_xlpm.modelo,_xlpm.cil,_xlpm.comb,UPPER(I141),_xlpm.trans),IF(B141="VEHICULOS",_xlfn.TEXTJOIN("-",TRUE,_xlpm.modelo,_xlpm.comb,_xlpm.cil,LOWER(I141),_xlpm.trans),"Elija TIPO MATERIAL")),IF(E141="","",_xlpm.res))</f>
        <v/>
      </c>
      <c r="Q141" s="21" t="str">
        <f t="shared" si="8"/>
        <v/>
      </c>
      <c r="R141" s="21" t="str">
        <f t="shared" si="9"/>
        <v/>
      </c>
    </row>
    <row r="142" spans="3:18" x14ac:dyDescent="0.25">
      <c r="C142" s="24" t="str">
        <f>_xlfn.LET(_xlpm.comb,_xlfn.XLOOKUP(H142,NPF!$A$4:$A$10,NPF!$B$4:$B$10,""),_xlpm.trans,_xlfn.XLOOKUP(J142,NPF!$D$4:$D$7,NPF!$E$4:$E$7,""),_xlpm.kwh,IF(AND(ISNUMBER(K142),OR(_xlpm.comb="BEV",_xlpm.comb="PHEV",_xlpm.comb="MHEV")),ROUND(K142,0)&amp;"KWH",""),_xlpm.dec,1,_xlpm.cil,IF(OR(_xlpm.comb="BEV",P142="Motos",P142="Cuatrimotos",G142=""),"",SUBSTITUTE(FIXED(G142/1000,_xlpm.dec,TRUE),",",".")&amp;"L"),IF(E142="","",UPPER(_xlfn.TEXTJOIN(" ",TRUE,E142,F142,_xlpm.cil,_xlpm.kwh,_xlpm.comb,I142,_xlpm.trans))))</f>
        <v/>
      </c>
      <c r="D142" s="24" t="str" cm="1">
        <f t="array" ref="D142">_xlfn.LET(_xlpm.comb,_xlfn.XLOOKUP(H142,NPF!$A$4:$A$10,NPF!$B$4:$B$10,""),_xlpm.trans,_xlfn.XLOOKUP(J142,NPF!$D$4:$D$7,NPF!$E$4:$E$7,""),_xlpm.orig,NPF!$W$4:$W$33,_xlpm.abr,NPF!$X$4:$X$33,_xlpm.txt,_xlfn.REDUCE(UPPER(TRIM(E142&amp;" "&amp;F142)),_xlfn.SEQUENCE(ROWS(_xlpm.orig)),_xlfn.LAMBDA(_xlpm.a,_xlpm.i,IF(INDEX(_xlpm.orig,_xlpm.i)="",_xlpm.a,SUBSTITUTE(_xlpm.a,UPPER(INDEX(_xlpm.orig,_xlpm.i)),INDEX(_xlpm.abr,_xlpm.i))))),_xlpm.mv,SUBSTITUTE(SUBSTITUTE(SUBSTITUTE(_xlpm.txt,"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142),OR(_xlpm.comb="BEV",_xlpm.comb="PHEV",_xlpm.comb="MHEV")),ROUND(K142,0)&amp;"KWH",""),_xlpm.dec,1,_xlpm.cil,IF(OR(_xlpm.comb="BEV",P142="Motos",P142="Cuatrimotos",G142=""),"",SUBSTITUTE(FIXED(G142/1000,_xlpm.dec,TRUE),",",".")&amp;"L"),_xlpm.modelo,_xlpm.mv&amp;_xlpm.kwh,_xlpm.res,IF(B142="CAMIONES",_xlfn.TEXTJOIN("-",TRUE,_xlpm.modelo,_xlpm.cil,_xlpm.comb,UPPER(I142),_xlpm.trans),IF(B142="VEHICULOS",_xlfn.TEXTJOIN("-",TRUE,_xlpm.modelo,_xlpm.comb,_xlpm.cil,LOWER(I142),_xlpm.trans),"Elija TIPO MATERIAL")),IF(E142="","",_xlpm.res))</f>
        <v/>
      </c>
      <c r="Q142" s="21" t="str">
        <f t="shared" si="8"/>
        <v/>
      </c>
      <c r="R142" s="21" t="str">
        <f t="shared" si="9"/>
        <v/>
      </c>
    </row>
    <row r="143" spans="3:18" x14ac:dyDescent="0.25">
      <c r="C143" s="24" t="str">
        <f>_xlfn.LET(_xlpm.comb,_xlfn.XLOOKUP(H143,NPF!$A$4:$A$10,NPF!$B$4:$B$10,""),_xlpm.trans,_xlfn.XLOOKUP(J143,NPF!$D$4:$D$7,NPF!$E$4:$E$7,""),_xlpm.kwh,IF(AND(ISNUMBER(K143),OR(_xlpm.comb="BEV",_xlpm.comb="PHEV",_xlpm.comb="MHEV")),ROUND(K143,0)&amp;"KWH",""),_xlpm.dec,1,_xlpm.cil,IF(OR(_xlpm.comb="BEV",P143="Motos",P143="Cuatrimotos",G143=""),"",SUBSTITUTE(FIXED(G143/1000,_xlpm.dec,TRUE),",",".")&amp;"L"),IF(E143="","",UPPER(_xlfn.TEXTJOIN(" ",TRUE,E143,F143,_xlpm.cil,_xlpm.kwh,_xlpm.comb,I143,_xlpm.trans))))</f>
        <v/>
      </c>
      <c r="D143" s="24" t="str" cm="1">
        <f t="array" ref="D143">_xlfn.LET(_xlpm.comb,_xlfn.XLOOKUP(H143,NPF!$A$4:$A$10,NPF!$B$4:$B$10,""),_xlpm.trans,_xlfn.XLOOKUP(J143,NPF!$D$4:$D$7,NPF!$E$4:$E$7,""),_xlpm.orig,NPF!$W$4:$W$33,_xlpm.abr,NPF!$X$4:$X$33,_xlpm.txt,_xlfn.REDUCE(UPPER(TRIM(E143&amp;" "&amp;F143)),_xlfn.SEQUENCE(ROWS(_xlpm.orig)),_xlfn.LAMBDA(_xlpm.a,_xlpm.i,IF(INDEX(_xlpm.orig,_xlpm.i)="",_xlpm.a,SUBSTITUTE(_xlpm.a,UPPER(INDEX(_xlpm.orig,_xlpm.i)),INDEX(_xlpm.abr,_xlpm.i))))),_xlpm.mv,SUBSTITUTE(SUBSTITUTE(SUBSTITUTE(_xlpm.txt,"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143),OR(_xlpm.comb="BEV",_xlpm.comb="PHEV",_xlpm.comb="MHEV")),ROUND(K143,0)&amp;"KWH",""),_xlpm.dec,1,_xlpm.cil,IF(OR(_xlpm.comb="BEV",P143="Motos",P143="Cuatrimotos",G143=""),"",SUBSTITUTE(FIXED(G143/1000,_xlpm.dec,TRUE),",",".")&amp;"L"),_xlpm.modelo,_xlpm.mv&amp;_xlpm.kwh,_xlpm.res,IF(B143="CAMIONES",_xlfn.TEXTJOIN("-",TRUE,_xlpm.modelo,_xlpm.cil,_xlpm.comb,UPPER(I143),_xlpm.trans),IF(B143="VEHICULOS",_xlfn.TEXTJOIN("-",TRUE,_xlpm.modelo,_xlpm.comb,_xlpm.cil,LOWER(I143),_xlpm.trans),"Elija TIPO MATERIAL")),IF(E143="","",_xlpm.res))</f>
        <v/>
      </c>
      <c r="Q143" s="21" t="str">
        <f t="shared" si="8"/>
        <v/>
      </c>
      <c r="R143" s="21" t="str">
        <f t="shared" si="9"/>
        <v/>
      </c>
    </row>
    <row r="144" spans="3:18" x14ac:dyDescent="0.25">
      <c r="C144" s="24" t="str">
        <f>_xlfn.LET(_xlpm.comb,_xlfn.XLOOKUP(H144,NPF!$A$4:$A$10,NPF!$B$4:$B$10,""),_xlpm.trans,_xlfn.XLOOKUP(J144,NPF!$D$4:$D$7,NPF!$E$4:$E$7,""),_xlpm.kwh,IF(AND(ISNUMBER(K144),OR(_xlpm.comb="BEV",_xlpm.comb="PHEV",_xlpm.comb="MHEV")),ROUND(K144,0)&amp;"KWH",""),_xlpm.dec,1,_xlpm.cil,IF(OR(_xlpm.comb="BEV",P144="Motos",P144="Cuatrimotos",G144=""),"",SUBSTITUTE(FIXED(G144/1000,_xlpm.dec,TRUE),",",".")&amp;"L"),IF(E144="","",UPPER(_xlfn.TEXTJOIN(" ",TRUE,E144,F144,_xlpm.cil,_xlpm.kwh,_xlpm.comb,I144,_xlpm.trans))))</f>
        <v/>
      </c>
      <c r="D144" s="24" t="str" cm="1">
        <f t="array" ref="D144">_xlfn.LET(_xlpm.comb,_xlfn.XLOOKUP(H144,NPF!$A$4:$A$10,NPF!$B$4:$B$10,""),_xlpm.trans,_xlfn.XLOOKUP(J144,NPF!$D$4:$D$7,NPF!$E$4:$E$7,""),_xlpm.orig,NPF!$W$4:$W$33,_xlpm.abr,NPF!$X$4:$X$33,_xlpm.txt,_xlfn.REDUCE(UPPER(TRIM(E144&amp;" "&amp;F144)),_xlfn.SEQUENCE(ROWS(_xlpm.orig)),_xlfn.LAMBDA(_xlpm.a,_xlpm.i,IF(INDEX(_xlpm.orig,_xlpm.i)="",_xlpm.a,SUBSTITUTE(_xlpm.a,UPPER(INDEX(_xlpm.orig,_xlpm.i)),INDEX(_xlpm.abr,_xlpm.i))))),_xlpm.mv,SUBSTITUTE(SUBSTITUTE(SUBSTITUTE(_xlpm.txt,"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144),OR(_xlpm.comb="BEV",_xlpm.comb="PHEV",_xlpm.comb="MHEV")),ROUND(K144,0)&amp;"KWH",""),_xlpm.dec,1,_xlpm.cil,IF(OR(_xlpm.comb="BEV",P144="Motos",P144="Cuatrimotos",G144=""),"",SUBSTITUTE(FIXED(G144/1000,_xlpm.dec,TRUE),",",".")&amp;"L"),_xlpm.modelo,_xlpm.mv&amp;_xlpm.kwh,_xlpm.res,IF(B144="CAMIONES",_xlfn.TEXTJOIN("-",TRUE,_xlpm.modelo,_xlpm.cil,_xlpm.comb,UPPER(I144),_xlpm.trans),IF(B144="VEHICULOS",_xlfn.TEXTJOIN("-",TRUE,_xlpm.modelo,_xlpm.comb,_xlpm.cil,LOWER(I144),_xlpm.trans),"Elija TIPO MATERIAL")),IF(E144="","",_xlpm.res))</f>
        <v/>
      </c>
      <c r="Q144" s="21" t="str">
        <f t="shared" si="8"/>
        <v/>
      </c>
      <c r="R144" s="21" t="str">
        <f t="shared" si="9"/>
        <v/>
      </c>
    </row>
    <row r="145" spans="3:18" x14ac:dyDescent="0.25">
      <c r="C145" s="24" t="str">
        <f>_xlfn.LET(_xlpm.comb,_xlfn.XLOOKUP(H145,NPF!$A$4:$A$10,NPF!$B$4:$B$10,""),_xlpm.trans,_xlfn.XLOOKUP(J145,NPF!$D$4:$D$7,NPF!$E$4:$E$7,""),_xlpm.kwh,IF(AND(ISNUMBER(K145),OR(_xlpm.comb="BEV",_xlpm.comb="PHEV",_xlpm.comb="MHEV")),ROUND(K145,0)&amp;"KWH",""),_xlpm.dec,1,_xlpm.cil,IF(OR(_xlpm.comb="BEV",P145="Motos",P145="Cuatrimotos",G145=""),"",SUBSTITUTE(FIXED(G145/1000,_xlpm.dec,TRUE),",",".")&amp;"L"),IF(E145="","",UPPER(_xlfn.TEXTJOIN(" ",TRUE,E145,F145,_xlpm.cil,_xlpm.kwh,_xlpm.comb,I145,_xlpm.trans))))</f>
        <v/>
      </c>
      <c r="D145" s="24" t="str" cm="1">
        <f t="array" ref="D145">_xlfn.LET(_xlpm.comb,_xlfn.XLOOKUP(H145,NPF!$A$4:$A$10,NPF!$B$4:$B$10,""),_xlpm.trans,_xlfn.XLOOKUP(J145,NPF!$D$4:$D$7,NPF!$E$4:$E$7,""),_xlpm.orig,NPF!$W$4:$W$33,_xlpm.abr,NPF!$X$4:$X$33,_xlpm.txt,_xlfn.REDUCE(UPPER(TRIM(E145&amp;" "&amp;F145)),_xlfn.SEQUENCE(ROWS(_xlpm.orig)),_xlfn.LAMBDA(_xlpm.a,_xlpm.i,IF(INDEX(_xlpm.orig,_xlpm.i)="",_xlpm.a,SUBSTITUTE(_xlpm.a,UPPER(INDEX(_xlpm.orig,_xlpm.i)),INDEX(_xlpm.abr,_xlpm.i))))),_xlpm.mv,SUBSTITUTE(SUBSTITUTE(SUBSTITUTE(_xlpm.txt,"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145),OR(_xlpm.comb="BEV",_xlpm.comb="PHEV",_xlpm.comb="MHEV")),ROUND(K145,0)&amp;"KWH",""),_xlpm.dec,1,_xlpm.cil,IF(OR(_xlpm.comb="BEV",P145="Motos",P145="Cuatrimotos",G145=""),"",SUBSTITUTE(FIXED(G145/1000,_xlpm.dec,TRUE),",",".")&amp;"L"),_xlpm.modelo,_xlpm.mv&amp;_xlpm.kwh,_xlpm.res,IF(B145="CAMIONES",_xlfn.TEXTJOIN("-",TRUE,_xlpm.modelo,_xlpm.cil,_xlpm.comb,UPPER(I145),_xlpm.trans),IF(B145="VEHICULOS",_xlfn.TEXTJOIN("-",TRUE,_xlpm.modelo,_xlpm.comb,_xlpm.cil,LOWER(I145),_xlpm.trans),"Elija TIPO MATERIAL")),IF(E145="","",_xlpm.res))</f>
        <v/>
      </c>
      <c r="Q145" s="21" t="str">
        <f t="shared" si="8"/>
        <v/>
      </c>
      <c r="R145" s="21" t="str">
        <f t="shared" si="9"/>
        <v/>
      </c>
    </row>
    <row r="146" spans="3:18" x14ac:dyDescent="0.25">
      <c r="C146" s="24" t="str">
        <f>_xlfn.LET(_xlpm.comb,_xlfn.XLOOKUP(H146,NPF!$A$4:$A$10,NPF!$B$4:$B$10,""),_xlpm.trans,_xlfn.XLOOKUP(J146,NPF!$D$4:$D$7,NPF!$E$4:$E$7,""),_xlpm.kwh,IF(AND(ISNUMBER(K146),OR(_xlpm.comb="BEV",_xlpm.comb="PHEV",_xlpm.comb="MHEV")),ROUND(K146,0)&amp;"KWH",""),_xlpm.dec,1,_xlpm.cil,IF(OR(_xlpm.comb="BEV",P146="Motos",P146="Cuatrimotos",G146=""),"",SUBSTITUTE(FIXED(G146/1000,_xlpm.dec,TRUE),",",".")&amp;"L"),IF(E146="","",UPPER(_xlfn.TEXTJOIN(" ",TRUE,E146,F146,_xlpm.cil,_xlpm.kwh,_xlpm.comb,I146,_xlpm.trans))))</f>
        <v/>
      </c>
      <c r="D146" s="24" t="str" cm="1">
        <f t="array" ref="D146">_xlfn.LET(_xlpm.comb,_xlfn.XLOOKUP(H146,NPF!$A$4:$A$10,NPF!$B$4:$B$10,""),_xlpm.trans,_xlfn.XLOOKUP(J146,NPF!$D$4:$D$7,NPF!$E$4:$E$7,""),_xlpm.orig,NPF!$W$4:$W$33,_xlpm.abr,NPF!$X$4:$X$33,_xlpm.txt,_xlfn.REDUCE(UPPER(TRIM(E146&amp;" "&amp;F146)),_xlfn.SEQUENCE(ROWS(_xlpm.orig)),_xlfn.LAMBDA(_xlpm.a,_xlpm.i,IF(INDEX(_xlpm.orig,_xlpm.i)="",_xlpm.a,SUBSTITUTE(_xlpm.a,UPPER(INDEX(_xlpm.orig,_xlpm.i)),INDEX(_xlpm.abr,_xlpm.i))))),_xlpm.mv,SUBSTITUTE(SUBSTITUTE(SUBSTITUTE(_xlpm.txt,"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146),OR(_xlpm.comb="BEV",_xlpm.comb="PHEV",_xlpm.comb="MHEV")),ROUND(K146,0)&amp;"KWH",""),_xlpm.dec,1,_xlpm.cil,IF(OR(_xlpm.comb="BEV",P146="Motos",P146="Cuatrimotos",G146=""),"",SUBSTITUTE(FIXED(G146/1000,_xlpm.dec,TRUE),",",".")&amp;"L"),_xlpm.modelo,_xlpm.mv&amp;_xlpm.kwh,_xlpm.res,IF(B146="CAMIONES",_xlfn.TEXTJOIN("-",TRUE,_xlpm.modelo,_xlpm.cil,_xlpm.comb,UPPER(I146),_xlpm.trans),IF(B146="VEHICULOS",_xlfn.TEXTJOIN("-",TRUE,_xlpm.modelo,_xlpm.comb,_xlpm.cil,LOWER(I146),_xlpm.trans),"Elija TIPO MATERIAL")),IF(E146="","",_xlpm.res))</f>
        <v/>
      </c>
      <c r="Q146" s="21" t="str">
        <f t="shared" si="8"/>
        <v/>
      </c>
      <c r="R146" s="21" t="str">
        <f t="shared" si="9"/>
        <v/>
      </c>
    </row>
    <row r="147" spans="3:18" x14ac:dyDescent="0.25">
      <c r="C147" s="24" t="str">
        <f>_xlfn.LET(_xlpm.comb,_xlfn.XLOOKUP(H147,NPF!$A$4:$A$10,NPF!$B$4:$B$10,""),_xlpm.trans,_xlfn.XLOOKUP(J147,NPF!$D$4:$D$7,NPF!$E$4:$E$7,""),_xlpm.kwh,IF(AND(ISNUMBER(K147),OR(_xlpm.comb="BEV",_xlpm.comb="PHEV",_xlpm.comb="MHEV")),ROUND(K147,0)&amp;"KWH",""),_xlpm.dec,1,_xlpm.cil,IF(OR(_xlpm.comb="BEV",P147="Motos",P147="Cuatrimotos",G147=""),"",SUBSTITUTE(FIXED(G147/1000,_xlpm.dec,TRUE),",",".")&amp;"L"),IF(E147="","",UPPER(_xlfn.TEXTJOIN(" ",TRUE,E147,F147,_xlpm.cil,_xlpm.kwh,_xlpm.comb,I147,_xlpm.trans))))</f>
        <v/>
      </c>
      <c r="D147" s="24" t="str" cm="1">
        <f t="array" ref="D147">_xlfn.LET(_xlpm.comb,_xlfn.XLOOKUP(H147,NPF!$A$4:$A$10,NPF!$B$4:$B$10,""),_xlpm.trans,_xlfn.XLOOKUP(J147,NPF!$D$4:$D$7,NPF!$E$4:$E$7,""),_xlpm.orig,NPF!$W$4:$W$33,_xlpm.abr,NPF!$X$4:$X$33,_xlpm.txt,_xlfn.REDUCE(UPPER(TRIM(E147&amp;" "&amp;F147)),_xlfn.SEQUENCE(ROWS(_xlpm.orig)),_xlfn.LAMBDA(_xlpm.a,_xlpm.i,IF(INDEX(_xlpm.orig,_xlpm.i)="",_xlpm.a,SUBSTITUTE(_xlpm.a,UPPER(INDEX(_xlpm.orig,_xlpm.i)),INDEX(_xlpm.abr,_xlpm.i))))),_xlpm.mv,SUBSTITUTE(SUBSTITUTE(SUBSTITUTE(_xlpm.txt,"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147),OR(_xlpm.comb="BEV",_xlpm.comb="PHEV",_xlpm.comb="MHEV")),ROUND(K147,0)&amp;"KWH",""),_xlpm.dec,1,_xlpm.cil,IF(OR(_xlpm.comb="BEV",P147="Motos",P147="Cuatrimotos",G147=""),"",SUBSTITUTE(FIXED(G147/1000,_xlpm.dec,TRUE),",",".")&amp;"L"),_xlpm.modelo,_xlpm.mv&amp;_xlpm.kwh,_xlpm.res,IF(B147="CAMIONES",_xlfn.TEXTJOIN("-",TRUE,_xlpm.modelo,_xlpm.cil,_xlpm.comb,UPPER(I147),_xlpm.trans),IF(B147="VEHICULOS",_xlfn.TEXTJOIN("-",TRUE,_xlpm.modelo,_xlpm.comb,_xlpm.cil,LOWER(I147),_xlpm.trans),"Elija TIPO MATERIAL")),IF(E147="","",_xlpm.res))</f>
        <v/>
      </c>
      <c r="Q147" s="21" t="str">
        <f t="shared" si="8"/>
        <v/>
      </c>
      <c r="R147" s="21" t="str">
        <f t="shared" si="9"/>
        <v/>
      </c>
    </row>
    <row r="148" spans="3:18" x14ac:dyDescent="0.25">
      <c r="C148" s="24" t="str">
        <f>_xlfn.LET(_xlpm.comb,_xlfn.XLOOKUP(H148,NPF!$A$4:$A$10,NPF!$B$4:$B$10,""),_xlpm.trans,_xlfn.XLOOKUP(J148,NPF!$D$4:$D$7,NPF!$E$4:$E$7,""),_xlpm.kwh,IF(AND(ISNUMBER(K148),OR(_xlpm.comb="BEV",_xlpm.comb="PHEV",_xlpm.comb="MHEV")),ROUND(K148,0)&amp;"KWH",""),_xlpm.dec,1,_xlpm.cil,IF(OR(_xlpm.comb="BEV",P148="Motos",P148="Cuatrimotos",G148=""),"",SUBSTITUTE(FIXED(G148/1000,_xlpm.dec,TRUE),",",".")&amp;"L"),IF(E148="","",UPPER(_xlfn.TEXTJOIN(" ",TRUE,E148,F148,_xlpm.cil,_xlpm.kwh,_xlpm.comb,I148,_xlpm.trans))))</f>
        <v/>
      </c>
      <c r="D148" s="24" t="str" cm="1">
        <f t="array" ref="D148">_xlfn.LET(_xlpm.comb,_xlfn.XLOOKUP(H148,NPF!$A$4:$A$10,NPF!$B$4:$B$10,""),_xlpm.trans,_xlfn.XLOOKUP(J148,NPF!$D$4:$D$7,NPF!$E$4:$E$7,""),_xlpm.orig,NPF!$W$4:$W$33,_xlpm.abr,NPF!$X$4:$X$33,_xlpm.txt,_xlfn.REDUCE(UPPER(TRIM(E148&amp;" "&amp;F148)),_xlfn.SEQUENCE(ROWS(_xlpm.orig)),_xlfn.LAMBDA(_xlpm.a,_xlpm.i,IF(INDEX(_xlpm.orig,_xlpm.i)="",_xlpm.a,SUBSTITUTE(_xlpm.a,UPPER(INDEX(_xlpm.orig,_xlpm.i)),INDEX(_xlpm.abr,_xlpm.i))))),_xlpm.mv,SUBSTITUTE(SUBSTITUTE(SUBSTITUTE(_xlpm.txt,"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148),OR(_xlpm.comb="BEV",_xlpm.comb="PHEV",_xlpm.comb="MHEV")),ROUND(K148,0)&amp;"KWH",""),_xlpm.dec,1,_xlpm.cil,IF(OR(_xlpm.comb="BEV",P148="Motos",P148="Cuatrimotos",G148=""),"",SUBSTITUTE(FIXED(G148/1000,_xlpm.dec,TRUE),",",".")&amp;"L"),_xlpm.modelo,_xlpm.mv&amp;_xlpm.kwh,_xlpm.res,IF(B148="CAMIONES",_xlfn.TEXTJOIN("-",TRUE,_xlpm.modelo,_xlpm.cil,_xlpm.comb,UPPER(I148),_xlpm.trans),IF(B148="VEHICULOS",_xlfn.TEXTJOIN("-",TRUE,_xlpm.modelo,_xlpm.comb,_xlpm.cil,LOWER(I148),_xlpm.trans),"Elija TIPO MATERIAL")),IF(E148="","",_xlpm.res))</f>
        <v/>
      </c>
      <c r="Q148" s="21" t="str">
        <f t="shared" si="8"/>
        <v/>
      </c>
      <c r="R148" s="21" t="str">
        <f t="shared" si="9"/>
        <v/>
      </c>
    </row>
    <row r="149" spans="3:18" x14ac:dyDescent="0.25">
      <c r="C149" s="24" t="str">
        <f>_xlfn.LET(_xlpm.comb,_xlfn.XLOOKUP(H149,NPF!$A$4:$A$10,NPF!$B$4:$B$10,""),_xlpm.trans,_xlfn.XLOOKUP(J149,NPF!$D$4:$D$7,NPF!$E$4:$E$7,""),_xlpm.kwh,IF(AND(ISNUMBER(K149),OR(_xlpm.comb="BEV",_xlpm.comb="PHEV",_xlpm.comb="MHEV")),ROUND(K149,0)&amp;"KWH",""),_xlpm.dec,1,_xlpm.cil,IF(OR(_xlpm.comb="BEV",P149="Motos",P149="Cuatrimotos",G149=""),"",SUBSTITUTE(FIXED(G149/1000,_xlpm.dec,TRUE),",",".")&amp;"L"),IF(E149="","",UPPER(_xlfn.TEXTJOIN(" ",TRUE,E149,F149,_xlpm.cil,_xlpm.kwh,_xlpm.comb,I149,_xlpm.trans))))</f>
        <v/>
      </c>
      <c r="D149" s="24" t="str" cm="1">
        <f t="array" ref="D149">_xlfn.LET(_xlpm.comb,_xlfn.XLOOKUP(H149,NPF!$A$4:$A$10,NPF!$B$4:$B$10,""),_xlpm.trans,_xlfn.XLOOKUP(J149,NPF!$D$4:$D$7,NPF!$E$4:$E$7,""),_xlpm.orig,NPF!$W$4:$W$33,_xlpm.abr,NPF!$X$4:$X$33,_xlpm.txt,_xlfn.REDUCE(UPPER(TRIM(E149&amp;" "&amp;F149)),_xlfn.SEQUENCE(ROWS(_xlpm.orig)),_xlfn.LAMBDA(_xlpm.a,_xlpm.i,IF(INDEX(_xlpm.orig,_xlpm.i)="",_xlpm.a,SUBSTITUTE(_xlpm.a,UPPER(INDEX(_xlpm.orig,_xlpm.i)),INDEX(_xlpm.abr,_xlpm.i))))),_xlpm.mv,SUBSTITUTE(SUBSTITUTE(SUBSTITUTE(_xlpm.txt,"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149),OR(_xlpm.comb="BEV",_xlpm.comb="PHEV",_xlpm.comb="MHEV")),ROUND(K149,0)&amp;"KWH",""),_xlpm.dec,1,_xlpm.cil,IF(OR(_xlpm.comb="BEV",P149="Motos",P149="Cuatrimotos",G149=""),"",SUBSTITUTE(FIXED(G149/1000,_xlpm.dec,TRUE),",",".")&amp;"L"),_xlpm.modelo,_xlpm.mv&amp;_xlpm.kwh,_xlpm.res,IF(B149="CAMIONES",_xlfn.TEXTJOIN("-",TRUE,_xlpm.modelo,_xlpm.cil,_xlpm.comb,UPPER(I149),_xlpm.trans),IF(B149="VEHICULOS",_xlfn.TEXTJOIN("-",TRUE,_xlpm.modelo,_xlpm.comb,_xlpm.cil,LOWER(I149),_xlpm.trans),"Elija TIPO MATERIAL")),IF(E149="","",_xlpm.res))</f>
        <v/>
      </c>
      <c r="Q149" s="21" t="str">
        <f t="shared" si="8"/>
        <v/>
      </c>
      <c r="R149" s="21" t="str">
        <f t="shared" si="9"/>
        <v/>
      </c>
    </row>
    <row r="150" spans="3:18" x14ac:dyDescent="0.25">
      <c r="C150" s="24" t="str">
        <f>_xlfn.LET(_xlpm.comb,_xlfn.XLOOKUP(H150,NPF!$A$4:$A$10,NPF!$B$4:$B$10,""),_xlpm.trans,_xlfn.XLOOKUP(J150,NPF!$D$4:$D$7,NPF!$E$4:$E$7,""),_xlpm.kwh,IF(AND(ISNUMBER(K150),OR(_xlpm.comb="BEV",_xlpm.comb="PHEV",_xlpm.comb="MHEV")),ROUND(K150,0)&amp;"KWH",""),_xlpm.dec,1,_xlpm.cil,IF(OR(_xlpm.comb="BEV",P150="Motos",P150="Cuatrimotos",G150=""),"",SUBSTITUTE(FIXED(G150/1000,_xlpm.dec,TRUE),",",".")&amp;"L"),IF(E150="","",UPPER(_xlfn.TEXTJOIN(" ",TRUE,E150,F150,_xlpm.cil,_xlpm.kwh,_xlpm.comb,I150,_xlpm.trans))))</f>
        <v/>
      </c>
      <c r="D150" s="24" t="str" cm="1">
        <f t="array" ref="D150">_xlfn.LET(_xlpm.comb,_xlfn.XLOOKUP(H150,NPF!$A$4:$A$10,NPF!$B$4:$B$10,""),_xlpm.trans,_xlfn.XLOOKUP(J150,NPF!$D$4:$D$7,NPF!$E$4:$E$7,""),_xlpm.orig,NPF!$W$4:$W$33,_xlpm.abr,NPF!$X$4:$X$33,_xlpm.txt,_xlfn.REDUCE(UPPER(TRIM(E150&amp;" "&amp;F150)),_xlfn.SEQUENCE(ROWS(_xlpm.orig)),_xlfn.LAMBDA(_xlpm.a,_xlpm.i,IF(INDEX(_xlpm.orig,_xlpm.i)="",_xlpm.a,SUBSTITUTE(_xlpm.a,UPPER(INDEX(_xlpm.orig,_xlpm.i)),INDEX(_xlpm.abr,_xlpm.i))))),_xlpm.mv,SUBSTITUTE(SUBSTITUTE(SUBSTITUTE(_xlpm.txt,"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150),OR(_xlpm.comb="BEV",_xlpm.comb="PHEV",_xlpm.comb="MHEV")),ROUND(K150,0)&amp;"KWH",""),_xlpm.dec,1,_xlpm.cil,IF(OR(_xlpm.comb="BEV",P150="Motos",P150="Cuatrimotos",G150=""),"",SUBSTITUTE(FIXED(G150/1000,_xlpm.dec,TRUE),",",".")&amp;"L"),_xlpm.modelo,_xlpm.mv&amp;_xlpm.kwh,_xlpm.res,IF(B150="CAMIONES",_xlfn.TEXTJOIN("-",TRUE,_xlpm.modelo,_xlpm.cil,_xlpm.comb,UPPER(I150),_xlpm.trans),IF(B150="VEHICULOS",_xlfn.TEXTJOIN("-",TRUE,_xlpm.modelo,_xlpm.comb,_xlpm.cil,LOWER(I150),_xlpm.trans),"Elija TIPO MATERIAL")),IF(E150="","",_xlpm.res))</f>
        <v/>
      </c>
      <c r="Q150" s="21" t="str">
        <f t="shared" si="8"/>
        <v/>
      </c>
      <c r="R150" s="21" t="str">
        <f t="shared" si="9"/>
        <v/>
      </c>
    </row>
    <row r="151" spans="3:18" x14ac:dyDescent="0.25">
      <c r="C151" s="24" t="str">
        <f>_xlfn.LET(_xlpm.comb,_xlfn.XLOOKUP(H151,NPF!$A$4:$A$10,NPF!$B$4:$B$10,""),_xlpm.trans,_xlfn.XLOOKUP(J151,NPF!$D$4:$D$7,NPF!$E$4:$E$7,""),_xlpm.kwh,IF(AND(ISNUMBER(K151),OR(_xlpm.comb="BEV",_xlpm.comb="PHEV",_xlpm.comb="MHEV")),ROUND(K151,0)&amp;"KWH",""),_xlpm.dec,1,_xlpm.cil,IF(OR(_xlpm.comb="BEV",P151="Motos",P151="Cuatrimotos",G151=""),"",SUBSTITUTE(FIXED(G151/1000,_xlpm.dec,TRUE),",",".")&amp;"L"),IF(E151="","",UPPER(_xlfn.TEXTJOIN(" ",TRUE,E151,F151,_xlpm.cil,_xlpm.kwh,_xlpm.comb,I151,_xlpm.trans))))</f>
        <v/>
      </c>
      <c r="D151" s="24" t="str" cm="1">
        <f t="array" ref="D151">_xlfn.LET(_xlpm.comb,_xlfn.XLOOKUP(H151,NPF!$A$4:$A$10,NPF!$B$4:$B$10,""),_xlpm.trans,_xlfn.XLOOKUP(J151,NPF!$D$4:$D$7,NPF!$E$4:$E$7,""),_xlpm.orig,NPF!$W$4:$W$33,_xlpm.abr,NPF!$X$4:$X$33,_xlpm.txt,_xlfn.REDUCE(UPPER(TRIM(E151&amp;" "&amp;F151)),_xlfn.SEQUENCE(ROWS(_xlpm.orig)),_xlfn.LAMBDA(_xlpm.a,_xlpm.i,IF(INDEX(_xlpm.orig,_xlpm.i)="",_xlpm.a,SUBSTITUTE(_xlpm.a,UPPER(INDEX(_xlpm.orig,_xlpm.i)),INDEX(_xlpm.abr,_xlpm.i))))),_xlpm.mv,SUBSTITUTE(SUBSTITUTE(SUBSTITUTE(_xlpm.txt,"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151),OR(_xlpm.comb="BEV",_xlpm.comb="PHEV",_xlpm.comb="MHEV")),ROUND(K151,0)&amp;"KWH",""),_xlpm.dec,1,_xlpm.cil,IF(OR(_xlpm.comb="BEV",P151="Motos",P151="Cuatrimotos",G151=""),"",SUBSTITUTE(FIXED(G151/1000,_xlpm.dec,TRUE),",",".")&amp;"L"),_xlpm.modelo,_xlpm.mv&amp;_xlpm.kwh,_xlpm.res,IF(B151="CAMIONES",_xlfn.TEXTJOIN("-",TRUE,_xlpm.modelo,_xlpm.cil,_xlpm.comb,UPPER(I151),_xlpm.trans),IF(B151="VEHICULOS",_xlfn.TEXTJOIN("-",TRUE,_xlpm.modelo,_xlpm.comb,_xlpm.cil,LOWER(I151),_xlpm.trans),"Elija TIPO MATERIAL")),IF(E151="","",_xlpm.res))</f>
        <v/>
      </c>
      <c r="Q151" s="21" t="str">
        <f t="shared" si="8"/>
        <v/>
      </c>
      <c r="R151" s="21" t="str">
        <f t="shared" si="9"/>
        <v/>
      </c>
    </row>
    <row r="152" spans="3:18" x14ac:dyDescent="0.25">
      <c r="C152" s="24" t="str">
        <f>_xlfn.LET(_xlpm.comb,_xlfn.XLOOKUP(H152,NPF!$A$4:$A$10,NPF!$B$4:$B$10,""),_xlpm.trans,_xlfn.XLOOKUP(J152,NPF!$D$4:$D$7,NPF!$E$4:$E$7,""),_xlpm.kwh,IF(AND(ISNUMBER(K152),OR(_xlpm.comb="BEV",_xlpm.comb="PHEV",_xlpm.comb="MHEV")),ROUND(K152,0)&amp;"KWH",""),_xlpm.dec,1,_xlpm.cil,IF(OR(_xlpm.comb="BEV",P152="Motos",P152="Cuatrimotos",G152=""),"",SUBSTITUTE(FIXED(G152/1000,_xlpm.dec,TRUE),",",".")&amp;"L"),IF(E152="","",UPPER(_xlfn.TEXTJOIN(" ",TRUE,E152,F152,_xlpm.cil,_xlpm.kwh,_xlpm.comb,I152,_xlpm.trans))))</f>
        <v/>
      </c>
      <c r="D152" s="24" t="str" cm="1">
        <f t="array" ref="D152">_xlfn.LET(_xlpm.comb,_xlfn.XLOOKUP(H152,NPF!$A$4:$A$10,NPF!$B$4:$B$10,""),_xlpm.trans,_xlfn.XLOOKUP(J152,NPF!$D$4:$D$7,NPF!$E$4:$E$7,""),_xlpm.orig,NPF!$W$4:$W$33,_xlpm.abr,NPF!$X$4:$X$33,_xlpm.txt,_xlfn.REDUCE(UPPER(TRIM(E152&amp;" "&amp;F152)),_xlfn.SEQUENCE(ROWS(_xlpm.orig)),_xlfn.LAMBDA(_xlpm.a,_xlpm.i,IF(INDEX(_xlpm.orig,_xlpm.i)="",_xlpm.a,SUBSTITUTE(_xlpm.a,UPPER(INDEX(_xlpm.orig,_xlpm.i)),INDEX(_xlpm.abr,_xlpm.i))))),_xlpm.mv,SUBSTITUTE(SUBSTITUTE(SUBSTITUTE(_xlpm.txt,"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152),OR(_xlpm.comb="BEV",_xlpm.comb="PHEV",_xlpm.comb="MHEV")),ROUND(K152,0)&amp;"KWH",""),_xlpm.dec,1,_xlpm.cil,IF(OR(_xlpm.comb="BEV",P152="Motos",P152="Cuatrimotos",G152=""),"",SUBSTITUTE(FIXED(G152/1000,_xlpm.dec,TRUE),",",".")&amp;"L"),_xlpm.modelo,_xlpm.mv&amp;_xlpm.kwh,_xlpm.res,IF(B152="CAMIONES",_xlfn.TEXTJOIN("-",TRUE,_xlpm.modelo,_xlpm.cil,_xlpm.comb,UPPER(I152),_xlpm.trans),IF(B152="VEHICULOS",_xlfn.TEXTJOIN("-",TRUE,_xlpm.modelo,_xlpm.comb,_xlpm.cil,LOWER(I152),_xlpm.trans),"Elija TIPO MATERIAL")),IF(E152="","",_xlpm.res))</f>
        <v/>
      </c>
      <c r="Q152" s="21" t="str">
        <f t="shared" si="8"/>
        <v/>
      </c>
      <c r="R152" s="21" t="str">
        <f t="shared" si="9"/>
        <v/>
      </c>
    </row>
    <row r="153" spans="3:18" x14ac:dyDescent="0.25">
      <c r="C153" s="24" t="str">
        <f>_xlfn.LET(_xlpm.comb,_xlfn.XLOOKUP(H153,NPF!$A$4:$A$10,NPF!$B$4:$B$10,""),_xlpm.trans,_xlfn.XLOOKUP(J153,NPF!$D$4:$D$7,NPF!$E$4:$E$7,""),_xlpm.kwh,IF(AND(ISNUMBER(K153),OR(_xlpm.comb="BEV",_xlpm.comb="PHEV",_xlpm.comb="MHEV")),ROUND(K153,0)&amp;"KWH",""),_xlpm.dec,1,_xlpm.cil,IF(OR(_xlpm.comb="BEV",P153="Motos",P153="Cuatrimotos",G153=""),"",SUBSTITUTE(FIXED(G153/1000,_xlpm.dec,TRUE),",",".")&amp;"L"),IF(E153="","",UPPER(_xlfn.TEXTJOIN(" ",TRUE,E153,F153,_xlpm.cil,_xlpm.kwh,_xlpm.comb,I153,_xlpm.trans))))</f>
        <v/>
      </c>
      <c r="D153" s="24" t="str" cm="1">
        <f t="array" ref="D153">_xlfn.LET(_xlpm.comb,_xlfn.XLOOKUP(H153,NPF!$A$4:$A$10,NPF!$B$4:$B$10,""),_xlpm.trans,_xlfn.XLOOKUP(J153,NPF!$D$4:$D$7,NPF!$E$4:$E$7,""),_xlpm.orig,NPF!$W$4:$W$33,_xlpm.abr,NPF!$X$4:$X$33,_xlpm.txt,_xlfn.REDUCE(UPPER(TRIM(E153&amp;" "&amp;F153)),_xlfn.SEQUENCE(ROWS(_xlpm.orig)),_xlfn.LAMBDA(_xlpm.a,_xlpm.i,IF(INDEX(_xlpm.orig,_xlpm.i)="",_xlpm.a,SUBSTITUTE(_xlpm.a,UPPER(INDEX(_xlpm.orig,_xlpm.i)),INDEX(_xlpm.abr,_xlpm.i))))),_xlpm.mv,SUBSTITUTE(SUBSTITUTE(SUBSTITUTE(_xlpm.txt,"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153),OR(_xlpm.comb="BEV",_xlpm.comb="PHEV",_xlpm.comb="MHEV")),ROUND(K153,0)&amp;"KWH",""),_xlpm.dec,1,_xlpm.cil,IF(OR(_xlpm.comb="BEV",P153="Motos",P153="Cuatrimotos",G153=""),"",SUBSTITUTE(FIXED(G153/1000,_xlpm.dec,TRUE),",",".")&amp;"L"),_xlpm.modelo,_xlpm.mv&amp;_xlpm.kwh,_xlpm.res,IF(B153="CAMIONES",_xlfn.TEXTJOIN("-",TRUE,_xlpm.modelo,_xlpm.cil,_xlpm.comb,UPPER(I153),_xlpm.trans),IF(B153="VEHICULOS",_xlfn.TEXTJOIN("-",TRUE,_xlpm.modelo,_xlpm.comb,_xlpm.cil,LOWER(I153),_xlpm.trans),"Elija TIPO MATERIAL")),IF(E153="","",_xlpm.res))</f>
        <v/>
      </c>
      <c r="Q153" s="21" t="str">
        <f t="shared" si="8"/>
        <v/>
      </c>
      <c r="R153" s="21" t="str">
        <f t="shared" si="9"/>
        <v/>
      </c>
    </row>
    <row r="154" spans="3:18" x14ac:dyDescent="0.25">
      <c r="C154" s="24" t="str">
        <f>_xlfn.LET(_xlpm.comb,_xlfn.XLOOKUP(H154,NPF!$A$4:$A$10,NPF!$B$4:$B$10,""),_xlpm.trans,_xlfn.XLOOKUP(J154,NPF!$D$4:$D$7,NPF!$E$4:$E$7,""),_xlpm.kwh,IF(AND(ISNUMBER(K154),OR(_xlpm.comb="BEV",_xlpm.comb="PHEV",_xlpm.comb="MHEV")),ROUND(K154,0)&amp;"KWH",""),_xlpm.dec,1,_xlpm.cil,IF(OR(_xlpm.comb="BEV",P154="Motos",P154="Cuatrimotos",G154=""),"",SUBSTITUTE(FIXED(G154/1000,_xlpm.dec,TRUE),",",".")&amp;"L"),IF(E154="","",UPPER(_xlfn.TEXTJOIN(" ",TRUE,E154,F154,_xlpm.cil,_xlpm.kwh,_xlpm.comb,I154,_xlpm.trans))))</f>
        <v/>
      </c>
      <c r="D154" s="24" t="str" cm="1">
        <f t="array" ref="D154">_xlfn.LET(_xlpm.comb,_xlfn.XLOOKUP(H154,NPF!$A$4:$A$10,NPF!$B$4:$B$10,""),_xlpm.trans,_xlfn.XLOOKUP(J154,NPF!$D$4:$D$7,NPF!$E$4:$E$7,""),_xlpm.orig,NPF!$W$4:$W$33,_xlpm.abr,NPF!$X$4:$X$33,_xlpm.txt,_xlfn.REDUCE(UPPER(TRIM(E154&amp;" "&amp;F154)),_xlfn.SEQUENCE(ROWS(_xlpm.orig)),_xlfn.LAMBDA(_xlpm.a,_xlpm.i,IF(INDEX(_xlpm.orig,_xlpm.i)="",_xlpm.a,SUBSTITUTE(_xlpm.a,UPPER(INDEX(_xlpm.orig,_xlpm.i)),INDEX(_xlpm.abr,_xlpm.i))))),_xlpm.mv,SUBSTITUTE(SUBSTITUTE(SUBSTITUTE(_xlpm.txt,"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154),OR(_xlpm.comb="BEV",_xlpm.comb="PHEV",_xlpm.comb="MHEV")),ROUND(K154,0)&amp;"KWH",""),_xlpm.dec,1,_xlpm.cil,IF(OR(_xlpm.comb="BEV",P154="Motos",P154="Cuatrimotos",G154=""),"",SUBSTITUTE(FIXED(G154/1000,_xlpm.dec,TRUE),",",".")&amp;"L"),_xlpm.modelo,_xlpm.mv&amp;_xlpm.kwh,_xlpm.res,IF(B154="CAMIONES",_xlfn.TEXTJOIN("-",TRUE,_xlpm.modelo,_xlpm.cil,_xlpm.comb,UPPER(I154),_xlpm.trans),IF(B154="VEHICULOS",_xlfn.TEXTJOIN("-",TRUE,_xlpm.modelo,_xlpm.comb,_xlpm.cil,LOWER(I154),_xlpm.trans),"Elija TIPO MATERIAL")),IF(E154="","",_xlpm.res))</f>
        <v/>
      </c>
      <c r="Q154" s="21" t="str">
        <f t="shared" si="8"/>
        <v/>
      </c>
      <c r="R154" s="21" t="str">
        <f t="shared" si="9"/>
        <v/>
      </c>
    </row>
    <row r="155" spans="3:18" x14ac:dyDescent="0.25">
      <c r="C155" s="24" t="str">
        <f>_xlfn.LET(_xlpm.comb,_xlfn.XLOOKUP(H155,NPF!$A$4:$A$10,NPF!$B$4:$B$10,""),_xlpm.trans,_xlfn.XLOOKUP(J155,NPF!$D$4:$D$7,NPF!$E$4:$E$7,""),_xlpm.kwh,IF(AND(ISNUMBER(K155),OR(_xlpm.comb="BEV",_xlpm.comb="PHEV",_xlpm.comb="MHEV")),ROUND(K155,0)&amp;"KWH",""),_xlpm.dec,1,_xlpm.cil,IF(OR(_xlpm.comb="BEV",P155="Motos",P155="Cuatrimotos",G155=""),"",SUBSTITUTE(FIXED(G155/1000,_xlpm.dec,TRUE),",",".")&amp;"L"),IF(E155="","",UPPER(_xlfn.TEXTJOIN(" ",TRUE,E155,F155,_xlpm.cil,_xlpm.kwh,_xlpm.comb,I155,_xlpm.trans))))</f>
        <v/>
      </c>
      <c r="D155" s="24" t="str" cm="1">
        <f t="array" ref="D155">_xlfn.LET(_xlpm.comb,_xlfn.XLOOKUP(H155,NPF!$A$4:$A$10,NPF!$B$4:$B$10,""),_xlpm.trans,_xlfn.XLOOKUP(J155,NPF!$D$4:$D$7,NPF!$E$4:$E$7,""),_xlpm.orig,NPF!$W$4:$W$33,_xlpm.abr,NPF!$X$4:$X$33,_xlpm.txt,_xlfn.REDUCE(UPPER(TRIM(E155&amp;" "&amp;F155)),_xlfn.SEQUENCE(ROWS(_xlpm.orig)),_xlfn.LAMBDA(_xlpm.a,_xlpm.i,IF(INDEX(_xlpm.orig,_xlpm.i)="",_xlpm.a,SUBSTITUTE(_xlpm.a,UPPER(INDEX(_xlpm.orig,_xlpm.i)),INDEX(_xlpm.abr,_xlpm.i))))),_xlpm.mv,SUBSTITUTE(SUBSTITUTE(SUBSTITUTE(_xlpm.txt,"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155),OR(_xlpm.comb="BEV",_xlpm.comb="PHEV",_xlpm.comb="MHEV")),ROUND(K155,0)&amp;"KWH",""),_xlpm.dec,1,_xlpm.cil,IF(OR(_xlpm.comb="BEV",P155="Motos",P155="Cuatrimotos",G155=""),"",SUBSTITUTE(FIXED(G155/1000,_xlpm.dec,TRUE),",",".")&amp;"L"),_xlpm.modelo,_xlpm.mv&amp;_xlpm.kwh,_xlpm.res,IF(B155="CAMIONES",_xlfn.TEXTJOIN("-",TRUE,_xlpm.modelo,_xlpm.cil,_xlpm.comb,UPPER(I155),_xlpm.trans),IF(B155="VEHICULOS",_xlfn.TEXTJOIN("-",TRUE,_xlpm.modelo,_xlpm.comb,_xlpm.cil,LOWER(I155),_xlpm.trans),"Elija TIPO MATERIAL")),IF(E155="","",_xlpm.res))</f>
        <v/>
      </c>
      <c r="Q155" s="21" t="str">
        <f t="shared" si="8"/>
        <v/>
      </c>
      <c r="R155" s="21" t="str">
        <f t="shared" si="9"/>
        <v/>
      </c>
    </row>
    <row r="156" spans="3:18" x14ac:dyDescent="0.25">
      <c r="C156" s="24" t="str">
        <f>_xlfn.LET(_xlpm.comb,_xlfn.XLOOKUP(H156,NPF!$A$4:$A$10,NPF!$B$4:$B$10,""),_xlpm.trans,_xlfn.XLOOKUP(J156,NPF!$D$4:$D$7,NPF!$E$4:$E$7,""),_xlpm.kwh,IF(AND(ISNUMBER(K156),OR(_xlpm.comb="BEV",_xlpm.comb="PHEV",_xlpm.comb="MHEV")),ROUND(K156,0)&amp;"KWH",""),_xlpm.dec,1,_xlpm.cil,IF(OR(_xlpm.comb="BEV",P156="Motos",P156="Cuatrimotos",G156=""),"",SUBSTITUTE(FIXED(G156/1000,_xlpm.dec,TRUE),",",".")&amp;"L"),IF(E156="","",UPPER(_xlfn.TEXTJOIN(" ",TRUE,E156,F156,_xlpm.cil,_xlpm.kwh,_xlpm.comb,I156,_xlpm.trans))))</f>
        <v/>
      </c>
      <c r="D156" s="24" t="str" cm="1">
        <f t="array" ref="D156">_xlfn.LET(_xlpm.comb,_xlfn.XLOOKUP(H156,NPF!$A$4:$A$10,NPF!$B$4:$B$10,""),_xlpm.trans,_xlfn.XLOOKUP(J156,NPF!$D$4:$D$7,NPF!$E$4:$E$7,""),_xlpm.orig,NPF!$W$4:$W$33,_xlpm.abr,NPF!$X$4:$X$33,_xlpm.txt,_xlfn.REDUCE(UPPER(TRIM(E156&amp;" "&amp;F156)),_xlfn.SEQUENCE(ROWS(_xlpm.orig)),_xlfn.LAMBDA(_xlpm.a,_xlpm.i,IF(INDEX(_xlpm.orig,_xlpm.i)="",_xlpm.a,SUBSTITUTE(_xlpm.a,UPPER(INDEX(_xlpm.orig,_xlpm.i)),INDEX(_xlpm.abr,_xlpm.i))))),_xlpm.mv,SUBSTITUTE(SUBSTITUTE(SUBSTITUTE(_xlpm.txt,"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156),OR(_xlpm.comb="BEV",_xlpm.comb="PHEV",_xlpm.comb="MHEV")),ROUND(K156,0)&amp;"KWH",""),_xlpm.dec,1,_xlpm.cil,IF(OR(_xlpm.comb="BEV",P156="Motos",P156="Cuatrimotos",G156=""),"",SUBSTITUTE(FIXED(G156/1000,_xlpm.dec,TRUE),",",".")&amp;"L"),_xlpm.modelo,_xlpm.mv&amp;_xlpm.kwh,_xlpm.res,IF(B156="CAMIONES",_xlfn.TEXTJOIN("-",TRUE,_xlpm.modelo,_xlpm.cil,_xlpm.comb,UPPER(I156),_xlpm.trans),IF(B156="VEHICULOS",_xlfn.TEXTJOIN("-",TRUE,_xlpm.modelo,_xlpm.comb,_xlpm.cil,LOWER(I156),_xlpm.trans),"Elija TIPO MATERIAL")),IF(E156="","",_xlpm.res))</f>
        <v/>
      </c>
      <c r="Q156" s="21" t="str">
        <f t="shared" si="8"/>
        <v/>
      </c>
      <c r="R156" s="21" t="str">
        <f t="shared" si="9"/>
        <v/>
      </c>
    </row>
    <row r="157" spans="3:18" x14ac:dyDescent="0.25">
      <c r="C157" s="24" t="str">
        <f>_xlfn.LET(_xlpm.comb,_xlfn.XLOOKUP(H157,NPF!$A$4:$A$10,NPF!$B$4:$B$10,""),_xlpm.trans,_xlfn.XLOOKUP(J157,NPF!$D$4:$D$7,NPF!$E$4:$E$7,""),_xlpm.kwh,IF(AND(ISNUMBER(K157),OR(_xlpm.comb="BEV",_xlpm.comb="PHEV",_xlpm.comb="MHEV")),ROUND(K157,0)&amp;"KWH",""),_xlpm.dec,1,_xlpm.cil,IF(OR(_xlpm.comb="BEV",P157="Motos",P157="Cuatrimotos",G157=""),"",SUBSTITUTE(FIXED(G157/1000,_xlpm.dec,TRUE),",",".")&amp;"L"),IF(E157="","",UPPER(_xlfn.TEXTJOIN(" ",TRUE,E157,F157,_xlpm.cil,_xlpm.kwh,_xlpm.comb,I157,_xlpm.trans))))</f>
        <v/>
      </c>
      <c r="D157" s="24" t="str" cm="1">
        <f t="array" ref="D157">_xlfn.LET(_xlpm.comb,_xlfn.XLOOKUP(H157,NPF!$A$4:$A$10,NPF!$B$4:$B$10,""),_xlpm.trans,_xlfn.XLOOKUP(J157,NPF!$D$4:$D$7,NPF!$E$4:$E$7,""),_xlpm.orig,NPF!$W$4:$W$33,_xlpm.abr,NPF!$X$4:$X$33,_xlpm.txt,_xlfn.REDUCE(UPPER(TRIM(E157&amp;" "&amp;F157)),_xlfn.SEQUENCE(ROWS(_xlpm.orig)),_xlfn.LAMBDA(_xlpm.a,_xlpm.i,IF(INDEX(_xlpm.orig,_xlpm.i)="",_xlpm.a,SUBSTITUTE(_xlpm.a,UPPER(INDEX(_xlpm.orig,_xlpm.i)),INDEX(_xlpm.abr,_xlpm.i))))),_xlpm.mv,SUBSTITUTE(SUBSTITUTE(SUBSTITUTE(_xlpm.txt,"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157),OR(_xlpm.comb="BEV",_xlpm.comb="PHEV",_xlpm.comb="MHEV")),ROUND(K157,0)&amp;"KWH",""),_xlpm.dec,1,_xlpm.cil,IF(OR(_xlpm.comb="BEV",P157="Motos",P157="Cuatrimotos",G157=""),"",SUBSTITUTE(FIXED(G157/1000,_xlpm.dec,TRUE),",",".")&amp;"L"),_xlpm.modelo,_xlpm.mv&amp;_xlpm.kwh,_xlpm.res,IF(B157="CAMIONES",_xlfn.TEXTJOIN("-",TRUE,_xlpm.modelo,_xlpm.cil,_xlpm.comb,UPPER(I157),_xlpm.trans),IF(B157="VEHICULOS",_xlfn.TEXTJOIN("-",TRUE,_xlpm.modelo,_xlpm.comb,_xlpm.cil,LOWER(I157),_xlpm.trans),"Elija TIPO MATERIAL")),IF(E157="","",_xlpm.res))</f>
        <v/>
      </c>
      <c r="Q157" s="21" t="str">
        <f t="shared" si="8"/>
        <v/>
      </c>
      <c r="R157" s="21" t="str">
        <f t="shared" si="9"/>
        <v/>
      </c>
    </row>
    <row r="158" spans="3:18" x14ac:dyDescent="0.25">
      <c r="C158" s="24" t="str">
        <f>_xlfn.LET(_xlpm.comb,_xlfn.XLOOKUP(H158,NPF!$A$4:$A$10,NPF!$B$4:$B$10,""),_xlpm.trans,_xlfn.XLOOKUP(J158,NPF!$D$4:$D$7,NPF!$E$4:$E$7,""),_xlpm.kwh,IF(AND(ISNUMBER(K158),OR(_xlpm.comb="BEV",_xlpm.comb="PHEV",_xlpm.comb="MHEV")),ROUND(K158,0)&amp;"KWH",""),_xlpm.dec,1,_xlpm.cil,IF(OR(_xlpm.comb="BEV",P158="Motos",P158="Cuatrimotos",G158=""),"",SUBSTITUTE(FIXED(G158/1000,_xlpm.dec,TRUE),",",".")&amp;"L"),IF(E158="","",UPPER(_xlfn.TEXTJOIN(" ",TRUE,E158,F158,_xlpm.cil,_xlpm.kwh,_xlpm.comb,I158,_xlpm.trans))))</f>
        <v/>
      </c>
      <c r="D158" s="24" t="str" cm="1">
        <f t="array" ref="D158">_xlfn.LET(_xlpm.comb,_xlfn.XLOOKUP(H158,NPF!$A$4:$A$10,NPF!$B$4:$B$10,""),_xlpm.trans,_xlfn.XLOOKUP(J158,NPF!$D$4:$D$7,NPF!$E$4:$E$7,""),_xlpm.orig,NPF!$W$4:$W$33,_xlpm.abr,NPF!$X$4:$X$33,_xlpm.txt,_xlfn.REDUCE(UPPER(TRIM(E158&amp;" "&amp;F158)),_xlfn.SEQUENCE(ROWS(_xlpm.orig)),_xlfn.LAMBDA(_xlpm.a,_xlpm.i,IF(INDEX(_xlpm.orig,_xlpm.i)="",_xlpm.a,SUBSTITUTE(_xlpm.a,UPPER(INDEX(_xlpm.orig,_xlpm.i)),INDEX(_xlpm.abr,_xlpm.i))))),_xlpm.mv,SUBSTITUTE(SUBSTITUTE(SUBSTITUTE(_xlpm.txt,"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158),OR(_xlpm.comb="BEV",_xlpm.comb="PHEV",_xlpm.comb="MHEV")),ROUND(K158,0)&amp;"KWH",""),_xlpm.dec,1,_xlpm.cil,IF(OR(_xlpm.comb="BEV",P158="Motos",P158="Cuatrimotos",G158=""),"",SUBSTITUTE(FIXED(G158/1000,_xlpm.dec,TRUE),",",".")&amp;"L"),_xlpm.modelo,_xlpm.mv&amp;_xlpm.kwh,_xlpm.res,IF(B158="CAMIONES",_xlfn.TEXTJOIN("-",TRUE,_xlpm.modelo,_xlpm.cil,_xlpm.comb,UPPER(I158),_xlpm.trans),IF(B158="VEHICULOS",_xlfn.TEXTJOIN("-",TRUE,_xlpm.modelo,_xlpm.comb,_xlpm.cil,LOWER(I158),_xlpm.trans),"Elija TIPO MATERIAL")),IF(E158="","",_xlpm.res))</f>
        <v/>
      </c>
      <c r="Q158" s="21" t="str">
        <f t="shared" si="8"/>
        <v/>
      </c>
      <c r="R158" s="21" t="str">
        <f t="shared" si="9"/>
        <v/>
      </c>
    </row>
    <row r="159" spans="3:18" x14ac:dyDescent="0.25">
      <c r="C159" s="24" t="str">
        <f>_xlfn.LET(_xlpm.comb,_xlfn.XLOOKUP(H159,NPF!$A$4:$A$10,NPF!$B$4:$B$10,""),_xlpm.trans,_xlfn.XLOOKUP(J159,NPF!$D$4:$D$7,NPF!$E$4:$E$7,""),_xlpm.kwh,IF(AND(ISNUMBER(K159),OR(_xlpm.comb="BEV",_xlpm.comb="PHEV",_xlpm.comb="MHEV")),ROUND(K159,0)&amp;"KWH",""),_xlpm.dec,1,_xlpm.cil,IF(OR(_xlpm.comb="BEV",P159="Motos",P159="Cuatrimotos",G159=""),"",SUBSTITUTE(FIXED(G159/1000,_xlpm.dec,TRUE),",",".")&amp;"L"),IF(E159="","",UPPER(_xlfn.TEXTJOIN(" ",TRUE,E159,F159,_xlpm.cil,_xlpm.kwh,_xlpm.comb,I159,_xlpm.trans))))</f>
        <v/>
      </c>
      <c r="D159" s="24" t="str" cm="1">
        <f t="array" ref="D159">_xlfn.LET(_xlpm.comb,_xlfn.XLOOKUP(H159,NPF!$A$4:$A$10,NPF!$B$4:$B$10,""),_xlpm.trans,_xlfn.XLOOKUP(J159,NPF!$D$4:$D$7,NPF!$E$4:$E$7,""),_xlpm.orig,NPF!$W$4:$W$33,_xlpm.abr,NPF!$X$4:$X$33,_xlpm.txt,_xlfn.REDUCE(UPPER(TRIM(E159&amp;" "&amp;F159)),_xlfn.SEQUENCE(ROWS(_xlpm.orig)),_xlfn.LAMBDA(_xlpm.a,_xlpm.i,IF(INDEX(_xlpm.orig,_xlpm.i)="",_xlpm.a,SUBSTITUTE(_xlpm.a,UPPER(INDEX(_xlpm.orig,_xlpm.i)),INDEX(_xlpm.abr,_xlpm.i))))),_xlpm.mv,SUBSTITUTE(SUBSTITUTE(SUBSTITUTE(_xlpm.txt,"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159),OR(_xlpm.comb="BEV",_xlpm.comb="PHEV",_xlpm.comb="MHEV")),ROUND(K159,0)&amp;"KWH",""),_xlpm.dec,1,_xlpm.cil,IF(OR(_xlpm.comb="BEV",P159="Motos",P159="Cuatrimotos",G159=""),"",SUBSTITUTE(FIXED(G159/1000,_xlpm.dec,TRUE),",",".")&amp;"L"),_xlpm.modelo,_xlpm.mv&amp;_xlpm.kwh,_xlpm.res,IF(B159="CAMIONES",_xlfn.TEXTJOIN("-",TRUE,_xlpm.modelo,_xlpm.cil,_xlpm.comb,UPPER(I159),_xlpm.trans),IF(B159="VEHICULOS",_xlfn.TEXTJOIN("-",TRUE,_xlpm.modelo,_xlpm.comb,_xlpm.cil,LOWER(I159),_xlpm.trans),"Elija TIPO MATERIAL")),IF(E159="","",_xlpm.res))</f>
        <v/>
      </c>
      <c r="Q159" s="21" t="str">
        <f t="shared" si="8"/>
        <v/>
      </c>
      <c r="R159" s="21" t="str">
        <f t="shared" si="9"/>
        <v/>
      </c>
    </row>
    <row r="160" spans="3:18" x14ac:dyDescent="0.25">
      <c r="C160" s="24" t="str">
        <f>_xlfn.LET(_xlpm.comb,_xlfn.XLOOKUP(H160,NPF!$A$4:$A$10,NPF!$B$4:$B$10,""),_xlpm.trans,_xlfn.XLOOKUP(J160,NPF!$D$4:$D$7,NPF!$E$4:$E$7,""),_xlpm.kwh,IF(AND(ISNUMBER(K160),OR(_xlpm.comb="BEV",_xlpm.comb="PHEV",_xlpm.comb="MHEV")),ROUND(K160,0)&amp;"KWH",""),_xlpm.dec,1,_xlpm.cil,IF(OR(_xlpm.comb="BEV",P160="Motos",P160="Cuatrimotos",G160=""),"",SUBSTITUTE(FIXED(G160/1000,_xlpm.dec,TRUE),",",".")&amp;"L"),IF(E160="","",UPPER(_xlfn.TEXTJOIN(" ",TRUE,E160,F160,_xlpm.cil,_xlpm.kwh,_xlpm.comb,I160,_xlpm.trans))))</f>
        <v/>
      </c>
      <c r="D160" s="24" t="str" cm="1">
        <f t="array" ref="D160">_xlfn.LET(_xlpm.comb,_xlfn.XLOOKUP(H160,NPF!$A$4:$A$10,NPF!$B$4:$B$10,""),_xlpm.trans,_xlfn.XLOOKUP(J160,NPF!$D$4:$D$7,NPF!$E$4:$E$7,""),_xlpm.orig,NPF!$W$4:$W$33,_xlpm.abr,NPF!$X$4:$X$33,_xlpm.txt,_xlfn.REDUCE(UPPER(TRIM(E160&amp;" "&amp;F160)),_xlfn.SEQUENCE(ROWS(_xlpm.orig)),_xlfn.LAMBDA(_xlpm.a,_xlpm.i,IF(INDEX(_xlpm.orig,_xlpm.i)="",_xlpm.a,SUBSTITUTE(_xlpm.a,UPPER(INDEX(_xlpm.orig,_xlpm.i)),INDEX(_xlpm.abr,_xlpm.i))))),_xlpm.mv,SUBSTITUTE(SUBSTITUTE(SUBSTITUTE(_xlpm.txt,"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160),OR(_xlpm.comb="BEV",_xlpm.comb="PHEV",_xlpm.comb="MHEV")),ROUND(K160,0)&amp;"KWH",""),_xlpm.dec,1,_xlpm.cil,IF(OR(_xlpm.comb="BEV",P160="Motos",P160="Cuatrimotos",G160=""),"",SUBSTITUTE(FIXED(G160/1000,_xlpm.dec,TRUE),",",".")&amp;"L"),_xlpm.modelo,_xlpm.mv&amp;_xlpm.kwh,_xlpm.res,IF(B160="CAMIONES",_xlfn.TEXTJOIN("-",TRUE,_xlpm.modelo,_xlpm.cil,_xlpm.comb,UPPER(I160),_xlpm.trans),IF(B160="VEHICULOS",_xlfn.TEXTJOIN("-",TRUE,_xlpm.modelo,_xlpm.comb,_xlpm.cil,LOWER(I160),_xlpm.trans),"Elija TIPO MATERIAL")),IF(E160="","",_xlpm.res))</f>
        <v/>
      </c>
      <c r="Q160" s="21" t="str">
        <f t="shared" si="8"/>
        <v/>
      </c>
      <c r="R160" s="21" t="str">
        <f t="shared" si="9"/>
        <v/>
      </c>
    </row>
    <row r="161" spans="3:18" x14ac:dyDescent="0.25">
      <c r="C161" s="24" t="str">
        <f>_xlfn.LET(_xlpm.comb,_xlfn.XLOOKUP(H161,NPF!$A$4:$A$10,NPF!$B$4:$B$10,""),_xlpm.trans,_xlfn.XLOOKUP(J161,NPF!$D$4:$D$7,NPF!$E$4:$E$7,""),_xlpm.kwh,IF(AND(ISNUMBER(K161),OR(_xlpm.comb="BEV",_xlpm.comb="PHEV",_xlpm.comb="MHEV")),ROUND(K161,0)&amp;"KWH",""),_xlpm.dec,1,_xlpm.cil,IF(OR(_xlpm.comb="BEV",P161="Motos",P161="Cuatrimotos",G161=""),"",SUBSTITUTE(FIXED(G161/1000,_xlpm.dec,TRUE),",",".")&amp;"L"),IF(E161="","",UPPER(_xlfn.TEXTJOIN(" ",TRUE,E161,F161,_xlpm.cil,_xlpm.kwh,_xlpm.comb,I161,_xlpm.trans))))</f>
        <v/>
      </c>
      <c r="D161" s="24" t="str" cm="1">
        <f t="array" ref="D161">_xlfn.LET(_xlpm.comb,_xlfn.XLOOKUP(H161,NPF!$A$4:$A$10,NPF!$B$4:$B$10,""),_xlpm.trans,_xlfn.XLOOKUP(J161,NPF!$D$4:$D$7,NPF!$E$4:$E$7,""),_xlpm.orig,NPF!$W$4:$W$33,_xlpm.abr,NPF!$X$4:$X$33,_xlpm.txt,_xlfn.REDUCE(UPPER(TRIM(E161&amp;" "&amp;F161)),_xlfn.SEQUENCE(ROWS(_xlpm.orig)),_xlfn.LAMBDA(_xlpm.a,_xlpm.i,IF(INDEX(_xlpm.orig,_xlpm.i)="",_xlpm.a,SUBSTITUTE(_xlpm.a,UPPER(INDEX(_xlpm.orig,_xlpm.i)),INDEX(_xlpm.abr,_xlpm.i))))),_xlpm.mv,SUBSTITUTE(SUBSTITUTE(SUBSTITUTE(_xlpm.txt,"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161),OR(_xlpm.comb="BEV",_xlpm.comb="PHEV",_xlpm.comb="MHEV")),ROUND(K161,0)&amp;"KWH",""),_xlpm.dec,1,_xlpm.cil,IF(OR(_xlpm.comb="BEV",P161="Motos",P161="Cuatrimotos",G161=""),"",SUBSTITUTE(FIXED(G161/1000,_xlpm.dec,TRUE),",",".")&amp;"L"),_xlpm.modelo,_xlpm.mv&amp;_xlpm.kwh,_xlpm.res,IF(B161="CAMIONES",_xlfn.TEXTJOIN("-",TRUE,_xlpm.modelo,_xlpm.cil,_xlpm.comb,UPPER(I161),_xlpm.trans),IF(B161="VEHICULOS",_xlfn.TEXTJOIN("-",TRUE,_xlpm.modelo,_xlpm.comb,_xlpm.cil,LOWER(I161),_xlpm.trans),"Elija TIPO MATERIAL")),IF(E161="","",_xlpm.res))</f>
        <v/>
      </c>
      <c r="Q161" s="21" t="str">
        <f t="shared" si="8"/>
        <v/>
      </c>
      <c r="R161" s="21" t="str">
        <f t="shared" si="9"/>
        <v/>
      </c>
    </row>
    <row r="162" spans="3:18" x14ac:dyDescent="0.25">
      <c r="C162" s="24" t="str">
        <f>_xlfn.LET(_xlpm.comb,_xlfn.XLOOKUP(H162,NPF!$A$4:$A$10,NPF!$B$4:$B$10,""),_xlpm.trans,_xlfn.XLOOKUP(J162,NPF!$D$4:$D$7,NPF!$E$4:$E$7,""),_xlpm.kwh,IF(AND(ISNUMBER(K162),OR(_xlpm.comb="BEV",_xlpm.comb="PHEV",_xlpm.comb="MHEV")),ROUND(K162,0)&amp;"KWH",""),_xlpm.dec,1,_xlpm.cil,IF(OR(_xlpm.comb="BEV",P162="Motos",P162="Cuatrimotos",G162=""),"",SUBSTITUTE(FIXED(G162/1000,_xlpm.dec,TRUE),",",".")&amp;"L"),IF(E162="","",UPPER(_xlfn.TEXTJOIN(" ",TRUE,E162,F162,_xlpm.cil,_xlpm.kwh,_xlpm.comb,I162,_xlpm.trans))))</f>
        <v/>
      </c>
      <c r="D162" s="24" t="str" cm="1">
        <f t="array" ref="D162">_xlfn.LET(_xlpm.comb,_xlfn.XLOOKUP(H162,NPF!$A$4:$A$10,NPF!$B$4:$B$10,""),_xlpm.trans,_xlfn.XLOOKUP(J162,NPF!$D$4:$D$7,NPF!$E$4:$E$7,""),_xlpm.orig,NPF!$W$4:$W$33,_xlpm.abr,NPF!$X$4:$X$33,_xlpm.txt,_xlfn.REDUCE(UPPER(TRIM(E162&amp;" "&amp;F162)),_xlfn.SEQUENCE(ROWS(_xlpm.orig)),_xlfn.LAMBDA(_xlpm.a,_xlpm.i,IF(INDEX(_xlpm.orig,_xlpm.i)="",_xlpm.a,SUBSTITUTE(_xlpm.a,UPPER(INDEX(_xlpm.orig,_xlpm.i)),INDEX(_xlpm.abr,_xlpm.i))))),_xlpm.mv,SUBSTITUTE(SUBSTITUTE(SUBSTITUTE(_xlpm.txt,"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162),OR(_xlpm.comb="BEV",_xlpm.comb="PHEV",_xlpm.comb="MHEV")),ROUND(K162,0)&amp;"KWH",""),_xlpm.dec,1,_xlpm.cil,IF(OR(_xlpm.comb="BEV",P162="Motos",P162="Cuatrimotos",G162=""),"",SUBSTITUTE(FIXED(G162/1000,_xlpm.dec,TRUE),",",".")&amp;"L"),_xlpm.modelo,_xlpm.mv&amp;_xlpm.kwh,_xlpm.res,IF(B162="CAMIONES",_xlfn.TEXTJOIN("-",TRUE,_xlpm.modelo,_xlpm.cil,_xlpm.comb,UPPER(I162),_xlpm.trans),IF(B162="VEHICULOS",_xlfn.TEXTJOIN("-",TRUE,_xlpm.modelo,_xlpm.comb,_xlpm.cil,LOWER(I162),_xlpm.trans),"Elija TIPO MATERIAL")),IF(E162="","",_xlpm.res))</f>
        <v/>
      </c>
      <c r="Q162" s="21" t="str">
        <f t="shared" ref="Q162:Q193" si="10">IF(C162="","",LEN(C162))</f>
        <v/>
      </c>
      <c r="R162" s="21" t="str">
        <f t="shared" ref="R162:R193" si="11">IF(D162="","",LEN(D162))</f>
        <v/>
      </c>
    </row>
    <row r="163" spans="3:18" x14ac:dyDescent="0.25">
      <c r="C163" s="24" t="str">
        <f>_xlfn.LET(_xlpm.comb,_xlfn.XLOOKUP(H163,NPF!$A$4:$A$10,NPF!$B$4:$B$10,""),_xlpm.trans,_xlfn.XLOOKUP(J163,NPF!$D$4:$D$7,NPF!$E$4:$E$7,""),_xlpm.kwh,IF(AND(ISNUMBER(K163),OR(_xlpm.comb="BEV",_xlpm.comb="PHEV",_xlpm.comb="MHEV")),ROUND(K163,0)&amp;"KWH",""),_xlpm.dec,1,_xlpm.cil,IF(OR(_xlpm.comb="BEV",P163="Motos",P163="Cuatrimotos",G163=""),"",SUBSTITUTE(FIXED(G163/1000,_xlpm.dec,TRUE),",",".")&amp;"L"),IF(E163="","",UPPER(_xlfn.TEXTJOIN(" ",TRUE,E163,F163,_xlpm.cil,_xlpm.kwh,_xlpm.comb,I163,_xlpm.trans))))</f>
        <v/>
      </c>
      <c r="D163" s="24" t="str" cm="1">
        <f t="array" ref="D163">_xlfn.LET(_xlpm.comb,_xlfn.XLOOKUP(H163,NPF!$A$4:$A$10,NPF!$B$4:$B$10,""),_xlpm.trans,_xlfn.XLOOKUP(J163,NPF!$D$4:$D$7,NPF!$E$4:$E$7,""),_xlpm.orig,NPF!$W$4:$W$33,_xlpm.abr,NPF!$X$4:$X$33,_xlpm.txt,_xlfn.REDUCE(UPPER(TRIM(E163&amp;" "&amp;F163)),_xlfn.SEQUENCE(ROWS(_xlpm.orig)),_xlfn.LAMBDA(_xlpm.a,_xlpm.i,IF(INDEX(_xlpm.orig,_xlpm.i)="",_xlpm.a,SUBSTITUTE(_xlpm.a,UPPER(INDEX(_xlpm.orig,_xlpm.i)),INDEX(_xlpm.abr,_xlpm.i))))),_xlpm.mv,SUBSTITUTE(SUBSTITUTE(SUBSTITUTE(_xlpm.txt,"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163),OR(_xlpm.comb="BEV",_xlpm.comb="PHEV",_xlpm.comb="MHEV")),ROUND(K163,0)&amp;"KWH",""),_xlpm.dec,1,_xlpm.cil,IF(OR(_xlpm.comb="BEV",P163="Motos",P163="Cuatrimotos",G163=""),"",SUBSTITUTE(FIXED(G163/1000,_xlpm.dec,TRUE),",",".")&amp;"L"),_xlpm.modelo,_xlpm.mv&amp;_xlpm.kwh,_xlpm.res,IF(B163="CAMIONES",_xlfn.TEXTJOIN("-",TRUE,_xlpm.modelo,_xlpm.cil,_xlpm.comb,UPPER(I163),_xlpm.trans),IF(B163="VEHICULOS",_xlfn.TEXTJOIN("-",TRUE,_xlpm.modelo,_xlpm.comb,_xlpm.cil,LOWER(I163),_xlpm.trans),"Elija TIPO MATERIAL")),IF(E163="","",_xlpm.res))</f>
        <v/>
      </c>
      <c r="Q163" s="21" t="str">
        <f t="shared" si="10"/>
        <v/>
      </c>
      <c r="R163" s="21" t="str">
        <f t="shared" si="11"/>
        <v/>
      </c>
    </row>
    <row r="164" spans="3:18" x14ac:dyDescent="0.25">
      <c r="C164" s="24" t="str">
        <f>_xlfn.LET(_xlpm.comb,_xlfn.XLOOKUP(H164,NPF!$A$4:$A$10,NPF!$B$4:$B$10,""),_xlpm.trans,_xlfn.XLOOKUP(J164,NPF!$D$4:$D$7,NPF!$E$4:$E$7,""),_xlpm.kwh,IF(AND(ISNUMBER(K164),OR(_xlpm.comb="BEV",_xlpm.comb="PHEV",_xlpm.comb="MHEV")),ROUND(K164,0)&amp;"KWH",""),_xlpm.dec,1,_xlpm.cil,IF(OR(_xlpm.comb="BEV",P164="Motos",P164="Cuatrimotos",G164=""),"",SUBSTITUTE(FIXED(G164/1000,_xlpm.dec,TRUE),",",".")&amp;"L"),IF(E164="","",UPPER(_xlfn.TEXTJOIN(" ",TRUE,E164,F164,_xlpm.cil,_xlpm.kwh,_xlpm.comb,I164,_xlpm.trans))))</f>
        <v/>
      </c>
      <c r="D164" s="24" t="str" cm="1">
        <f t="array" ref="D164">_xlfn.LET(_xlpm.comb,_xlfn.XLOOKUP(H164,NPF!$A$4:$A$10,NPF!$B$4:$B$10,""),_xlpm.trans,_xlfn.XLOOKUP(J164,NPF!$D$4:$D$7,NPF!$E$4:$E$7,""),_xlpm.orig,NPF!$W$4:$W$33,_xlpm.abr,NPF!$X$4:$X$33,_xlpm.txt,_xlfn.REDUCE(UPPER(TRIM(E164&amp;" "&amp;F164)),_xlfn.SEQUENCE(ROWS(_xlpm.orig)),_xlfn.LAMBDA(_xlpm.a,_xlpm.i,IF(INDEX(_xlpm.orig,_xlpm.i)="",_xlpm.a,SUBSTITUTE(_xlpm.a,UPPER(INDEX(_xlpm.orig,_xlpm.i)),INDEX(_xlpm.abr,_xlpm.i))))),_xlpm.mv,SUBSTITUTE(SUBSTITUTE(SUBSTITUTE(_xlpm.txt,"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164),OR(_xlpm.comb="BEV",_xlpm.comb="PHEV",_xlpm.comb="MHEV")),ROUND(K164,0)&amp;"KWH",""),_xlpm.dec,1,_xlpm.cil,IF(OR(_xlpm.comb="BEV",P164="Motos",P164="Cuatrimotos",G164=""),"",SUBSTITUTE(FIXED(G164/1000,_xlpm.dec,TRUE),",",".")&amp;"L"),_xlpm.modelo,_xlpm.mv&amp;_xlpm.kwh,_xlpm.res,IF(B164="CAMIONES",_xlfn.TEXTJOIN("-",TRUE,_xlpm.modelo,_xlpm.cil,_xlpm.comb,UPPER(I164),_xlpm.trans),IF(B164="VEHICULOS",_xlfn.TEXTJOIN("-",TRUE,_xlpm.modelo,_xlpm.comb,_xlpm.cil,LOWER(I164),_xlpm.trans),"Elija TIPO MATERIAL")),IF(E164="","",_xlpm.res))</f>
        <v/>
      </c>
      <c r="Q164" s="21" t="str">
        <f t="shared" si="10"/>
        <v/>
      </c>
      <c r="R164" s="21" t="str">
        <f t="shared" si="11"/>
        <v/>
      </c>
    </row>
    <row r="165" spans="3:18" x14ac:dyDescent="0.25">
      <c r="C165" s="24" t="str">
        <f>_xlfn.LET(_xlpm.comb,_xlfn.XLOOKUP(H165,NPF!$A$4:$A$10,NPF!$B$4:$B$10,""),_xlpm.trans,_xlfn.XLOOKUP(J165,NPF!$D$4:$D$7,NPF!$E$4:$E$7,""),_xlpm.kwh,IF(AND(ISNUMBER(K165),OR(_xlpm.comb="BEV",_xlpm.comb="PHEV",_xlpm.comb="MHEV")),ROUND(K165,0)&amp;"KWH",""),_xlpm.dec,1,_xlpm.cil,IF(OR(_xlpm.comb="BEV",P165="Motos",P165="Cuatrimotos",G165=""),"",SUBSTITUTE(FIXED(G165/1000,_xlpm.dec,TRUE),",",".")&amp;"L"),IF(E165="","",UPPER(_xlfn.TEXTJOIN(" ",TRUE,E165,F165,_xlpm.cil,_xlpm.kwh,_xlpm.comb,I165,_xlpm.trans))))</f>
        <v/>
      </c>
      <c r="D165" s="24" t="str" cm="1">
        <f t="array" ref="D165">_xlfn.LET(_xlpm.comb,_xlfn.XLOOKUP(H165,NPF!$A$4:$A$10,NPF!$B$4:$B$10,""),_xlpm.trans,_xlfn.XLOOKUP(J165,NPF!$D$4:$D$7,NPF!$E$4:$E$7,""),_xlpm.orig,NPF!$W$4:$W$33,_xlpm.abr,NPF!$X$4:$X$33,_xlpm.txt,_xlfn.REDUCE(UPPER(TRIM(E165&amp;" "&amp;F165)),_xlfn.SEQUENCE(ROWS(_xlpm.orig)),_xlfn.LAMBDA(_xlpm.a,_xlpm.i,IF(INDEX(_xlpm.orig,_xlpm.i)="",_xlpm.a,SUBSTITUTE(_xlpm.a,UPPER(INDEX(_xlpm.orig,_xlpm.i)),INDEX(_xlpm.abr,_xlpm.i))))),_xlpm.mv,SUBSTITUTE(SUBSTITUTE(SUBSTITUTE(_xlpm.txt,"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165),OR(_xlpm.comb="BEV",_xlpm.comb="PHEV",_xlpm.comb="MHEV")),ROUND(K165,0)&amp;"KWH",""),_xlpm.dec,1,_xlpm.cil,IF(OR(_xlpm.comb="BEV",P165="Motos",P165="Cuatrimotos",G165=""),"",SUBSTITUTE(FIXED(G165/1000,_xlpm.dec,TRUE),",",".")&amp;"L"),_xlpm.modelo,_xlpm.mv&amp;_xlpm.kwh,_xlpm.res,IF(B165="CAMIONES",_xlfn.TEXTJOIN("-",TRUE,_xlpm.modelo,_xlpm.cil,_xlpm.comb,UPPER(I165),_xlpm.trans),IF(B165="VEHICULOS",_xlfn.TEXTJOIN("-",TRUE,_xlpm.modelo,_xlpm.comb,_xlpm.cil,LOWER(I165),_xlpm.trans),"Elija TIPO MATERIAL")),IF(E165="","",_xlpm.res))</f>
        <v/>
      </c>
      <c r="Q165" s="21" t="str">
        <f t="shared" si="10"/>
        <v/>
      </c>
      <c r="R165" s="21" t="str">
        <f t="shared" si="11"/>
        <v/>
      </c>
    </row>
    <row r="166" spans="3:18" x14ac:dyDescent="0.25">
      <c r="C166" s="24" t="str">
        <f>_xlfn.LET(_xlpm.comb,_xlfn.XLOOKUP(H166,NPF!$A$4:$A$10,NPF!$B$4:$B$10,""),_xlpm.trans,_xlfn.XLOOKUP(J166,NPF!$D$4:$D$7,NPF!$E$4:$E$7,""),_xlpm.kwh,IF(AND(ISNUMBER(K166),OR(_xlpm.comb="BEV",_xlpm.comb="PHEV",_xlpm.comb="MHEV")),ROUND(K166,0)&amp;"KWH",""),_xlpm.dec,1,_xlpm.cil,IF(OR(_xlpm.comb="BEV",P166="Motos",P166="Cuatrimotos",G166=""),"",SUBSTITUTE(FIXED(G166/1000,_xlpm.dec,TRUE),",",".")&amp;"L"),IF(E166="","",UPPER(_xlfn.TEXTJOIN(" ",TRUE,E166,F166,_xlpm.cil,_xlpm.kwh,_xlpm.comb,I166,_xlpm.trans))))</f>
        <v/>
      </c>
      <c r="D166" s="24" t="str" cm="1">
        <f t="array" ref="D166">_xlfn.LET(_xlpm.comb,_xlfn.XLOOKUP(H166,NPF!$A$4:$A$10,NPF!$B$4:$B$10,""),_xlpm.trans,_xlfn.XLOOKUP(J166,NPF!$D$4:$D$7,NPF!$E$4:$E$7,""),_xlpm.orig,NPF!$W$4:$W$33,_xlpm.abr,NPF!$X$4:$X$33,_xlpm.txt,_xlfn.REDUCE(UPPER(TRIM(E166&amp;" "&amp;F166)),_xlfn.SEQUENCE(ROWS(_xlpm.orig)),_xlfn.LAMBDA(_xlpm.a,_xlpm.i,IF(INDEX(_xlpm.orig,_xlpm.i)="",_xlpm.a,SUBSTITUTE(_xlpm.a,UPPER(INDEX(_xlpm.orig,_xlpm.i)),INDEX(_xlpm.abr,_xlpm.i))))),_xlpm.mv,SUBSTITUTE(SUBSTITUTE(SUBSTITUTE(_xlpm.txt,"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166),OR(_xlpm.comb="BEV",_xlpm.comb="PHEV",_xlpm.comb="MHEV")),ROUND(K166,0)&amp;"KWH",""),_xlpm.dec,1,_xlpm.cil,IF(OR(_xlpm.comb="BEV",P166="Motos",P166="Cuatrimotos",G166=""),"",SUBSTITUTE(FIXED(G166/1000,_xlpm.dec,TRUE),",",".")&amp;"L"),_xlpm.modelo,_xlpm.mv&amp;_xlpm.kwh,_xlpm.res,IF(B166="CAMIONES",_xlfn.TEXTJOIN("-",TRUE,_xlpm.modelo,_xlpm.cil,_xlpm.comb,UPPER(I166),_xlpm.trans),IF(B166="VEHICULOS",_xlfn.TEXTJOIN("-",TRUE,_xlpm.modelo,_xlpm.comb,_xlpm.cil,LOWER(I166),_xlpm.trans),"Elija TIPO MATERIAL")),IF(E166="","",_xlpm.res))</f>
        <v/>
      </c>
      <c r="Q166" s="21" t="str">
        <f t="shared" si="10"/>
        <v/>
      </c>
      <c r="R166" s="21" t="str">
        <f t="shared" si="11"/>
        <v/>
      </c>
    </row>
    <row r="167" spans="3:18" x14ac:dyDescent="0.25">
      <c r="C167" s="24" t="str">
        <f>_xlfn.LET(_xlpm.comb,_xlfn.XLOOKUP(H167,NPF!$A$4:$A$10,NPF!$B$4:$B$10,""),_xlpm.trans,_xlfn.XLOOKUP(J167,NPF!$D$4:$D$7,NPF!$E$4:$E$7,""),_xlpm.kwh,IF(AND(ISNUMBER(K167),OR(_xlpm.comb="BEV",_xlpm.comb="PHEV",_xlpm.comb="MHEV")),ROUND(K167,0)&amp;"KWH",""),_xlpm.dec,1,_xlpm.cil,IF(OR(_xlpm.comb="BEV",P167="Motos",P167="Cuatrimotos",G167=""),"",SUBSTITUTE(FIXED(G167/1000,_xlpm.dec,TRUE),",",".")&amp;"L"),IF(E167="","",UPPER(_xlfn.TEXTJOIN(" ",TRUE,E167,F167,_xlpm.cil,_xlpm.kwh,_xlpm.comb,I167,_xlpm.trans))))</f>
        <v/>
      </c>
      <c r="D167" s="24" t="str" cm="1">
        <f t="array" ref="D167">_xlfn.LET(_xlpm.comb,_xlfn.XLOOKUP(H167,NPF!$A$4:$A$10,NPF!$B$4:$B$10,""),_xlpm.trans,_xlfn.XLOOKUP(J167,NPF!$D$4:$D$7,NPF!$E$4:$E$7,""),_xlpm.orig,NPF!$W$4:$W$33,_xlpm.abr,NPF!$X$4:$X$33,_xlpm.txt,_xlfn.REDUCE(UPPER(TRIM(E167&amp;" "&amp;F167)),_xlfn.SEQUENCE(ROWS(_xlpm.orig)),_xlfn.LAMBDA(_xlpm.a,_xlpm.i,IF(INDEX(_xlpm.orig,_xlpm.i)="",_xlpm.a,SUBSTITUTE(_xlpm.a,UPPER(INDEX(_xlpm.orig,_xlpm.i)),INDEX(_xlpm.abr,_xlpm.i))))),_xlpm.mv,SUBSTITUTE(SUBSTITUTE(SUBSTITUTE(_xlpm.txt,"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167),OR(_xlpm.comb="BEV",_xlpm.comb="PHEV",_xlpm.comb="MHEV")),ROUND(K167,0)&amp;"KWH",""),_xlpm.dec,1,_xlpm.cil,IF(OR(_xlpm.comb="BEV",P167="Motos",P167="Cuatrimotos",G167=""),"",SUBSTITUTE(FIXED(G167/1000,_xlpm.dec,TRUE),",",".")&amp;"L"),_xlpm.modelo,_xlpm.mv&amp;_xlpm.kwh,_xlpm.res,IF(B167="CAMIONES",_xlfn.TEXTJOIN("-",TRUE,_xlpm.modelo,_xlpm.cil,_xlpm.comb,UPPER(I167),_xlpm.trans),IF(B167="VEHICULOS",_xlfn.TEXTJOIN("-",TRUE,_xlpm.modelo,_xlpm.comb,_xlpm.cil,LOWER(I167),_xlpm.trans),"Elija TIPO MATERIAL")),IF(E167="","",_xlpm.res))</f>
        <v/>
      </c>
      <c r="Q167" s="21" t="str">
        <f t="shared" si="10"/>
        <v/>
      </c>
      <c r="R167" s="21" t="str">
        <f t="shared" si="11"/>
        <v/>
      </c>
    </row>
    <row r="168" spans="3:18" x14ac:dyDescent="0.25">
      <c r="C168" s="24" t="str">
        <f>_xlfn.LET(_xlpm.comb,_xlfn.XLOOKUP(H168,NPF!$A$4:$A$10,NPF!$B$4:$B$10,""),_xlpm.trans,_xlfn.XLOOKUP(J168,NPF!$D$4:$D$7,NPF!$E$4:$E$7,""),_xlpm.kwh,IF(AND(ISNUMBER(K168),OR(_xlpm.comb="BEV",_xlpm.comb="PHEV",_xlpm.comb="MHEV")),ROUND(K168,0)&amp;"KWH",""),_xlpm.dec,1,_xlpm.cil,IF(OR(_xlpm.comb="BEV",P168="Motos",P168="Cuatrimotos",G168=""),"",SUBSTITUTE(FIXED(G168/1000,_xlpm.dec,TRUE),",",".")&amp;"L"),IF(E168="","",UPPER(_xlfn.TEXTJOIN(" ",TRUE,E168,F168,_xlpm.cil,_xlpm.kwh,_xlpm.comb,I168,_xlpm.trans))))</f>
        <v/>
      </c>
      <c r="D168" s="24" t="str" cm="1">
        <f t="array" ref="D168">_xlfn.LET(_xlpm.comb,_xlfn.XLOOKUP(H168,NPF!$A$4:$A$10,NPF!$B$4:$B$10,""),_xlpm.trans,_xlfn.XLOOKUP(J168,NPF!$D$4:$D$7,NPF!$E$4:$E$7,""),_xlpm.orig,NPF!$W$4:$W$33,_xlpm.abr,NPF!$X$4:$X$33,_xlpm.txt,_xlfn.REDUCE(UPPER(TRIM(E168&amp;" "&amp;F168)),_xlfn.SEQUENCE(ROWS(_xlpm.orig)),_xlfn.LAMBDA(_xlpm.a,_xlpm.i,IF(INDEX(_xlpm.orig,_xlpm.i)="",_xlpm.a,SUBSTITUTE(_xlpm.a,UPPER(INDEX(_xlpm.orig,_xlpm.i)),INDEX(_xlpm.abr,_xlpm.i))))),_xlpm.mv,SUBSTITUTE(SUBSTITUTE(SUBSTITUTE(_xlpm.txt,"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168),OR(_xlpm.comb="BEV",_xlpm.comb="PHEV",_xlpm.comb="MHEV")),ROUND(K168,0)&amp;"KWH",""),_xlpm.dec,1,_xlpm.cil,IF(OR(_xlpm.comb="BEV",P168="Motos",P168="Cuatrimotos",G168=""),"",SUBSTITUTE(FIXED(G168/1000,_xlpm.dec,TRUE),",",".")&amp;"L"),_xlpm.modelo,_xlpm.mv&amp;_xlpm.kwh,_xlpm.res,IF(B168="CAMIONES",_xlfn.TEXTJOIN("-",TRUE,_xlpm.modelo,_xlpm.cil,_xlpm.comb,UPPER(I168),_xlpm.trans),IF(B168="VEHICULOS",_xlfn.TEXTJOIN("-",TRUE,_xlpm.modelo,_xlpm.comb,_xlpm.cil,LOWER(I168),_xlpm.trans),"Elija TIPO MATERIAL")),IF(E168="","",_xlpm.res))</f>
        <v/>
      </c>
      <c r="Q168" s="21" t="str">
        <f t="shared" si="10"/>
        <v/>
      </c>
      <c r="R168" s="21" t="str">
        <f t="shared" si="11"/>
        <v/>
      </c>
    </row>
    <row r="169" spans="3:18" x14ac:dyDescent="0.25">
      <c r="C169" s="24" t="str">
        <f>_xlfn.LET(_xlpm.comb,_xlfn.XLOOKUP(H169,NPF!$A$4:$A$10,NPF!$B$4:$B$10,""),_xlpm.trans,_xlfn.XLOOKUP(J169,NPF!$D$4:$D$7,NPF!$E$4:$E$7,""),_xlpm.kwh,IF(AND(ISNUMBER(K169),OR(_xlpm.comb="BEV",_xlpm.comb="PHEV",_xlpm.comb="MHEV")),ROUND(K169,0)&amp;"KWH",""),_xlpm.dec,1,_xlpm.cil,IF(OR(_xlpm.comb="BEV",P169="Motos",P169="Cuatrimotos",G169=""),"",SUBSTITUTE(FIXED(G169/1000,_xlpm.dec,TRUE),",",".")&amp;"L"),IF(E169="","",UPPER(_xlfn.TEXTJOIN(" ",TRUE,E169,F169,_xlpm.cil,_xlpm.kwh,_xlpm.comb,I169,_xlpm.trans))))</f>
        <v/>
      </c>
      <c r="D169" s="24" t="str" cm="1">
        <f t="array" ref="D169">_xlfn.LET(_xlpm.comb,_xlfn.XLOOKUP(H169,NPF!$A$4:$A$10,NPF!$B$4:$B$10,""),_xlpm.trans,_xlfn.XLOOKUP(J169,NPF!$D$4:$D$7,NPF!$E$4:$E$7,""),_xlpm.orig,NPF!$W$4:$W$33,_xlpm.abr,NPF!$X$4:$X$33,_xlpm.txt,_xlfn.REDUCE(UPPER(TRIM(E169&amp;" "&amp;F169)),_xlfn.SEQUENCE(ROWS(_xlpm.orig)),_xlfn.LAMBDA(_xlpm.a,_xlpm.i,IF(INDEX(_xlpm.orig,_xlpm.i)="",_xlpm.a,SUBSTITUTE(_xlpm.a,UPPER(INDEX(_xlpm.orig,_xlpm.i)),INDEX(_xlpm.abr,_xlpm.i))))),_xlpm.mv,SUBSTITUTE(SUBSTITUTE(SUBSTITUTE(_xlpm.txt,"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169),OR(_xlpm.comb="BEV",_xlpm.comb="PHEV",_xlpm.comb="MHEV")),ROUND(K169,0)&amp;"KWH",""),_xlpm.dec,1,_xlpm.cil,IF(OR(_xlpm.comb="BEV",P169="Motos",P169="Cuatrimotos",G169=""),"",SUBSTITUTE(FIXED(G169/1000,_xlpm.dec,TRUE),",",".")&amp;"L"),_xlpm.modelo,_xlpm.mv&amp;_xlpm.kwh,_xlpm.res,IF(B169="CAMIONES",_xlfn.TEXTJOIN("-",TRUE,_xlpm.modelo,_xlpm.cil,_xlpm.comb,UPPER(I169),_xlpm.trans),IF(B169="VEHICULOS",_xlfn.TEXTJOIN("-",TRUE,_xlpm.modelo,_xlpm.comb,_xlpm.cil,LOWER(I169),_xlpm.trans),"Elija TIPO MATERIAL")),IF(E169="","",_xlpm.res))</f>
        <v/>
      </c>
      <c r="Q169" s="21" t="str">
        <f t="shared" si="10"/>
        <v/>
      </c>
      <c r="R169" s="21" t="str">
        <f t="shared" si="11"/>
        <v/>
      </c>
    </row>
    <row r="170" spans="3:18" x14ac:dyDescent="0.25">
      <c r="C170" s="24" t="str">
        <f>_xlfn.LET(_xlpm.comb,_xlfn.XLOOKUP(H170,NPF!$A$4:$A$10,NPF!$B$4:$B$10,""),_xlpm.trans,_xlfn.XLOOKUP(J170,NPF!$D$4:$D$7,NPF!$E$4:$E$7,""),_xlpm.kwh,IF(AND(ISNUMBER(K170),OR(_xlpm.comb="BEV",_xlpm.comb="PHEV",_xlpm.comb="MHEV")),ROUND(K170,0)&amp;"KWH",""),_xlpm.dec,1,_xlpm.cil,IF(OR(_xlpm.comb="BEV",P170="Motos",P170="Cuatrimotos",G170=""),"",SUBSTITUTE(FIXED(G170/1000,_xlpm.dec,TRUE),",",".")&amp;"L"),IF(E170="","",UPPER(_xlfn.TEXTJOIN(" ",TRUE,E170,F170,_xlpm.cil,_xlpm.kwh,_xlpm.comb,I170,_xlpm.trans))))</f>
        <v/>
      </c>
      <c r="D170" s="24" t="str" cm="1">
        <f t="array" ref="D170">_xlfn.LET(_xlpm.comb,_xlfn.XLOOKUP(H170,NPF!$A$4:$A$10,NPF!$B$4:$B$10,""),_xlpm.trans,_xlfn.XLOOKUP(J170,NPF!$D$4:$D$7,NPF!$E$4:$E$7,""),_xlpm.orig,NPF!$W$4:$W$33,_xlpm.abr,NPF!$X$4:$X$33,_xlpm.txt,_xlfn.REDUCE(UPPER(TRIM(E170&amp;" "&amp;F170)),_xlfn.SEQUENCE(ROWS(_xlpm.orig)),_xlfn.LAMBDA(_xlpm.a,_xlpm.i,IF(INDEX(_xlpm.orig,_xlpm.i)="",_xlpm.a,SUBSTITUTE(_xlpm.a,UPPER(INDEX(_xlpm.orig,_xlpm.i)),INDEX(_xlpm.abr,_xlpm.i))))),_xlpm.mv,SUBSTITUTE(SUBSTITUTE(SUBSTITUTE(_xlpm.txt,"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170),OR(_xlpm.comb="BEV",_xlpm.comb="PHEV",_xlpm.comb="MHEV")),ROUND(K170,0)&amp;"KWH",""),_xlpm.dec,1,_xlpm.cil,IF(OR(_xlpm.comb="BEV",P170="Motos",P170="Cuatrimotos",G170=""),"",SUBSTITUTE(FIXED(G170/1000,_xlpm.dec,TRUE),",",".")&amp;"L"),_xlpm.modelo,_xlpm.mv&amp;_xlpm.kwh,_xlpm.res,IF(B170="CAMIONES",_xlfn.TEXTJOIN("-",TRUE,_xlpm.modelo,_xlpm.cil,_xlpm.comb,UPPER(I170),_xlpm.trans),IF(B170="VEHICULOS",_xlfn.TEXTJOIN("-",TRUE,_xlpm.modelo,_xlpm.comb,_xlpm.cil,LOWER(I170),_xlpm.trans),"Elija TIPO MATERIAL")),IF(E170="","",_xlpm.res))</f>
        <v/>
      </c>
      <c r="Q170" s="21" t="str">
        <f t="shared" si="10"/>
        <v/>
      </c>
      <c r="R170" s="21" t="str">
        <f t="shared" si="11"/>
        <v/>
      </c>
    </row>
    <row r="171" spans="3:18" x14ac:dyDescent="0.25">
      <c r="C171" s="24" t="str">
        <f>_xlfn.LET(_xlpm.comb,_xlfn.XLOOKUP(H171,NPF!$A$4:$A$10,NPF!$B$4:$B$10,""),_xlpm.trans,_xlfn.XLOOKUP(J171,NPF!$D$4:$D$7,NPF!$E$4:$E$7,""),_xlpm.kwh,IF(AND(ISNUMBER(K171),OR(_xlpm.comb="BEV",_xlpm.comb="PHEV",_xlpm.comb="MHEV")),ROUND(K171,0)&amp;"KWH",""),_xlpm.dec,1,_xlpm.cil,IF(OR(_xlpm.comb="BEV",P171="Motos",P171="Cuatrimotos",G171=""),"",SUBSTITUTE(FIXED(G171/1000,_xlpm.dec,TRUE),",",".")&amp;"L"),IF(E171="","",UPPER(_xlfn.TEXTJOIN(" ",TRUE,E171,F171,_xlpm.cil,_xlpm.kwh,_xlpm.comb,I171,_xlpm.trans))))</f>
        <v/>
      </c>
      <c r="D171" s="24" t="str" cm="1">
        <f t="array" ref="D171">_xlfn.LET(_xlpm.comb,_xlfn.XLOOKUP(H171,NPF!$A$4:$A$10,NPF!$B$4:$B$10,""),_xlpm.trans,_xlfn.XLOOKUP(J171,NPF!$D$4:$D$7,NPF!$E$4:$E$7,""),_xlpm.orig,NPF!$W$4:$W$33,_xlpm.abr,NPF!$X$4:$X$33,_xlpm.txt,_xlfn.REDUCE(UPPER(TRIM(E171&amp;" "&amp;F171)),_xlfn.SEQUENCE(ROWS(_xlpm.orig)),_xlfn.LAMBDA(_xlpm.a,_xlpm.i,IF(INDEX(_xlpm.orig,_xlpm.i)="",_xlpm.a,SUBSTITUTE(_xlpm.a,UPPER(INDEX(_xlpm.orig,_xlpm.i)),INDEX(_xlpm.abr,_xlpm.i))))),_xlpm.mv,SUBSTITUTE(SUBSTITUTE(SUBSTITUTE(_xlpm.txt,"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171),OR(_xlpm.comb="BEV",_xlpm.comb="PHEV",_xlpm.comb="MHEV")),ROUND(K171,0)&amp;"KWH",""),_xlpm.dec,1,_xlpm.cil,IF(OR(_xlpm.comb="BEV",P171="Motos",P171="Cuatrimotos",G171=""),"",SUBSTITUTE(FIXED(G171/1000,_xlpm.dec,TRUE),",",".")&amp;"L"),_xlpm.modelo,_xlpm.mv&amp;_xlpm.kwh,_xlpm.res,IF(B171="CAMIONES",_xlfn.TEXTJOIN("-",TRUE,_xlpm.modelo,_xlpm.cil,_xlpm.comb,UPPER(I171),_xlpm.trans),IF(B171="VEHICULOS",_xlfn.TEXTJOIN("-",TRUE,_xlpm.modelo,_xlpm.comb,_xlpm.cil,LOWER(I171),_xlpm.trans),"Elija TIPO MATERIAL")),IF(E171="","",_xlpm.res))</f>
        <v/>
      </c>
      <c r="Q171" s="21" t="str">
        <f t="shared" si="10"/>
        <v/>
      </c>
      <c r="R171" s="21" t="str">
        <f t="shared" si="11"/>
        <v/>
      </c>
    </row>
    <row r="172" spans="3:18" x14ac:dyDescent="0.25">
      <c r="C172" s="24" t="str">
        <f>_xlfn.LET(_xlpm.comb,_xlfn.XLOOKUP(H172,NPF!$A$4:$A$10,NPF!$B$4:$B$10,""),_xlpm.trans,_xlfn.XLOOKUP(J172,NPF!$D$4:$D$7,NPF!$E$4:$E$7,""),_xlpm.kwh,IF(AND(ISNUMBER(K172),OR(_xlpm.comb="BEV",_xlpm.comb="PHEV",_xlpm.comb="MHEV")),ROUND(K172,0)&amp;"KWH",""),_xlpm.dec,1,_xlpm.cil,IF(OR(_xlpm.comb="BEV",P172="Motos",P172="Cuatrimotos",G172=""),"",SUBSTITUTE(FIXED(G172/1000,_xlpm.dec,TRUE),",",".")&amp;"L"),IF(E172="","",UPPER(_xlfn.TEXTJOIN(" ",TRUE,E172,F172,_xlpm.cil,_xlpm.kwh,_xlpm.comb,I172,_xlpm.trans))))</f>
        <v/>
      </c>
      <c r="D172" s="24" t="str" cm="1">
        <f t="array" ref="D172">_xlfn.LET(_xlpm.comb,_xlfn.XLOOKUP(H172,NPF!$A$4:$A$10,NPF!$B$4:$B$10,""),_xlpm.trans,_xlfn.XLOOKUP(J172,NPF!$D$4:$D$7,NPF!$E$4:$E$7,""),_xlpm.orig,NPF!$W$4:$W$33,_xlpm.abr,NPF!$X$4:$X$33,_xlpm.txt,_xlfn.REDUCE(UPPER(TRIM(E172&amp;" "&amp;F172)),_xlfn.SEQUENCE(ROWS(_xlpm.orig)),_xlfn.LAMBDA(_xlpm.a,_xlpm.i,IF(INDEX(_xlpm.orig,_xlpm.i)="",_xlpm.a,SUBSTITUTE(_xlpm.a,UPPER(INDEX(_xlpm.orig,_xlpm.i)),INDEX(_xlpm.abr,_xlpm.i))))),_xlpm.mv,SUBSTITUTE(SUBSTITUTE(SUBSTITUTE(_xlpm.txt,"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172),OR(_xlpm.comb="BEV",_xlpm.comb="PHEV",_xlpm.comb="MHEV")),ROUND(K172,0)&amp;"KWH",""),_xlpm.dec,1,_xlpm.cil,IF(OR(_xlpm.comb="BEV",P172="Motos",P172="Cuatrimotos",G172=""),"",SUBSTITUTE(FIXED(G172/1000,_xlpm.dec,TRUE),",",".")&amp;"L"),_xlpm.modelo,_xlpm.mv&amp;_xlpm.kwh,_xlpm.res,IF(B172="CAMIONES",_xlfn.TEXTJOIN("-",TRUE,_xlpm.modelo,_xlpm.cil,_xlpm.comb,UPPER(I172),_xlpm.trans),IF(B172="VEHICULOS",_xlfn.TEXTJOIN("-",TRUE,_xlpm.modelo,_xlpm.comb,_xlpm.cil,LOWER(I172),_xlpm.trans),"Elija TIPO MATERIAL")),IF(E172="","",_xlpm.res))</f>
        <v/>
      </c>
      <c r="Q172" s="21" t="str">
        <f t="shared" si="10"/>
        <v/>
      </c>
      <c r="R172" s="21" t="str">
        <f t="shared" si="11"/>
        <v/>
      </c>
    </row>
    <row r="173" spans="3:18" x14ac:dyDescent="0.25">
      <c r="C173" s="24" t="str">
        <f>_xlfn.LET(_xlpm.comb,_xlfn.XLOOKUP(H173,NPF!$A$4:$A$10,NPF!$B$4:$B$10,""),_xlpm.trans,_xlfn.XLOOKUP(J173,NPF!$D$4:$D$7,NPF!$E$4:$E$7,""),_xlpm.kwh,IF(AND(ISNUMBER(K173),OR(_xlpm.comb="BEV",_xlpm.comb="PHEV",_xlpm.comb="MHEV")),ROUND(K173,0)&amp;"KWH",""),_xlpm.dec,1,_xlpm.cil,IF(OR(_xlpm.comb="BEV",P173="Motos",P173="Cuatrimotos",G173=""),"",SUBSTITUTE(FIXED(G173/1000,_xlpm.dec,TRUE),",",".")&amp;"L"),IF(E173="","",UPPER(_xlfn.TEXTJOIN(" ",TRUE,E173,F173,_xlpm.cil,_xlpm.kwh,_xlpm.comb,I173,_xlpm.trans))))</f>
        <v/>
      </c>
      <c r="D173" s="24" t="str" cm="1">
        <f t="array" ref="D173">_xlfn.LET(_xlpm.comb,_xlfn.XLOOKUP(H173,NPF!$A$4:$A$10,NPF!$B$4:$B$10,""),_xlpm.trans,_xlfn.XLOOKUP(J173,NPF!$D$4:$D$7,NPF!$E$4:$E$7,""),_xlpm.orig,NPF!$W$4:$W$33,_xlpm.abr,NPF!$X$4:$X$33,_xlpm.txt,_xlfn.REDUCE(UPPER(TRIM(E173&amp;" "&amp;F173)),_xlfn.SEQUENCE(ROWS(_xlpm.orig)),_xlfn.LAMBDA(_xlpm.a,_xlpm.i,IF(INDEX(_xlpm.orig,_xlpm.i)="",_xlpm.a,SUBSTITUTE(_xlpm.a,UPPER(INDEX(_xlpm.orig,_xlpm.i)),INDEX(_xlpm.abr,_xlpm.i))))),_xlpm.mv,SUBSTITUTE(SUBSTITUTE(SUBSTITUTE(_xlpm.txt,"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173),OR(_xlpm.comb="BEV",_xlpm.comb="PHEV",_xlpm.comb="MHEV")),ROUND(K173,0)&amp;"KWH",""),_xlpm.dec,1,_xlpm.cil,IF(OR(_xlpm.comb="BEV",P173="Motos",P173="Cuatrimotos",G173=""),"",SUBSTITUTE(FIXED(G173/1000,_xlpm.dec,TRUE),",",".")&amp;"L"),_xlpm.modelo,_xlpm.mv&amp;_xlpm.kwh,_xlpm.res,IF(B173="CAMIONES",_xlfn.TEXTJOIN("-",TRUE,_xlpm.modelo,_xlpm.cil,_xlpm.comb,UPPER(I173),_xlpm.trans),IF(B173="VEHICULOS",_xlfn.TEXTJOIN("-",TRUE,_xlpm.modelo,_xlpm.comb,_xlpm.cil,LOWER(I173),_xlpm.trans),"Elija TIPO MATERIAL")),IF(E173="","",_xlpm.res))</f>
        <v/>
      </c>
      <c r="Q173" s="21" t="str">
        <f t="shared" si="10"/>
        <v/>
      </c>
      <c r="R173" s="21" t="str">
        <f t="shared" si="11"/>
        <v/>
      </c>
    </row>
    <row r="174" spans="3:18" x14ac:dyDescent="0.25">
      <c r="C174" s="24" t="str">
        <f>_xlfn.LET(_xlpm.comb,_xlfn.XLOOKUP(H174,NPF!$A$4:$A$10,NPF!$B$4:$B$10,""),_xlpm.trans,_xlfn.XLOOKUP(J174,NPF!$D$4:$D$7,NPF!$E$4:$E$7,""),_xlpm.kwh,IF(AND(ISNUMBER(K174),OR(_xlpm.comb="BEV",_xlpm.comb="PHEV",_xlpm.comb="MHEV")),ROUND(K174,0)&amp;"KWH",""),_xlpm.dec,1,_xlpm.cil,IF(OR(_xlpm.comb="BEV",P174="Motos",P174="Cuatrimotos",G174=""),"",SUBSTITUTE(FIXED(G174/1000,_xlpm.dec,TRUE),",",".")&amp;"L"),IF(E174="","",UPPER(_xlfn.TEXTJOIN(" ",TRUE,E174,F174,_xlpm.cil,_xlpm.kwh,_xlpm.comb,I174,_xlpm.trans))))</f>
        <v/>
      </c>
      <c r="D174" s="24" t="str" cm="1">
        <f t="array" ref="D174">_xlfn.LET(_xlpm.comb,_xlfn.XLOOKUP(H174,NPF!$A$4:$A$10,NPF!$B$4:$B$10,""),_xlpm.trans,_xlfn.XLOOKUP(J174,NPF!$D$4:$D$7,NPF!$E$4:$E$7,""),_xlpm.orig,NPF!$W$4:$W$33,_xlpm.abr,NPF!$X$4:$X$33,_xlpm.txt,_xlfn.REDUCE(UPPER(TRIM(E174&amp;" "&amp;F174)),_xlfn.SEQUENCE(ROWS(_xlpm.orig)),_xlfn.LAMBDA(_xlpm.a,_xlpm.i,IF(INDEX(_xlpm.orig,_xlpm.i)="",_xlpm.a,SUBSTITUTE(_xlpm.a,UPPER(INDEX(_xlpm.orig,_xlpm.i)),INDEX(_xlpm.abr,_xlpm.i))))),_xlpm.mv,SUBSTITUTE(SUBSTITUTE(SUBSTITUTE(_xlpm.txt,"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174),OR(_xlpm.comb="BEV",_xlpm.comb="PHEV",_xlpm.comb="MHEV")),ROUND(K174,0)&amp;"KWH",""),_xlpm.dec,1,_xlpm.cil,IF(OR(_xlpm.comb="BEV",P174="Motos",P174="Cuatrimotos",G174=""),"",SUBSTITUTE(FIXED(G174/1000,_xlpm.dec,TRUE),",",".")&amp;"L"),_xlpm.modelo,_xlpm.mv&amp;_xlpm.kwh,_xlpm.res,IF(B174="CAMIONES",_xlfn.TEXTJOIN("-",TRUE,_xlpm.modelo,_xlpm.cil,_xlpm.comb,UPPER(I174),_xlpm.trans),IF(B174="VEHICULOS",_xlfn.TEXTJOIN("-",TRUE,_xlpm.modelo,_xlpm.comb,_xlpm.cil,LOWER(I174),_xlpm.trans),"Elija TIPO MATERIAL")),IF(E174="","",_xlpm.res))</f>
        <v/>
      </c>
      <c r="Q174" s="21" t="str">
        <f t="shared" si="10"/>
        <v/>
      </c>
      <c r="R174" s="21" t="str">
        <f t="shared" si="11"/>
        <v/>
      </c>
    </row>
    <row r="175" spans="3:18" x14ac:dyDescent="0.25">
      <c r="C175" s="24" t="str">
        <f>_xlfn.LET(_xlpm.comb,_xlfn.XLOOKUP(H175,NPF!$A$4:$A$10,NPF!$B$4:$B$10,""),_xlpm.trans,_xlfn.XLOOKUP(J175,NPF!$D$4:$D$7,NPF!$E$4:$E$7,""),_xlpm.kwh,IF(AND(ISNUMBER(K175),OR(_xlpm.comb="BEV",_xlpm.comb="PHEV",_xlpm.comb="MHEV")),ROUND(K175,0)&amp;"KWH",""),_xlpm.dec,1,_xlpm.cil,IF(OR(_xlpm.comb="BEV",P175="Motos",P175="Cuatrimotos",G175=""),"",SUBSTITUTE(FIXED(G175/1000,_xlpm.dec,TRUE),",",".")&amp;"L"),IF(E175="","",UPPER(_xlfn.TEXTJOIN(" ",TRUE,E175,F175,_xlpm.cil,_xlpm.kwh,_xlpm.comb,I175,_xlpm.trans))))</f>
        <v/>
      </c>
      <c r="D175" s="24" t="str" cm="1">
        <f t="array" ref="D175">_xlfn.LET(_xlpm.comb,_xlfn.XLOOKUP(H175,NPF!$A$4:$A$10,NPF!$B$4:$B$10,""),_xlpm.trans,_xlfn.XLOOKUP(J175,NPF!$D$4:$D$7,NPF!$E$4:$E$7,""),_xlpm.orig,NPF!$W$4:$W$33,_xlpm.abr,NPF!$X$4:$X$33,_xlpm.txt,_xlfn.REDUCE(UPPER(TRIM(E175&amp;" "&amp;F175)),_xlfn.SEQUENCE(ROWS(_xlpm.orig)),_xlfn.LAMBDA(_xlpm.a,_xlpm.i,IF(INDEX(_xlpm.orig,_xlpm.i)="",_xlpm.a,SUBSTITUTE(_xlpm.a,UPPER(INDEX(_xlpm.orig,_xlpm.i)),INDEX(_xlpm.abr,_xlpm.i))))),_xlpm.mv,SUBSTITUTE(SUBSTITUTE(SUBSTITUTE(_xlpm.txt,"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175),OR(_xlpm.comb="BEV",_xlpm.comb="PHEV",_xlpm.comb="MHEV")),ROUND(K175,0)&amp;"KWH",""),_xlpm.dec,1,_xlpm.cil,IF(OR(_xlpm.comb="BEV",P175="Motos",P175="Cuatrimotos",G175=""),"",SUBSTITUTE(FIXED(G175/1000,_xlpm.dec,TRUE),",",".")&amp;"L"),_xlpm.modelo,_xlpm.mv&amp;_xlpm.kwh,_xlpm.res,IF(B175="CAMIONES",_xlfn.TEXTJOIN("-",TRUE,_xlpm.modelo,_xlpm.cil,_xlpm.comb,UPPER(I175),_xlpm.trans),IF(B175="VEHICULOS",_xlfn.TEXTJOIN("-",TRUE,_xlpm.modelo,_xlpm.comb,_xlpm.cil,LOWER(I175),_xlpm.trans),"Elija TIPO MATERIAL")),IF(E175="","",_xlpm.res))</f>
        <v/>
      </c>
      <c r="Q175" s="21" t="str">
        <f t="shared" si="10"/>
        <v/>
      </c>
      <c r="R175" s="21" t="str">
        <f t="shared" si="11"/>
        <v/>
      </c>
    </row>
    <row r="176" spans="3:18" x14ac:dyDescent="0.25">
      <c r="C176" s="24" t="str">
        <f>_xlfn.LET(_xlpm.comb,_xlfn.XLOOKUP(H176,NPF!$A$4:$A$10,NPF!$B$4:$B$10,""),_xlpm.trans,_xlfn.XLOOKUP(J176,NPF!$D$4:$D$7,NPF!$E$4:$E$7,""),_xlpm.kwh,IF(AND(ISNUMBER(K176),OR(_xlpm.comb="BEV",_xlpm.comb="PHEV",_xlpm.comb="MHEV")),ROUND(K176,0)&amp;"KWH",""),_xlpm.dec,1,_xlpm.cil,IF(OR(_xlpm.comb="BEV",P176="Motos",P176="Cuatrimotos",G176=""),"",SUBSTITUTE(FIXED(G176/1000,_xlpm.dec,TRUE),",",".")&amp;"L"),IF(E176="","",UPPER(_xlfn.TEXTJOIN(" ",TRUE,E176,F176,_xlpm.cil,_xlpm.kwh,_xlpm.comb,I176,_xlpm.trans))))</f>
        <v/>
      </c>
      <c r="D176" s="24" t="str" cm="1">
        <f t="array" ref="D176">_xlfn.LET(_xlpm.comb,_xlfn.XLOOKUP(H176,NPF!$A$4:$A$10,NPF!$B$4:$B$10,""),_xlpm.trans,_xlfn.XLOOKUP(J176,NPF!$D$4:$D$7,NPF!$E$4:$E$7,""),_xlpm.orig,NPF!$W$4:$W$33,_xlpm.abr,NPF!$X$4:$X$33,_xlpm.txt,_xlfn.REDUCE(UPPER(TRIM(E176&amp;" "&amp;F176)),_xlfn.SEQUENCE(ROWS(_xlpm.orig)),_xlfn.LAMBDA(_xlpm.a,_xlpm.i,IF(INDEX(_xlpm.orig,_xlpm.i)="",_xlpm.a,SUBSTITUTE(_xlpm.a,UPPER(INDEX(_xlpm.orig,_xlpm.i)),INDEX(_xlpm.abr,_xlpm.i))))),_xlpm.mv,SUBSTITUTE(SUBSTITUTE(SUBSTITUTE(_xlpm.txt,"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176),OR(_xlpm.comb="BEV",_xlpm.comb="PHEV",_xlpm.comb="MHEV")),ROUND(K176,0)&amp;"KWH",""),_xlpm.dec,1,_xlpm.cil,IF(OR(_xlpm.comb="BEV",P176="Motos",P176="Cuatrimotos",G176=""),"",SUBSTITUTE(FIXED(G176/1000,_xlpm.dec,TRUE),",",".")&amp;"L"),_xlpm.modelo,_xlpm.mv&amp;_xlpm.kwh,_xlpm.res,IF(B176="CAMIONES",_xlfn.TEXTJOIN("-",TRUE,_xlpm.modelo,_xlpm.cil,_xlpm.comb,UPPER(I176),_xlpm.trans),IF(B176="VEHICULOS",_xlfn.TEXTJOIN("-",TRUE,_xlpm.modelo,_xlpm.comb,_xlpm.cil,LOWER(I176),_xlpm.trans),"Elija TIPO MATERIAL")),IF(E176="","",_xlpm.res))</f>
        <v/>
      </c>
      <c r="Q176" s="21" t="str">
        <f t="shared" si="10"/>
        <v/>
      </c>
      <c r="R176" s="21" t="str">
        <f t="shared" si="11"/>
        <v/>
      </c>
    </row>
    <row r="177" spans="3:18" x14ac:dyDescent="0.25">
      <c r="C177" s="24" t="str">
        <f>_xlfn.LET(_xlpm.comb,_xlfn.XLOOKUP(H177,NPF!$A$4:$A$10,NPF!$B$4:$B$10,""),_xlpm.trans,_xlfn.XLOOKUP(J177,NPF!$D$4:$D$7,NPF!$E$4:$E$7,""),_xlpm.kwh,IF(AND(ISNUMBER(K177),OR(_xlpm.comb="BEV",_xlpm.comb="PHEV",_xlpm.comb="MHEV")),ROUND(K177,0)&amp;"KWH",""),_xlpm.dec,1,_xlpm.cil,IF(OR(_xlpm.comb="BEV",P177="Motos",P177="Cuatrimotos",G177=""),"",SUBSTITUTE(FIXED(G177/1000,_xlpm.dec,TRUE),",",".")&amp;"L"),IF(E177="","",UPPER(_xlfn.TEXTJOIN(" ",TRUE,E177,F177,_xlpm.cil,_xlpm.kwh,_xlpm.comb,I177,_xlpm.trans))))</f>
        <v/>
      </c>
      <c r="D177" s="24" t="str" cm="1">
        <f t="array" ref="D177">_xlfn.LET(_xlpm.comb,_xlfn.XLOOKUP(H177,NPF!$A$4:$A$10,NPF!$B$4:$B$10,""),_xlpm.trans,_xlfn.XLOOKUP(J177,NPF!$D$4:$D$7,NPF!$E$4:$E$7,""),_xlpm.orig,NPF!$W$4:$W$33,_xlpm.abr,NPF!$X$4:$X$33,_xlpm.txt,_xlfn.REDUCE(UPPER(TRIM(E177&amp;" "&amp;F177)),_xlfn.SEQUENCE(ROWS(_xlpm.orig)),_xlfn.LAMBDA(_xlpm.a,_xlpm.i,IF(INDEX(_xlpm.orig,_xlpm.i)="",_xlpm.a,SUBSTITUTE(_xlpm.a,UPPER(INDEX(_xlpm.orig,_xlpm.i)),INDEX(_xlpm.abr,_xlpm.i))))),_xlpm.mv,SUBSTITUTE(SUBSTITUTE(SUBSTITUTE(_xlpm.txt,"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177),OR(_xlpm.comb="BEV",_xlpm.comb="PHEV",_xlpm.comb="MHEV")),ROUND(K177,0)&amp;"KWH",""),_xlpm.dec,1,_xlpm.cil,IF(OR(_xlpm.comb="BEV",P177="Motos",P177="Cuatrimotos",G177=""),"",SUBSTITUTE(FIXED(G177/1000,_xlpm.dec,TRUE),",",".")&amp;"L"),_xlpm.modelo,_xlpm.mv&amp;_xlpm.kwh,_xlpm.res,IF(B177="CAMIONES",_xlfn.TEXTJOIN("-",TRUE,_xlpm.modelo,_xlpm.cil,_xlpm.comb,UPPER(I177),_xlpm.trans),IF(B177="VEHICULOS",_xlfn.TEXTJOIN("-",TRUE,_xlpm.modelo,_xlpm.comb,_xlpm.cil,LOWER(I177),_xlpm.trans),"Elija TIPO MATERIAL")),IF(E177="","",_xlpm.res))</f>
        <v/>
      </c>
      <c r="Q177" s="21" t="str">
        <f t="shared" si="10"/>
        <v/>
      </c>
      <c r="R177" s="21" t="str">
        <f t="shared" si="11"/>
        <v/>
      </c>
    </row>
    <row r="178" spans="3:18" x14ac:dyDescent="0.25">
      <c r="C178" s="24" t="str">
        <f>_xlfn.LET(_xlpm.comb,_xlfn.XLOOKUP(H178,NPF!$A$4:$A$10,NPF!$B$4:$B$10,""),_xlpm.trans,_xlfn.XLOOKUP(J178,NPF!$D$4:$D$7,NPF!$E$4:$E$7,""),_xlpm.kwh,IF(AND(ISNUMBER(K178),OR(_xlpm.comb="BEV",_xlpm.comb="PHEV",_xlpm.comb="MHEV")),ROUND(K178,0)&amp;"KWH",""),_xlpm.dec,1,_xlpm.cil,IF(OR(_xlpm.comb="BEV",P178="Motos",P178="Cuatrimotos",G178=""),"",SUBSTITUTE(FIXED(G178/1000,_xlpm.dec,TRUE),",",".")&amp;"L"),IF(E178="","",UPPER(_xlfn.TEXTJOIN(" ",TRUE,E178,F178,_xlpm.cil,_xlpm.kwh,_xlpm.comb,I178,_xlpm.trans))))</f>
        <v/>
      </c>
      <c r="D178" s="24" t="str" cm="1">
        <f t="array" ref="D178">_xlfn.LET(_xlpm.comb,_xlfn.XLOOKUP(H178,NPF!$A$4:$A$10,NPF!$B$4:$B$10,""),_xlpm.trans,_xlfn.XLOOKUP(J178,NPF!$D$4:$D$7,NPF!$E$4:$E$7,""),_xlpm.orig,NPF!$W$4:$W$33,_xlpm.abr,NPF!$X$4:$X$33,_xlpm.txt,_xlfn.REDUCE(UPPER(TRIM(E178&amp;" "&amp;F178)),_xlfn.SEQUENCE(ROWS(_xlpm.orig)),_xlfn.LAMBDA(_xlpm.a,_xlpm.i,IF(INDEX(_xlpm.orig,_xlpm.i)="",_xlpm.a,SUBSTITUTE(_xlpm.a,UPPER(INDEX(_xlpm.orig,_xlpm.i)),INDEX(_xlpm.abr,_xlpm.i))))),_xlpm.mv,SUBSTITUTE(SUBSTITUTE(SUBSTITUTE(_xlpm.txt,"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178),OR(_xlpm.comb="BEV",_xlpm.comb="PHEV",_xlpm.comb="MHEV")),ROUND(K178,0)&amp;"KWH",""),_xlpm.dec,1,_xlpm.cil,IF(OR(_xlpm.comb="BEV",P178="Motos",P178="Cuatrimotos",G178=""),"",SUBSTITUTE(FIXED(G178/1000,_xlpm.dec,TRUE),",",".")&amp;"L"),_xlpm.modelo,_xlpm.mv&amp;_xlpm.kwh,_xlpm.res,IF(B178="CAMIONES",_xlfn.TEXTJOIN("-",TRUE,_xlpm.modelo,_xlpm.cil,_xlpm.comb,UPPER(I178),_xlpm.trans),IF(B178="VEHICULOS",_xlfn.TEXTJOIN("-",TRUE,_xlpm.modelo,_xlpm.comb,_xlpm.cil,LOWER(I178),_xlpm.trans),"Elija TIPO MATERIAL")),IF(E178="","",_xlpm.res))</f>
        <v/>
      </c>
      <c r="Q178" s="21" t="str">
        <f t="shared" si="10"/>
        <v/>
      </c>
      <c r="R178" s="21" t="str">
        <f t="shared" si="11"/>
        <v/>
      </c>
    </row>
    <row r="179" spans="3:18" x14ac:dyDescent="0.25">
      <c r="C179" s="24" t="str">
        <f>_xlfn.LET(_xlpm.comb,_xlfn.XLOOKUP(H179,NPF!$A$4:$A$10,NPF!$B$4:$B$10,""),_xlpm.trans,_xlfn.XLOOKUP(J179,NPF!$D$4:$D$7,NPF!$E$4:$E$7,""),_xlpm.kwh,IF(AND(ISNUMBER(K179),OR(_xlpm.comb="BEV",_xlpm.comb="PHEV",_xlpm.comb="MHEV")),ROUND(K179,0)&amp;"KWH",""),_xlpm.dec,1,_xlpm.cil,IF(OR(_xlpm.comb="BEV",P179="Motos",P179="Cuatrimotos",G179=""),"",SUBSTITUTE(FIXED(G179/1000,_xlpm.dec,TRUE),",",".")&amp;"L"),IF(E179="","",UPPER(_xlfn.TEXTJOIN(" ",TRUE,E179,F179,_xlpm.cil,_xlpm.kwh,_xlpm.comb,I179,_xlpm.trans))))</f>
        <v/>
      </c>
      <c r="D179" s="24" t="str" cm="1">
        <f t="array" ref="D179">_xlfn.LET(_xlpm.comb,_xlfn.XLOOKUP(H179,NPF!$A$4:$A$10,NPF!$B$4:$B$10,""),_xlpm.trans,_xlfn.XLOOKUP(J179,NPF!$D$4:$D$7,NPF!$E$4:$E$7,""),_xlpm.orig,NPF!$W$4:$W$33,_xlpm.abr,NPF!$X$4:$X$33,_xlpm.txt,_xlfn.REDUCE(UPPER(TRIM(E179&amp;" "&amp;F179)),_xlfn.SEQUENCE(ROWS(_xlpm.orig)),_xlfn.LAMBDA(_xlpm.a,_xlpm.i,IF(INDEX(_xlpm.orig,_xlpm.i)="",_xlpm.a,SUBSTITUTE(_xlpm.a,UPPER(INDEX(_xlpm.orig,_xlpm.i)),INDEX(_xlpm.abr,_xlpm.i))))),_xlpm.mv,SUBSTITUTE(SUBSTITUTE(SUBSTITUTE(_xlpm.txt,"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179),OR(_xlpm.comb="BEV",_xlpm.comb="PHEV",_xlpm.comb="MHEV")),ROUND(K179,0)&amp;"KWH",""),_xlpm.dec,1,_xlpm.cil,IF(OR(_xlpm.comb="BEV",P179="Motos",P179="Cuatrimotos",G179=""),"",SUBSTITUTE(FIXED(G179/1000,_xlpm.dec,TRUE),",",".")&amp;"L"),_xlpm.modelo,_xlpm.mv&amp;_xlpm.kwh,_xlpm.res,IF(B179="CAMIONES",_xlfn.TEXTJOIN("-",TRUE,_xlpm.modelo,_xlpm.cil,_xlpm.comb,UPPER(I179),_xlpm.trans),IF(B179="VEHICULOS",_xlfn.TEXTJOIN("-",TRUE,_xlpm.modelo,_xlpm.comb,_xlpm.cil,LOWER(I179),_xlpm.trans),"Elija TIPO MATERIAL")),IF(E179="","",_xlpm.res))</f>
        <v/>
      </c>
      <c r="Q179" s="21" t="str">
        <f t="shared" si="10"/>
        <v/>
      </c>
      <c r="R179" s="21" t="str">
        <f t="shared" si="11"/>
        <v/>
      </c>
    </row>
    <row r="180" spans="3:18" x14ac:dyDescent="0.25">
      <c r="C180" s="24" t="str">
        <f>_xlfn.LET(_xlpm.comb,_xlfn.XLOOKUP(H180,NPF!$A$4:$A$10,NPF!$B$4:$B$10,""),_xlpm.trans,_xlfn.XLOOKUP(J180,NPF!$D$4:$D$7,NPF!$E$4:$E$7,""),_xlpm.kwh,IF(AND(ISNUMBER(K180),OR(_xlpm.comb="BEV",_xlpm.comb="PHEV",_xlpm.comb="MHEV")),ROUND(K180,0)&amp;"KWH",""),_xlpm.dec,1,_xlpm.cil,IF(OR(_xlpm.comb="BEV",P180="Motos",P180="Cuatrimotos",G180=""),"",SUBSTITUTE(FIXED(G180/1000,_xlpm.dec,TRUE),",",".")&amp;"L"),IF(E180="","",UPPER(_xlfn.TEXTJOIN(" ",TRUE,E180,F180,_xlpm.cil,_xlpm.kwh,_xlpm.comb,I180,_xlpm.trans))))</f>
        <v/>
      </c>
      <c r="D180" s="24" t="str" cm="1">
        <f t="array" ref="D180">_xlfn.LET(_xlpm.comb,_xlfn.XLOOKUP(H180,NPF!$A$4:$A$10,NPF!$B$4:$B$10,""),_xlpm.trans,_xlfn.XLOOKUP(J180,NPF!$D$4:$D$7,NPF!$E$4:$E$7,""),_xlpm.orig,NPF!$W$4:$W$33,_xlpm.abr,NPF!$X$4:$X$33,_xlpm.txt,_xlfn.REDUCE(UPPER(TRIM(E180&amp;" "&amp;F180)),_xlfn.SEQUENCE(ROWS(_xlpm.orig)),_xlfn.LAMBDA(_xlpm.a,_xlpm.i,IF(INDEX(_xlpm.orig,_xlpm.i)="",_xlpm.a,SUBSTITUTE(_xlpm.a,UPPER(INDEX(_xlpm.orig,_xlpm.i)),INDEX(_xlpm.abr,_xlpm.i))))),_xlpm.mv,SUBSTITUTE(SUBSTITUTE(SUBSTITUTE(_xlpm.txt,"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180),OR(_xlpm.comb="BEV",_xlpm.comb="PHEV",_xlpm.comb="MHEV")),ROUND(K180,0)&amp;"KWH",""),_xlpm.dec,1,_xlpm.cil,IF(OR(_xlpm.comb="BEV",P180="Motos",P180="Cuatrimotos",G180=""),"",SUBSTITUTE(FIXED(G180/1000,_xlpm.dec,TRUE),",",".")&amp;"L"),_xlpm.modelo,_xlpm.mv&amp;_xlpm.kwh,_xlpm.res,IF(B180="CAMIONES",_xlfn.TEXTJOIN("-",TRUE,_xlpm.modelo,_xlpm.cil,_xlpm.comb,UPPER(I180),_xlpm.trans),IF(B180="VEHICULOS",_xlfn.TEXTJOIN("-",TRUE,_xlpm.modelo,_xlpm.comb,_xlpm.cil,LOWER(I180),_xlpm.trans),"Elija TIPO MATERIAL")),IF(E180="","",_xlpm.res))</f>
        <v/>
      </c>
      <c r="Q180" s="21" t="str">
        <f t="shared" si="10"/>
        <v/>
      </c>
      <c r="R180" s="21" t="str">
        <f t="shared" si="11"/>
        <v/>
      </c>
    </row>
    <row r="181" spans="3:18" x14ac:dyDescent="0.25">
      <c r="C181" s="24" t="str">
        <f>_xlfn.LET(_xlpm.comb,_xlfn.XLOOKUP(H181,NPF!$A$4:$A$10,NPF!$B$4:$B$10,""),_xlpm.trans,_xlfn.XLOOKUP(J181,NPF!$D$4:$D$7,NPF!$E$4:$E$7,""),_xlpm.kwh,IF(AND(ISNUMBER(K181),OR(_xlpm.comb="BEV",_xlpm.comb="PHEV",_xlpm.comb="MHEV")),ROUND(K181,0)&amp;"KWH",""),_xlpm.dec,1,_xlpm.cil,IF(OR(_xlpm.comb="BEV",P181="Motos",P181="Cuatrimotos",G181=""),"",SUBSTITUTE(FIXED(G181/1000,_xlpm.dec,TRUE),",",".")&amp;"L"),IF(E181="","",UPPER(_xlfn.TEXTJOIN(" ",TRUE,E181,F181,_xlpm.cil,_xlpm.kwh,_xlpm.comb,I181,_xlpm.trans))))</f>
        <v/>
      </c>
      <c r="D181" s="24" t="str" cm="1">
        <f t="array" ref="D181">_xlfn.LET(_xlpm.comb,_xlfn.XLOOKUP(H181,NPF!$A$4:$A$10,NPF!$B$4:$B$10,""),_xlpm.trans,_xlfn.XLOOKUP(J181,NPF!$D$4:$D$7,NPF!$E$4:$E$7,""),_xlpm.orig,NPF!$W$4:$W$33,_xlpm.abr,NPF!$X$4:$X$33,_xlpm.txt,_xlfn.REDUCE(UPPER(TRIM(E181&amp;" "&amp;F181)),_xlfn.SEQUENCE(ROWS(_xlpm.orig)),_xlfn.LAMBDA(_xlpm.a,_xlpm.i,IF(INDEX(_xlpm.orig,_xlpm.i)="",_xlpm.a,SUBSTITUTE(_xlpm.a,UPPER(INDEX(_xlpm.orig,_xlpm.i)),INDEX(_xlpm.abr,_xlpm.i))))),_xlpm.mv,SUBSTITUTE(SUBSTITUTE(SUBSTITUTE(_xlpm.txt,"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181),OR(_xlpm.comb="BEV",_xlpm.comb="PHEV",_xlpm.comb="MHEV")),ROUND(K181,0)&amp;"KWH",""),_xlpm.dec,1,_xlpm.cil,IF(OR(_xlpm.comb="BEV",P181="Motos",P181="Cuatrimotos",G181=""),"",SUBSTITUTE(FIXED(G181/1000,_xlpm.dec,TRUE),",",".")&amp;"L"),_xlpm.modelo,_xlpm.mv&amp;_xlpm.kwh,_xlpm.res,IF(B181="CAMIONES",_xlfn.TEXTJOIN("-",TRUE,_xlpm.modelo,_xlpm.cil,_xlpm.comb,UPPER(I181),_xlpm.trans),IF(B181="VEHICULOS",_xlfn.TEXTJOIN("-",TRUE,_xlpm.modelo,_xlpm.comb,_xlpm.cil,LOWER(I181),_xlpm.trans),"Elija TIPO MATERIAL")),IF(E181="","",_xlpm.res))</f>
        <v/>
      </c>
      <c r="Q181" s="21" t="str">
        <f t="shared" si="10"/>
        <v/>
      </c>
      <c r="R181" s="21" t="str">
        <f t="shared" si="11"/>
        <v/>
      </c>
    </row>
    <row r="182" spans="3:18" x14ac:dyDescent="0.25">
      <c r="C182" s="24" t="str">
        <f>_xlfn.LET(_xlpm.comb,_xlfn.XLOOKUP(H182,NPF!$A$4:$A$10,NPF!$B$4:$B$10,""),_xlpm.trans,_xlfn.XLOOKUP(J182,NPF!$D$4:$D$7,NPF!$E$4:$E$7,""),_xlpm.kwh,IF(AND(ISNUMBER(K182),OR(_xlpm.comb="BEV",_xlpm.comb="PHEV",_xlpm.comb="MHEV")),ROUND(K182,0)&amp;"KWH",""),_xlpm.dec,1,_xlpm.cil,IF(OR(_xlpm.comb="BEV",P182="Motos",P182="Cuatrimotos",G182=""),"",SUBSTITUTE(FIXED(G182/1000,_xlpm.dec,TRUE),",",".")&amp;"L"),IF(E182="","",UPPER(_xlfn.TEXTJOIN(" ",TRUE,E182,F182,_xlpm.cil,_xlpm.kwh,_xlpm.comb,I182,_xlpm.trans))))</f>
        <v/>
      </c>
      <c r="D182" s="24" t="str" cm="1">
        <f t="array" ref="D182">_xlfn.LET(_xlpm.comb,_xlfn.XLOOKUP(H182,NPF!$A$4:$A$10,NPF!$B$4:$B$10,""),_xlpm.trans,_xlfn.XLOOKUP(J182,NPF!$D$4:$D$7,NPF!$E$4:$E$7,""),_xlpm.orig,NPF!$W$4:$W$33,_xlpm.abr,NPF!$X$4:$X$33,_xlpm.txt,_xlfn.REDUCE(UPPER(TRIM(E182&amp;" "&amp;F182)),_xlfn.SEQUENCE(ROWS(_xlpm.orig)),_xlfn.LAMBDA(_xlpm.a,_xlpm.i,IF(INDEX(_xlpm.orig,_xlpm.i)="",_xlpm.a,SUBSTITUTE(_xlpm.a,UPPER(INDEX(_xlpm.orig,_xlpm.i)),INDEX(_xlpm.abr,_xlpm.i))))),_xlpm.mv,SUBSTITUTE(SUBSTITUTE(SUBSTITUTE(_xlpm.txt,"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182),OR(_xlpm.comb="BEV",_xlpm.comb="PHEV",_xlpm.comb="MHEV")),ROUND(K182,0)&amp;"KWH",""),_xlpm.dec,1,_xlpm.cil,IF(OR(_xlpm.comb="BEV",P182="Motos",P182="Cuatrimotos",G182=""),"",SUBSTITUTE(FIXED(G182/1000,_xlpm.dec,TRUE),",",".")&amp;"L"),_xlpm.modelo,_xlpm.mv&amp;_xlpm.kwh,_xlpm.res,IF(B182="CAMIONES",_xlfn.TEXTJOIN("-",TRUE,_xlpm.modelo,_xlpm.cil,_xlpm.comb,UPPER(I182),_xlpm.trans),IF(B182="VEHICULOS",_xlfn.TEXTJOIN("-",TRUE,_xlpm.modelo,_xlpm.comb,_xlpm.cil,LOWER(I182),_xlpm.trans),"Elija TIPO MATERIAL")),IF(E182="","",_xlpm.res))</f>
        <v/>
      </c>
      <c r="Q182" s="21" t="str">
        <f t="shared" si="10"/>
        <v/>
      </c>
      <c r="R182" s="21" t="str">
        <f t="shared" si="11"/>
        <v/>
      </c>
    </row>
    <row r="183" spans="3:18" x14ac:dyDescent="0.25">
      <c r="C183" s="24" t="str">
        <f>_xlfn.LET(_xlpm.comb,_xlfn.XLOOKUP(H183,NPF!$A$4:$A$10,NPF!$B$4:$B$10,""),_xlpm.trans,_xlfn.XLOOKUP(J183,NPF!$D$4:$D$7,NPF!$E$4:$E$7,""),_xlpm.kwh,IF(AND(ISNUMBER(K183),OR(_xlpm.comb="BEV",_xlpm.comb="PHEV",_xlpm.comb="MHEV")),ROUND(K183,0)&amp;"KWH",""),_xlpm.dec,1,_xlpm.cil,IF(OR(_xlpm.comb="BEV",P183="Motos",P183="Cuatrimotos",G183=""),"",SUBSTITUTE(FIXED(G183/1000,_xlpm.dec,TRUE),",",".")&amp;"L"),IF(E183="","",UPPER(_xlfn.TEXTJOIN(" ",TRUE,E183,F183,_xlpm.cil,_xlpm.kwh,_xlpm.comb,I183,_xlpm.trans))))</f>
        <v/>
      </c>
      <c r="D183" s="24" t="str" cm="1">
        <f t="array" ref="D183">_xlfn.LET(_xlpm.comb,_xlfn.XLOOKUP(H183,NPF!$A$4:$A$10,NPF!$B$4:$B$10,""),_xlpm.trans,_xlfn.XLOOKUP(J183,NPF!$D$4:$D$7,NPF!$E$4:$E$7,""),_xlpm.orig,NPF!$W$4:$W$33,_xlpm.abr,NPF!$X$4:$X$33,_xlpm.txt,_xlfn.REDUCE(UPPER(TRIM(E183&amp;" "&amp;F183)),_xlfn.SEQUENCE(ROWS(_xlpm.orig)),_xlfn.LAMBDA(_xlpm.a,_xlpm.i,IF(INDEX(_xlpm.orig,_xlpm.i)="",_xlpm.a,SUBSTITUTE(_xlpm.a,UPPER(INDEX(_xlpm.orig,_xlpm.i)),INDEX(_xlpm.abr,_xlpm.i))))),_xlpm.mv,SUBSTITUTE(SUBSTITUTE(SUBSTITUTE(_xlpm.txt,"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183),OR(_xlpm.comb="BEV",_xlpm.comb="PHEV",_xlpm.comb="MHEV")),ROUND(K183,0)&amp;"KWH",""),_xlpm.dec,1,_xlpm.cil,IF(OR(_xlpm.comb="BEV",P183="Motos",P183="Cuatrimotos",G183=""),"",SUBSTITUTE(FIXED(G183/1000,_xlpm.dec,TRUE),",",".")&amp;"L"),_xlpm.modelo,_xlpm.mv&amp;_xlpm.kwh,_xlpm.res,IF(B183="CAMIONES",_xlfn.TEXTJOIN("-",TRUE,_xlpm.modelo,_xlpm.cil,_xlpm.comb,UPPER(I183),_xlpm.trans),IF(B183="VEHICULOS",_xlfn.TEXTJOIN("-",TRUE,_xlpm.modelo,_xlpm.comb,_xlpm.cil,LOWER(I183),_xlpm.trans),"Elija TIPO MATERIAL")),IF(E183="","",_xlpm.res))</f>
        <v/>
      </c>
      <c r="Q183" s="21" t="str">
        <f t="shared" si="10"/>
        <v/>
      </c>
      <c r="R183" s="21" t="str">
        <f t="shared" si="11"/>
        <v/>
      </c>
    </row>
    <row r="184" spans="3:18" x14ac:dyDescent="0.25">
      <c r="C184" s="24" t="str">
        <f>_xlfn.LET(_xlpm.comb,_xlfn.XLOOKUP(H184,NPF!$A$4:$A$10,NPF!$B$4:$B$10,""),_xlpm.trans,_xlfn.XLOOKUP(J184,NPF!$D$4:$D$7,NPF!$E$4:$E$7,""),_xlpm.kwh,IF(AND(ISNUMBER(K184),OR(_xlpm.comb="BEV",_xlpm.comb="PHEV",_xlpm.comb="MHEV")),ROUND(K184,0)&amp;"KWH",""),_xlpm.dec,1,_xlpm.cil,IF(OR(_xlpm.comb="BEV",P184="Motos",P184="Cuatrimotos",G184=""),"",SUBSTITUTE(FIXED(G184/1000,_xlpm.dec,TRUE),",",".")&amp;"L"),IF(E184="","",UPPER(_xlfn.TEXTJOIN(" ",TRUE,E184,F184,_xlpm.cil,_xlpm.kwh,_xlpm.comb,I184,_xlpm.trans))))</f>
        <v/>
      </c>
      <c r="D184" s="24" t="str" cm="1">
        <f t="array" ref="D184">_xlfn.LET(_xlpm.comb,_xlfn.XLOOKUP(H184,NPF!$A$4:$A$10,NPF!$B$4:$B$10,""),_xlpm.trans,_xlfn.XLOOKUP(J184,NPF!$D$4:$D$7,NPF!$E$4:$E$7,""),_xlpm.orig,NPF!$W$4:$W$33,_xlpm.abr,NPF!$X$4:$X$33,_xlpm.txt,_xlfn.REDUCE(UPPER(TRIM(E184&amp;" "&amp;F184)),_xlfn.SEQUENCE(ROWS(_xlpm.orig)),_xlfn.LAMBDA(_xlpm.a,_xlpm.i,IF(INDEX(_xlpm.orig,_xlpm.i)="",_xlpm.a,SUBSTITUTE(_xlpm.a,UPPER(INDEX(_xlpm.orig,_xlpm.i)),INDEX(_xlpm.abr,_xlpm.i))))),_xlpm.mv,SUBSTITUTE(SUBSTITUTE(SUBSTITUTE(_xlpm.txt,"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184),OR(_xlpm.comb="BEV",_xlpm.comb="PHEV",_xlpm.comb="MHEV")),ROUND(K184,0)&amp;"KWH",""),_xlpm.dec,1,_xlpm.cil,IF(OR(_xlpm.comb="BEV",P184="Motos",P184="Cuatrimotos",G184=""),"",SUBSTITUTE(FIXED(G184/1000,_xlpm.dec,TRUE),",",".")&amp;"L"),_xlpm.modelo,_xlpm.mv&amp;_xlpm.kwh,_xlpm.res,IF(B184="CAMIONES",_xlfn.TEXTJOIN("-",TRUE,_xlpm.modelo,_xlpm.cil,_xlpm.comb,UPPER(I184),_xlpm.trans),IF(B184="VEHICULOS",_xlfn.TEXTJOIN("-",TRUE,_xlpm.modelo,_xlpm.comb,_xlpm.cil,LOWER(I184),_xlpm.trans),"Elija TIPO MATERIAL")),IF(E184="","",_xlpm.res))</f>
        <v/>
      </c>
      <c r="Q184" s="21" t="str">
        <f t="shared" si="10"/>
        <v/>
      </c>
      <c r="R184" s="21" t="str">
        <f t="shared" si="11"/>
        <v/>
      </c>
    </row>
    <row r="185" spans="3:18" x14ac:dyDescent="0.25">
      <c r="C185" s="24" t="str">
        <f>_xlfn.LET(_xlpm.comb,_xlfn.XLOOKUP(H185,NPF!$A$4:$A$10,NPF!$B$4:$B$10,""),_xlpm.trans,_xlfn.XLOOKUP(J185,NPF!$D$4:$D$7,NPF!$E$4:$E$7,""),_xlpm.kwh,IF(AND(ISNUMBER(K185),OR(_xlpm.comb="BEV",_xlpm.comb="PHEV",_xlpm.comb="MHEV")),ROUND(K185,0)&amp;"KWH",""),_xlpm.dec,1,_xlpm.cil,IF(OR(_xlpm.comb="BEV",P185="Motos",P185="Cuatrimotos",G185=""),"",SUBSTITUTE(FIXED(G185/1000,_xlpm.dec,TRUE),",",".")&amp;"L"),IF(E185="","",UPPER(_xlfn.TEXTJOIN(" ",TRUE,E185,F185,_xlpm.cil,_xlpm.kwh,_xlpm.comb,I185,_xlpm.trans))))</f>
        <v/>
      </c>
      <c r="D185" s="24" t="str" cm="1">
        <f t="array" ref="D185">_xlfn.LET(_xlpm.comb,_xlfn.XLOOKUP(H185,NPF!$A$4:$A$10,NPF!$B$4:$B$10,""),_xlpm.trans,_xlfn.XLOOKUP(J185,NPF!$D$4:$D$7,NPF!$E$4:$E$7,""),_xlpm.orig,NPF!$W$4:$W$33,_xlpm.abr,NPF!$X$4:$X$33,_xlpm.txt,_xlfn.REDUCE(UPPER(TRIM(E185&amp;" "&amp;F185)),_xlfn.SEQUENCE(ROWS(_xlpm.orig)),_xlfn.LAMBDA(_xlpm.a,_xlpm.i,IF(INDEX(_xlpm.orig,_xlpm.i)="",_xlpm.a,SUBSTITUTE(_xlpm.a,UPPER(INDEX(_xlpm.orig,_xlpm.i)),INDEX(_xlpm.abr,_xlpm.i))))),_xlpm.mv,SUBSTITUTE(SUBSTITUTE(SUBSTITUTE(_xlpm.txt,"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185),OR(_xlpm.comb="BEV",_xlpm.comb="PHEV",_xlpm.comb="MHEV")),ROUND(K185,0)&amp;"KWH",""),_xlpm.dec,1,_xlpm.cil,IF(OR(_xlpm.comb="BEV",P185="Motos",P185="Cuatrimotos",G185=""),"",SUBSTITUTE(FIXED(G185/1000,_xlpm.dec,TRUE),",",".")&amp;"L"),_xlpm.modelo,_xlpm.mv&amp;_xlpm.kwh,_xlpm.res,IF(B185="CAMIONES",_xlfn.TEXTJOIN("-",TRUE,_xlpm.modelo,_xlpm.cil,_xlpm.comb,UPPER(I185),_xlpm.trans),IF(B185="VEHICULOS",_xlfn.TEXTJOIN("-",TRUE,_xlpm.modelo,_xlpm.comb,_xlpm.cil,LOWER(I185),_xlpm.trans),"Elija TIPO MATERIAL")),IF(E185="","",_xlpm.res))</f>
        <v/>
      </c>
      <c r="Q185" s="21" t="str">
        <f t="shared" si="10"/>
        <v/>
      </c>
      <c r="R185" s="21" t="str">
        <f t="shared" si="11"/>
        <v/>
      </c>
    </row>
    <row r="186" spans="3:18" x14ac:dyDescent="0.25">
      <c r="C186" s="24" t="str">
        <f>_xlfn.LET(_xlpm.comb,_xlfn.XLOOKUP(H186,NPF!$A$4:$A$10,NPF!$B$4:$B$10,""),_xlpm.trans,_xlfn.XLOOKUP(J186,NPF!$D$4:$D$7,NPF!$E$4:$E$7,""),_xlpm.kwh,IF(AND(ISNUMBER(K186),OR(_xlpm.comb="BEV",_xlpm.comb="PHEV",_xlpm.comb="MHEV")),ROUND(K186,0)&amp;"KWH",""),_xlpm.dec,1,_xlpm.cil,IF(OR(_xlpm.comb="BEV",P186="Motos",P186="Cuatrimotos",G186=""),"",SUBSTITUTE(FIXED(G186/1000,_xlpm.dec,TRUE),",",".")&amp;"L"),IF(E186="","",UPPER(_xlfn.TEXTJOIN(" ",TRUE,E186,F186,_xlpm.cil,_xlpm.kwh,_xlpm.comb,I186,_xlpm.trans))))</f>
        <v/>
      </c>
      <c r="D186" s="24" t="str" cm="1">
        <f t="array" ref="D186">_xlfn.LET(_xlpm.comb,_xlfn.XLOOKUP(H186,NPF!$A$4:$A$10,NPF!$B$4:$B$10,""),_xlpm.trans,_xlfn.XLOOKUP(J186,NPF!$D$4:$D$7,NPF!$E$4:$E$7,""),_xlpm.orig,NPF!$W$4:$W$33,_xlpm.abr,NPF!$X$4:$X$33,_xlpm.txt,_xlfn.REDUCE(UPPER(TRIM(E186&amp;" "&amp;F186)),_xlfn.SEQUENCE(ROWS(_xlpm.orig)),_xlfn.LAMBDA(_xlpm.a,_xlpm.i,IF(INDEX(_xlpm.orig,_xlpm.i)="",_xlpm.a,SUBSTITUTE(_xlpm.a,UPPER(INDEX(_xlpm.orig,_xlpm.i)),INDEX(_xlpm.abr,_xlpm.i))))),_xlpm.mv,SUBSTITUTE(SUBSTITUTE(SUBSTITUTE(_xlpm.txt,"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186),OR(_xlpm.comb="BEV",_xlpm.comb="PHEV",_xlpm.comb="MHEV")),ROUND(K186,0)&amp;"KWH",""),_xlpm.dec,1,_xlpm.cil,IF(OR(_xlpm.comb="BEV",P186="Motos",P186="Cuatrimotos",G186=""),"",SUBSTITUTE(FIXED(G186/1000,_xlpm.dec,TRUE),",",".")&amp;"L"),_xlpm.modelo,_xlpm.mv&amp;_xlpm.kwh,_xlpm.res,IF(B186="CAMIONES",_xlfn.TEXTJOIN("-",TRUE,_xlpm.modelo,_xlpm.cil,_xlpm.comb,UPPER(I186),_xlpm.trans),IF(B186="VEHICULOS",_xlfn.TEXTJOIN("-",TRUE,_xlpm.modelo,_xlpm.comb,_xlpm.cil,LOWER(I186),_xlpm.trans),"Elija TIPO MATERIAL")),IF(E186="","",_xlpm.res))</f>
        <v/>
      </c>
      <c r="Q186" s="21" t="str">
        <f t="shared" si="10"/>
        <v/>
      </c>
      <c r="R186" s="21" t="str">
        <f t="shared" si="11"/>
        <v/>
      </c>
    </row>
    <row r="187" spans="3:18" x14ac:dyDescent="0.25">
      <c r="C187" s="24" t="str">
        <f>_xlfn.LET(_xlpm.comb,_xlfn.XLOOKUP(H187,NPF!$A$4:$A$10,NPF!$B$4:$B$10,""),_xlpm.trans,_xlfn.XLOOKUP(J187,NPF!$D$4:$D$7,NPF!$E$4:$E$7,""),_xlpm.kwh,IF(AND(ISNUMBER(K187),OR(_xlpm.comb="BEV",_xlpm.comb="PHEV",_xlpm.comb="MHEV")),ROUND(K187,0)&amp;"KWH",""),_xlpm.dec,1,_xlpm.cil,IF(OR(_xlpm.comb="BEV",P187="Motos",P187="Cuatrimotos",G187=""),"",SUBSTITUTE(FIXED(G187/1000,_xlpm.dec,TRUE),",",".")&amp;"L"),IF(E187="","",UPPER(_xlfn.TEXTJOIN(" ",TRUE,E187,F187,_xlpm.cil,_xlpm.kwh,_xlpm.comb,I187,_xlpm.trans))))</f>
        <v/>
      </c>
      <c r="D187" s="24" t="str" cm="1">
        <f t="array" ref="D187">_xlfn.LET(_xlpm.comb,_xlfn.XLOOKUP(H187,NPF!$A$4:$A$10,NPF!$B$4:$B$10,""),_xlpm.trans,_xlfn.XLOOKUP(J187,NPF!$D$4:$D$7,NPF!$E$4:$E$7,""),_xlpm.orig,NPF!$W$4:$W$33,_xlpm.abr,NPF!$X$4:$X$33,_xlpm.txt,_xlfn.REDUCE(UPPER(TRIM(E187&amp;" "&amp;F187)),_xlfn.SEQUENCE(ROWS(_xlpm.orig)),_xlfn.LAMBDA(_xlpm.a,_xlpm.i,IF(INDEX(_xlpm.orig,_xlpm.i)="",_xlpm.a,SUBSTITUTE(_xlpm.a,UPPER(INDEX(_xlpm.orig,_xlpm.i)),INDEX(_xlpm.abr,_xlpm.i))))),_xlpm.mv,SUBSTITUTE(SUBSTITUTE(SUBSTITUTE(_xlpm.txt,"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187),OR(_xlpm.comb="BEV",_xlpm.comb="PHEV",_xlpm.comb="MHEV")),ROUND(K187,0)&amp;"KWH",""),_xlpm.dec,1,_xlpm.cil,IF(OR(_xlpm.comb="BEV",P187="Motos",P187="Cuatrimotos",G187=""),"",SUBSTITUTE(FIXED(G187/1000,_xlpm.dec,TRUE),",",".")&amp;"L"),_xlpm.modelo,_xlpm.mv&amp;_xlpm.kwh,_xlpm.res,IF(B187="CAMIONES",_xlfn.TEXTJOIN("-",TRUE,_xlpm.modelo,_xlpm.cil,_xlpm.comb,UPPER(I187),_xlpm.trans),IF(B187="VEHICULOS",_xlfn.TEXTJOIN("-",TRUE,_xlpm.modelo,_xlpm.comb,_xlpm.cil,LOWER(I187),_xlpm.trans),"Elija TIPO MATERIAL")),IF(E187="","",_xlpm.res))</f>
        <v/>
      </c>
      <c r="Q187" s="21" t="str">
        <f t="shared" si="10"/>
        <v/>
      </c>
      <c r="R187" s="21" t="str">
        <f t="shared" si="11"/>
        <v/>
      </c>
    </row>
    <row r="188" spans="3:18" x14ac:dyDescent="0.25">
      <c r="C188" s="24" t="str">
        <f>_xlfn.LET(_xlpm.comb,_xlfn.XLOOKUP(H188,NPF!$A$4:$A$10,NPF!$B$4:$B$10,""),_xlpm.trans,_xlfn.XLOOKUP(J188,NPF!$D$4:$D$7,NPF!$E$4:$E$7,""),_xlpm.kwh,IF(AND(ISNUMBER(K188),OR(_xlpm.comb="BEV",_xlpm.comb="PHEV",_xlpm.comb="MHEV")),ROUND(K188,0)&amp;"KWH",""),_xlpm.dec,1,_xlpm.cil,IF(OR(_xlpm.comb="BEV",P188="Motos",P188="Cuatrimotos",G188=""),"",SUBSTITUTE(FIXED(G188/1000,_xlpm.dec,TRUE),",",".")&amp;"L"),IF(E188="","",UPPER(_xlfn.TEXTJOIN(" ",TRUE,E188,F188,_xlpm.cil,_xlpm.kwh,_xlpm.comb,I188,_xlpm.trans))))</f>
        <v/>
      </c>
      <c r="D188" s="24" t="str" cm="1">
        <f t="array" ref="D188">_xlfn.LET(_xlpm.comb,_xlfn.XLOOKUP(H188,NPF!$A$4:$A$10,NPF!$B$4:$B$10,""),_xlpm.trans,_xlfn.XLOOKUP(J188,NPF!$D$4:$D$7,NPF!$E$4:$E$7,""),_xlpm.orig,NPF!$W$4:$W$33,_xlpm.abr,NPF!$X$4:$X$33,_xlpm.txt,_xlfn.REDUCE(UPPER(TRIM(E188&amp;" "&amp;F188)),_xlfn.SEQUENCE(ROWS(_xlpm.orig)),_xlfn.LAMBDA(_xlpm.a,_xlpm.i,IF(INDEX(_xlpm.orig,_xlpm.i)="",_xlpm.a,SUBSTITUTE(_xlpm.a,UPPER(INDEX(_xlpm.orig,_xlpm.i)),INDEX(_xlpm.abr,_xlpm.i))))),_xlpm.mv,SUBSTITUTE(SUBSTITUTE(SUBSTITUTE(_xlpm.txt,"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188),OR(_xlpm.comb="BEV",_xlpm.comb="PHEV",_xlpm.comb="MHEV")),ROUND(K188,0)&amp;"KWH",""),_xlpm.dec,1,_xlpm.cil,IF(OR(_xlpm.comb="BEV",P188="Motos",P188="Cuatrimotos",G188=""),"",SUBSTITUTE(FIXED(G188/1000,_xlpm.dec,TRUE),",",".")&amp;"L"),_xlpm.modelo,_xlpm.mv&amp;_xlpm.kwh,_xlpm.res,IF(B188="CAMIONES",_xlfn.TEXTJOIN("-",TRUE,_xlpm.modelo,_xlpm.cil,_xlpm.comb,UPPER(I188),_xlpm.trans),IF(B188="VEHICULOS",_xlfn.TEXTJOIN("-",TRUE,_xlpm.modelo,_xlpm.comb,_xlpm.cil,LOWER(I188),_xlpm.trans),"Elija TIPO MATERIAL")),IF(E188="","",_xlpm.res))</f>
        <v/>
      </c>
      <c r="Q188" s="21" t="str">
        <f t="shared" si="10"/>
        <v/>
      </c>
      <c r="R188" s="21" t="str">
        <f t="shared" si="11"/>
        <v/>
      </c>
    </row>
    <row r="189" spans="3:18" x14ac:dyDescent="0.25">
      <c r="C189" s="24" t="str">
        <f>_xlfn.LET(_xlpm.comb,_xlfn.XLOOKUP(H189,NPF!$A$4:$A$10,NPF!$B$4:$B$10,""),_xlpm.trans,_xlfn.XLOOKUP(J189,NPF!$D$4:$D$7,NPF!$E$4:$E$7,""),_xlpm.kwh,IF(AND(ISNUMBER(K189),OR(_xlpm.comb="BEV",_xlpm.comb="PHEV",_xlpm.comb="MHEV")),ROUND(K189,0)&amp;"KWH",""),_xlpm.dec,1,_xlpm.cil,IF(OR(_xlpm.comb="BEV",P189="Motos",P189="Cuatrimotos",G189=""),"",SUBSTITUTE(FIXED(G189/1000,_xlpm.dec,TRUE),",",".")&amp;"L"),IF(E189="","",UPPER(_xlfn.TEXTJOIN(" ",TRUE,E189,F189,_xlpm.cil,_xlpm.kwh,_xlpm.comb,I189,_xlpm.trans))))</f>
        <v/>
      </c>
      <c r="D189" s="24" t="str" cm="1">
        <f t="array" ref="D189">_xlfn.LET(_xlpm.comb,_xlfn.XLOOKUP(H189,NPF!$A$4:$A$10,NPF!$B$4:$B$10,""),_xlpm.trans,_xlfn.XLOOKUP(J189,NPF!$D$4:$D$7,NPF!$E$4:$E$7,""),_xlpm.orig,NPF!$W$4:$W$33,_xlpm.abr,NPF!$X$4:$X$33,_xlpm.txt,_xlfn.REDUCE(UPPER(TRIM(E189&amp;" "&amp;F189)),_xlfn.SEQUENCE(ROWS(_xlpm.orig)),_xlfn.LAMBDA(_xlpm.a,_xlpm.i,IF(INDEX(_xlpm.orig,_xlpm.i)="",_xlpm.a,SUBSTITUTE(_xlpm.a,UPPER(INDEX(_xlpm.orig,_xlpm.i)),INDEX(_xlpm.abr,_xlpm.i))))),_xlpm.mv,SUBSTITUTE(SUBSTITUTE(SUBSTITUTE(_xlpm.txt,"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189),OR(_xlpm.comb="BEV",_xlpm.comb="PHEV",_xlpm.comb="MHEV")),ROUND(K189,0)&amp;"KWH",""),_xlpm.dec,1,_xlpm.cil,IF(OR(_xlpm.comb="BEV",P189="Motos",P189="Cuatrimotos",G189=""),"",SUBSTITUTE(FIXED(G189/1000,_xlpm.dec,TRUE),",",".")&amp;"L"),_xlpm.modelo,_xlpm.mv&amp;_xlpm.kwh,_xlpm.res,IF(B189="CAMIONES",_xlfn.TEXTJOIN("-",TRUE,_xlpm.modelo,_xlpm.cil,_xlpm.comb,UPPER(I189),_xlpm.trans),IF(B189="VEHICULOS",_xlfn.TEXTJOIN("-",TRUE,_xlpm.modelo,_xlpm.comb,_xlpm.cil,LOWER(I189),_xlpm.trans),"Elija TIPO MATERIAL")),IF(E189="","",_xlpm.res))</f>
        <v/>
      </c>
      <c r="Q189" s="21" t="str">
        <f t="shared" si="10"/>
        <v/>
      </c>
      <c r="R189" s="21" t="str">
        <f t="shared" si="11"/>
        <v/>
      </c>
    </row>
    <row r="190" spans="3:18" x14ac:dyDescent="0.25">
      <c r="C190" s="24" t="str">
        <f>_xlfn.LET(_xlpm.comb,_xlfn.XLOOKUP(H190,NPF!$A$4:$A$10,NPF!$B$4:$B$10,""),_xlpm.trans,_xlfn.XLOOKUP(J190,NPF!$D$4:$D$7,NPF!$E$4:$E$7,""),_xlpm.kwh,IF(AND(ISNUMBER(K190),OR(_xlpm.comb="BEV",_xlpm.comb="PHEV",_xlpm.comb="MHEV")),ROUND(K190,0)&amp;"KWH",""),_xlpm.dec,1,_xlpm.cil,IF(OR(_xlpm.comb="BEV",P190="Motos",P190="Cuatrimotos",G190=""),"",SUBSTITUTE(FIXED(G190/1000,_xlpm.dec,TRUE),",",".")&amp;"L"),IF(E190="","",UPPER(_xlfn.TEXTJOIN(" ",TRUE,E190,F190,_xlpm.cil,_xlpm.kwh,_xlpm.comb,I190,_xlpm.trans))))</f>
        <v/>
      </c>
      <c r="D190" s="24" t="str" cm="1">
        <f t="array" ref="D190">_xlfn.LET(_xlpm.comb,_xlfn.XLOOKUP(H190,NPF!$A$4:$A$10,NPF!$B$4:$B$10,""),_xlpm.trans,_xlfn.XLOOKUP(J190,NPF!$D$4:$D$7,NPF!$E$4:$E$7,""),_xlpm.orig,NPF!$W$4:$W$33,_xlpm.abr,NPF!$X$4:$X$33,_xlpm.txt,_xlfn.REDUCE(UPPER(TRIM(E190&amp;" "&amp;F190)),_xlfn.SEQUENCE(ROWS(_xlpm.orig)),_xlfn.LAMBDA(_xlpm.a,_xlpm.i,IF(INDEX(_xlpm.orig,_xlpm.i)="",_xlpm.a,SUBSTITUTE(_xlpm.a,UPPER(INDEX(_xlpm.orig,_xlpm.i)),INDEX(_xlpm.abr,_xlpm.i))))),_xlpm.mv,SUBSTITUTE(SUBSTITUTE(SUBSTITUTE(_xlpm.txt,"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190),OR(_xlpm.comb="BEV",_xlpm.comb="PHEV",_xlpm.comb="MHEV")),ROUND(K190,0)&amp;"KWH",""),_xlpm.dec,1,_xlpm.cil,IF(OR(_xlpm.comb="BEV",P190="Motos",P190="Cuatrimotos",G190=""),"",SUBSTITUTE(FIXED(G190/1000,_xlpm.dec,TRUE),",",".")&amp;"L"),_xlpm.modelo,_xlpm.mv&amp;_xlpm.kwh,_xlpm.res,IF(B190="CAMIONES",_xlfn.TEXTJOIN("-",TRUE,_xlpm.modelo,_xlpm.cil,_xlpm.comb,UPPER(I190),_xlpm.trans),IF(B190="VEHICULOS",_xlfn.TEXTJOIN("-",TRUE,_xlpm.modelo,_xlpm.comb,_xlpm.cil,LOWER(I190),_xlpm.trans),"Elija TIPO MATERIAL")),IF(E190="","",_xlpm.res))</f>
        <v/>
      </c>
      <c r="Q190" s="21" t="str">
        <f t="shared" si="10"/>
        <v/>
      </c>
      <c r="R190" s="21" t="str">
        <f t="shared" si="11"/>
        <v/>
      </c>
    </row>
    <row r="191" spans="3:18" x14ac:dyDescent="0.25">
      <c r="C191" s="24" t="str">
        <f>_xlfn.LET(_xlpm.comb,_xlfn.XLOOKUP(H191,NPF!$A$4:$A$10,NPF!$B$4:$B$10,""),_xlpm.trans,_xlfn.XLOOKUP(J191,NPF!$D$4:$D$7,NPF!$E$4:$E$7,""),_xlpm.kwh,IF(AND(ISNUMBER(K191),OR(_xlpm.comb="BEV",_xlpm.comb="PHEV",_xlpm.comb="MHEV")),ROUND(K191,0)&amp;"KWH",""),_xlpm.dec,1,_xlpm.cil,IF(OR(_xlpm.comb="BEV",P191="Motos",P191="Cuatrimotos",G191=""),"",SUBSTITUTE(FIXED(G191/1000,_xlpm.dec,TRUE),",",".")&amp;"L"),IF(E191="","",UPPER(_xlfn.TEXTJOIN(" ",TRUE,E191,F191,_xlpm.cil,_xlpm.kwh,_xlpm.comb,I191,_xlpm.trans))))</f>
        <v/>
      </c>
      <c r="D191" s="24" t="str" cm="1">
        <f t="array" ref="D191">_xlfn.LET(_xlpm.comb,_xlfn.XLOOKUP(H191,NPF!$A$4:$A$10,NPF!$B$4:$B$10,""),_xlpm.trans,_xlfn.XLOOKUP(J191,NPF!$D$4:$D$7,NPF!$E$4:$E$7,""),_xlpm.orig,NPF!$W$4:$W$33,_xlpm.abr,NPF!$X$4:$X$33,_xlpm.txt,_xlfn.REDUCE(UPPER(TRIM(E191&amp;" "&amp;F191)),_xlfn.SEQUENCE(ROWS(_xlpm.orig)),_xlfn.LAMBDA(_xlpm.a,_xlpm.i,IF(INDEX(_xlpm.orig,_xlpm.i)="",_xlpm.a,SUBSTITUTE(_xlpm.a,UPPER(INDEX(_xlpm.orig,_xlpm.i)),INDEX(_xlpm.abr,_xlpm.i))))),_xlpm.mv,SUBSTITUTE(SUBSTITUTE(SUBSTITUTE(_xlpm.txt,"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191),OR(_xlpm.comb="BEV",_xlpm.comb="PHEV",_xlpm.comb="MHEV")),ROUND(K191,0)&amp;"KWH",""),_xlpm.dec,1,_xlpm.cil,IF(OR(_xlpm.comb="BEV",P191="Motos",P191="Cuatrimotos",G191=""),"",SUBSTITUTE(FIXED(G191/1000,_xlpm.dec,TRUE),",",".")&amp;"L"),_xlpm.modelo,_xlpm.mv&amp;_xlpm.kwh,_xlpm.res,IF(B191="CAMIONES",_xlfn.TEXTJOIN("-",TRUE,_xlpm.modelo,_xlpm.cil,_xlpm.comb,UPPER(I191),_xlpm.trans),IF(B191="VEHICULOS",_xlfn.TEXTJOIN("-",TRUE,_xlpm.modelo,_xlpm.comb,_xlpm.cil,LOWER(I191),_xlpm.trans),"Elija TIPO MATERIAL")),IF(E191="","",_xlpm.res))</f>
        <v/>
      </c>
      <c r="Q191" s="21" t="str">
        <f t="shared" si="10"/>
        <v/>
      </c>
      <c r="R191" s="21" t="str">
        <f t="shared" si="11"/>
        <v/>
      </c>
    </row>
    <row r="192" spans="3:18" x14ac:dyDescent="0.25">
      <c r="C192" s="24" t="str">
        <f>_xlfn.LET(_xlpm.comb,_xlfn.XLOOKUP(H192,NPF!$A$4:$A$10,NPF!$B$4:$B$10,""),_xlpm.trans,_xlfn.XLOOKUP(J192,NPF!$D$4:$D$7,NPF!$E$4:$E$7,""),_xlpm.kwh,IF(AND(ISNUMBER(K192),OR(_xlpm.comb="BEV",_xlpm.comb="PHEV",_xlpm.comb="MHEV")),ROUND(K192,0)&amp;"KWH",""),_xlpm.dec,1,_xlpm.cil,IF(OR(_xlpm.comb="BEV",P192="Motos",P192="Cuatrimotos",G192=""),"",SUBSTITUTE(FIXED(G192/1000,_xlpm.dec,TRUE),",",".")&amp;"L"),IF(E192="","",UPPER(_xlfn.TEXTJOIN(" ",TRUE,E192,F192,_xlpm.cil,_xlpm.kwh,_xlpm.comb,I192,_xlpm.trans))))</f>
        <v/>
      </c>
      <c r="D192" s="24" t="str" cm="1">
        <f t="array" ref="D192">_xlfn.LET(_xlpm.comb,_xlfn.XLOOKUP(H192,NPF!$A$4:$A$10,NPF!$B$4:$B$10,""),_xlpm.trans,_xlfn.XLOOKUP(J192,NPF!$D$4:$D$7,NPF!$E$4:$E$7,""),_xlpm.orig,NPF!$W$4:$W$33,_xlpm.abr,NPF!$X$4:$X$33,_xlpm.txt,_xlfn.REDUCE(UPPER(TRIM(E192&amp;" "&amp;F192)),_xlfn.SEQUENCE(ROWS(_xlpm.orig)),_xlfn.LAMBDA(_xlpm.a,_xlpm.i,IF(INDEX(_xlpm.orig,_xlpm.i)="",_xlpm.a,SUBSTITUTE(_xlpm.a,UPPER(INDEX(_xlpm.orig,_xlpm.i)),INDEX(_xlpm.abr,_xlpm.i))))),_xlpm.mv,SUBSTITUTE(SUBSTITUTE(SUBSTITUTE(_xlpm.txt,"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192),OR(_xlpm.comb="BEV",_xlpm.comb="PHEV",_xlpm.comb="MHEV")),ROUND(K192,0)&amp;"KWH",""),_xlpm.dec,1,_xlpm.cil,IF(OR(_xlpm.comb="BEV",P192="Motos",P192="Cuatrimotos",G192=""),"",SUBSTITUTE(FIXED(G192/1000,_xlpm.dec,TRUE),",",".")&amp;"L"),_xlpm.modelo,_xlpm.mv&amp;_xlpm.kwh,_xlpm.res,IF(B192="CAMIONES",_xlfn.TEXTJOIN("-",TRUE,_xlpm.modelo,_xlpm.cil,_xlpm.comb,UPPER(I192),_xlpm.trans),IF(B192="VEHICULOS",_xlfn.TEXTJOIN("-",TRUE,_xlpm.modelo,_xlpm.comb,_xlpm.cil,LOWER(I192),_xlpm.trans),"Elija TIPO MATERIAL")),IF(E192="","",_xlpm.res))</f>
        <v/>
      </c>
      <c r="Q192" s="21" t="str">
        <f t="shared" si="10"/>
        <v/>
      </c>
      <c r="R192" s="21" t="str">
        <f t="shared" si="11"/>
        <v/>
      </c>
    </row>
    <row r="193" spans="3:18" x14ac:dyDescent="0.25">
      <c r="C193" s="24" t="str">
        <f>_xlfn.LET(_xlpm.comb,_xlfn.XLOOKUP(H193,NPF!$A$4:$A$10,NPF!$B$4:$B$10,""),_xlpm.trans,_xlfn.XLOOKUP(J193,NPF!$D$4:$D$7,NPF!$E$4:$E$7,""),_xlpm.kwh,IF(AND(ISNUMBER(K193),OR(_xlpm.comb="BEV",_xlpm.comb="PHEV",_xlpm.comb="MHEV")),ROUND(K193,0)&amp;"KWH",""),_xlpm.dec,1,_xlpm.cil,IF(OR(_xlpm.comb="BEV",P193="Motos",P193="Cuatrimotos",G193=""),"",SUBSTITUTE(FIXED(G193/1000,_xlpm.dec,TRUE),",",".")&amp;"L"),IF(E193="","",UPPER(_xlfn.TEXTJOIN(" ",TRUE,E193,F193,_xlpm.cil,_xlpm.kwh,_xlpm.comb,I193,_xlpm.trans))))</f>
        <v/>
      </c>
      <c r="D193" s="24" t="str" cm="1">
        <f t="array" ref="D193">_xlfn.LET(_xlpm.comb,_xlfn.XLOOKUP(H193,NPF!$A$4:$A$10,NPF!$B$4:$B$10,""),_xlpm.trans,_xlfn.XLOOKUP(J193,NPF!$D$4:$D$7,NPF!$E$4:$E$7,""),_xlpm.orig,NPF!$W$4:$W$33,_xlpm.abr,NPF!$X$4:$X$33,_xlpm.txt,_xlfn.REDUCE(UPPER(TRIM(E193&amp;" "&amp;F193)),_xlfn.SEQUENCE(ROWS(_xlpm.orig)),_xlfn.LAMBDA(_xlpm.a,_xlpm.i,IF(INDEX(_xlpm.orig,_xlpm.i)="",_xlpm.a,SUBSTITUTE(_xlpm.a,UPPER(INDEX(_xlpm.orig,_xlpm.i)),INDEX(_xlpm.abr,_xlpm.i))))),_xlpm.mv,SUBSTITUTE(SUBSTITUTE(SUBSTITUTE(_xlpm.txt,"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193),OR(_xlpm.comb="BEV",_xlpm.comb="PHEV",_xlpm.comb="MHEV")),ROUND(K193,0)&amp;"KWH",""),_xlpm.dec,1,_xlpm.cil,IF(OR(_xlpm.comb="BEV",P193="Motos",P193="Cuatrimotos",G193=""),"",SUBSTITUTE(FIXED(G193/1000,_xlpm.dec,TRUE),",",".")&amp;"L"),_xlpm.modelo,_xlpm.mv&amp;_xlpm.kwh,_xlpm.res,IF(B193="CAMIONES",_xlfn.TEXTJOIN("-",TRUE,_xlpm.modelo,_xlpm.cil,_xlpm.comb,UPPER(I193),_xlpm.trans),IF(B193="VEHICULOS",_xlfn.TEXTJOIN("-",TRUE,_xlpm.modelo,_xlpm.comb,_xlpm.cil,LOWER(I193),_xlpm.trans),"Elija TIPO MATERIAL")),IF(E193="","",_xlpm.res))</f>
        <v/>
      </c>
      <c r="Q193" s="21" t="str">
        <f t="shared" si="10"/>
        <v/>
      </c>
      <c r="R193" s="21" t="str">
        <f t="shared" si="11"/>
        <v/>
      </c>
    </row>
    <row r="194" spans="3:18" x14ac:dyDescent="0.25">
      <c r="C194" s="24" t="str">
        <f>_xlfn.LET(_xlpm.comb,_xlfn.XLOOKUP(H194,NPF!$A$4:$A$10,NPF!$B$4:$B$10,""),_xlpm.trans,_xlfn.XLOOKUP(J194,NPF!$D$4:$D$7,NPF!$E$4:$E$7,""),_xlpm.kwh,IF(AND(ISNUMBER(K194),OR(_xlpm.comb="BEV",_xlpm.comb="PHEV",_xlpm.comb="MHEV")),ROUND(K194,0)&amp;"KWH",""),_xlpm.dec,1,_xlpm.cil,IF(OR(_xlpm.comb="BEV",P194="Motos",P194="Cuatrimotos",G194=""),"",SUBSTITUTE(FIXED(G194/1000,_xlpm.dec,TRUE),",",".")&amp;"L"),IF(E194="","",UPPER(_xlfn.TEXTJOIN(" ",TRUE,E194,F194,_xlpm.cil,_xlpm.kwh,_xlpm.comb,I194,_xlpm.trans))))</f>
        <v/>
      </c>
      <c r="D194" s="24" t="str" cm="1">
        <f t="array" ref="D194">_xlfn.LET(_xlpm.comb,_xlfn.XLOOKUP(H194,NPF!$A$4:$A$10,NPF!$B$4:$B$10,""),_xlpm.trans,_xlfn.XLOOKUP(J194,NPF!$D$4:$D$7,NPF!$E$4:$E$7,""),_xlpm.orig,NPF!$W$4:$W$33,_xlpm.abr,NPF!$X$4:$X$33,_xlpm.txt,_xlfn.REDUCE(UPPER(TRIM(E194&amp;" "&amp;F194)),_xlfn.SEQUENCE(ROWS(_xlpm.orig)),_xlfn.LAMBDA(_xlpm.a,_xlpm.i,IF(INDEX(_xlpm.orig,_xlpm.i)="",_xlpm.a,SUBSTITUTE(_xlpm.a,UPPER(INDEX(_xlpm.orig,_xlpm.i)),INDEX(_xlpm.abr,_xlpm.i))))),_xlpm.mv,SUBSTITUTE(SUBSTITUTE(SUBSTITUTE(_xlpm.txt,"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194),OR(_xlpm.comb="BEV",_xlpm.comb="PHEV",_xlpm.comb="MHEV")),ROUND(K194,0)&amp;"KWH",""),_xlpm.dec,1,_xlpm.cil,IF(OR(_xlpm.comb="BEV",P194="Motos",P194="Cuatrimotos",G194=""),"",SUBSTITUTE(FIXED(G194/1000,_xlpm.dec,TRUE),",",".")&amp;"L"),_xlpm.modelo,_xlpm.mv&amp;_xlpm.kwh,_xlpm.res,IF(B194="CAMIONES",_xlfn.TEXTJOIN("-",TRUE,_xlpm.modelo,_xlpm.cil,_xlpm.comb,UPPER(I194),_xlpm.trans),IF(B194="VEHICULOS",_xlfn.TEXTJOIN("-",TRUE,_xlpm.modelo,_xlpm.comb,_xlpm.cil,LOWER(I194),_xlpm.trans),"Elija TIPO MATERIAL")),IF(E194="","",_xlpm.res))</f>
        <v/>
      </c>
      <c r="Q194" s="21" t="str">
        <f t="shared" ref="Q194:Q200" si="12">IF(C194="","",LEN(C194))</f>
        <v/>
      </c>
      <c r="R194" s="21" t="str">
        <f t="shared" ref="R194:R200" si="13">IF(D194="","",LEN(D194))</f>
        <v/>
      </c>
    </row>
    <row r="195" spans="3:18" x14ac:dyDescent="0.25">
      <c r="C195" s="24" t="str">
        <f>_xlfn.LET(_xlpm.comb,_xlfn.XLOOKUP(H195,NPF!$A$4:$A$10,NPF!$B$4:$B$10,""),_xlpm.trans,_xlfn.XLOOKUP(J195,NPF!$D$4:$D$7,NPF!$E$4:$E$7,""),_xlpm.kwh,IF(AND(ISNUMBER(K195),OR(_xlpm.comb="BEV",_xlpm.comb="PHEV",_xlpm.comb="MHEV")),ROUND(K195,0)&amp;"KWH",""),_xlpm.dec,1,_xlpm.cil,IF(OR(_xlpm.comb="BEV",P195="Motos",P195="Cuatrimotos",G195=""),"",SUBSTITUTE(FIXED(G195/1000,_xlpm.dec,TRUE),",",".")&amp;"L"),IF(E195="","",UPPER(_xlfn.TEXTJOIN(" ",TRUE,E195,F195,_xlpm.cil,_xlpm.kwh,_xlpm.comb,I195,_xlpm.trans))))</f>
        <v/>
      </c>
      <c r="D195" s="24" t="str" cm="1">
        <f t="array" ref="D195">_xlfn.LET(_xlpm.comb,_xlfn.XLOOKUP(H195,NPF!$A$4:$A$10,NPF!$B$4:$B$10,""),_xlpm.trans,_xlfn.XLOOKUP(J195,NPF!$D$4:$D$7,NPF!$E$4:$E$7,""),_xlpm.orig,NPF!$W$4:$W$33,_xlpm.abr,NPF!$X$4:$X$33,_xlpm.txt,_xlfn.REDUCE(UPPER(TRIM(E195&amp;" "&amp;F195)),_xlfn.SEQUENCE(ROWS(_xlpm.orig)),_xlfn.LAMBDA(_xlpm.a,_xlpm.i,IF(INDEX(_xlpm.orig,_xlpm.i)="",_xlpm.a,SUBSTITUTE(_xlpm.a,UPPER(INDEX(_xlpm.orig,_xlpm.i)),INDEX(_xlpm.abr,_xlpm.i))))),_xlpm.mv,SUBSTITUTE(SUBSTITUTE(SUBSTITUTE(_xlpm.txt,"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195),OR(_xlpm.comb="BEV",_xlpm.comb="PHEV",_xlpm.comb="MHEV")),ROUND(K195,0)&amp;"KWH",""),_xlpm.dec,1,_xlpm.cil,IF(OR(_xlpm.comb="BEV",P195="Motos",P195="Cuatrimotos",G195=""),"",SUBSTITUTE(FIXED(G195/1000,_xlpm.dec,TRUE),",",".")&amp;"L"),_xlpm.modelo,_xlpm.mv&amp;_xlpm.kwh,_xlpm.res,IF(B195="CAMIONES",_xlfn.TEXTJOIN("-",TRUE,_xlpm.modelo,_xlpm.cil,_xlpm.comb,UPPER(I195),_xlpm.trans),IF(B195="VEHICULOS",_xlfn.TEXTJOIN("-",TRUE,_xlpm.modelo,_xlpm.comb,_xlpm.cil,LOWER(I195),_xlpm.trans),"Elija TIPO MATERIAL")),IF(E195="","",_xlpm.res))</f>
        <v/>
      </c>
      <c r="Q195" s="21" t="str">
        <f t="shared" si="12"/>
        <v/>
      </c>
      <c r="R195" s="21" t="str">
        <f t="shared" si="13"/>
        <v/>
      </c>
    </row>
    <row r="196" spans="3:18" x14ac:dyDescent="0.25">
      <c r="C196" s="24" t="str">
        <f>_xlfn.LET(_xlpm.comb,_xlfn.XLOOKUP(H196,NPF!$A$4:$A$10,NPF!$B$4:$B$10,""),_xlpm.trans,_xlfn.XLOOKUP(J196,NPF!$D$4:$D$7,NPF!$E$4:$E$7,""),_xlpm.kwh,IF(AND(ISNUMBER(K196),OR(_xlpm.comb="BEV",_xlpm.comb="PHEV",_xlpm.comb="MHEV")),ROUND(K196,0)&amp;"KWH",""),_xlpm.dec,1,_xlpm.cil,IF(OR(_xlpm.comb="BEV",P196="Motos",P196="Cuatrimotos",G196=""),"",SUBSTITUTE(FIXED(G196/1000,_xlpm.dec,TRUE),",",".")&amp;"L"),IF(E196="","",UPPER(_xlfn.TEXTJOIN(" ",TRUE,E196,F196,_xlpm.cil,_xlpm.kwh,_xlpm.comb,I196,_xlpm.trans))))</f>
        <v/>
      </c>
      <c r="D196" s="24" t="str" cm="1">
        <f t="array" ref="D196">_xlfn.LET(_xlpm.comb,_xlfn.XLOOKUP(H196,NPF!$A$4:$A$10,NPF!$B$4:$B$10,""),_xlpm.trans,_xlfn.XLOOKUP(J196,NPF!$D$4:$D$7,NPF!$E$4:$E$7,""),_xlpm.orig,NPF!$W$4:$W$33,_xlpm.abr,NPF!$X$4:$X$33,_xlpm.txt,_xlfn.REDUCE(UPPER(TRIM(E196&amp;" "&amp;F196)),_xlfn.SEQUENCE(ROWS(_xlpm.orig)),_xlfn.LAMBDA(_xlpm.a,_xlpm.i,IF(INDEX(_xlpm.orig,_xlpm.i)="",_xlpm.a,SUBSTITUTE(_xlpm.a,UPPER(INDEX(_xlpm.orig,_xlpm.i)),INDEX(_xlpm.abr,_xlpm.i))))),_xlpm.mv,SUBSTITUTE(SUBSTITUTE(SUBSTITUTE(_xlpm.txt,"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196),OR(_xlpm.comb="BEV",_xlpm.comb="PHEV",_xlpm.comb="MHEV")),ROUND(K196,0)&amp;"KWH",""),_xlpm.dec,1,_xlpm.cil,IF(OR(_xlpm.comb="BEV",P196="Motos",P196="Cuatrimotos",G196=""),"",SUBSTITUTE(FIXED(G196/1000,_xlpm.dec,TRUE),",",".")&amp;"L"),_xlpm.modelo,_xlpm.mv&amp;_xlpm.kwh,_xlpm.res,IF(B196="CAMIONES",_xlfn.TEXTJOIN("-",TRUE,_xlpm.modelo,_xlpm.cil,_xlpm.comb,UPPER(I196),_xlpm.trans),IF(B196="VEHICULOS",_xlfn.TEXTJOIN("-",TRUE,_xlpm.modelo,_xlpm.comb,_xlpm.cil,LOWER(I196),_xlpm.trans),"Elija TIPO MATERIAL")),IF(E196="","",_xlpm.res))</f>
        <v/>
      </c>
      <c r="Q196" s="21" t="str">
        <f t="shared" si="12"/>
        <v/>
      </c>
      <c r="R196" s="21" t="str">
        <f t="shared" si="13"/>
        <v/>
      </c>
    </row>
    <row r="197" spans="3:18" x14ac:dyDescent="0.25">
      <c r="C197" s="24" t="str">
        <f>_xlfn.LET(_xlpm.comb,_xlfn.XLOOKUP(H197,NPF!$A$4:$A$10,NPF!$B$4:$B$10,""),_xlpm.trans,_xlfn.XLOOKUP(J197,NPF!$D$4:$D$7,NPF!$E$4:$E$7,""),_xlpm.kwh,IF(AND(ISNUMBER(K197),OR(_xlpm.comb="BEV",_xlpm.comb="PHEV",_xlpm.comb="MHEV")),ROUND(K197,0)&amp;"KWH",""),_xlpm.dec,1,_xlpm.cil,IF(OR(_xlpm.comb="BEV",P197="Motos",P197="Cuatrimotos",G197=""),"",SUBSTITUTE(FIXED(G197/1000,_xlpm.dec,TRUE),",",".")&amp;"L"),IF(E197="","",UPPER(_xlfn.TEXTJOIN(" ",TRUE,E197,F197,_xlpm.cil,_xlpm.kwh,_xlpm.comb,I197,_xlpm.trans))))</f>
        <v/>
      </c>
      <c r="D197" s="24" t="str" cm="1">
        <f t="array" ref="D197">_xlfn.LET(_xlpm.comb,_xlfn.XLOOKUP(H197,NPF!$A$4:$A$10,NPF!$B$4:$B$10,""),_xlpm.trans,_xlfn.XLOOKUP(J197,NPF!$D$4:$D$7,NPF!$E$4:$E$7,""),_xlpm.orig,NPF!$W$4:$W$33,_xlpm.abr,NPF!$X$4:$X$33,_xlpm.txt,_xlfn.REDUCE(UPPER(TRIM(E197&amp;" "&amp;F197)),_xlfn.SEQUENCE(ROWS(_xlpm.orig)),_xlfn.LAMBDA(_xlpm.a,_xlpm.i,IF(INDEX(_xlpm.orig,_xlpm.i)="",_xlpm.a,SUBSTITUTE(_xlpm.a,UPPER(INDEX(_xlpm.orig,_xlpm.i)),INDEX(_xlpm.abr,_xlpm.i))))),_xlpm.mv,SUBSTITUTE(SUBSTITUTE(SUBSTITUTE(_xlpm.txt,"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197),OR(_xlpm.comb="BEV",_xlpm.comb="PHEV",_xlpm.comb="MHEV")),ROUND(K197,0)&amp;"KWH",""),_xlpm.dec,1,_xlpm.cil,IF(OR(_xlpm.comb="BEV",P197="Motos",P197="Cuatrimotos",G197=""),"",SUBSTITUTE(FIXED(G197/1000,_xlpm.dec,TRUE),",",".")&amp;"L"),_xlpm.modelo,_xlpm.mv&amp;_xlpm.kwh,_xlpm.res,IF(B197="CAMIONES",_xlfn.TEXTJOIN("-",TRUE,_xlpm.modelo,_xlpm.cil,_xlpm.comb,UPPER(I197),_xlpm.trans),IF(B197="VEHICULOS",_xlfn.TEXTJOIN("-",TRUE,_xlpm.modelo,_xlpm.comb,_xlpm.cil,LOWER(I197),_xlpm.trans),"Elija TIPO MATERIAL")),IF(E197="","",_xlpm.res))</f>
        <v/>
      </c>
      <c r="Q197" s="21" t="str">
        <f t="shared" si="12"/>
        <v/>
      </c>
      <c r="R197" s="21" t="str">
        <f t="shared" si="13"/>
        <v/>
      </c>
    </row>
    <row r="198" spans="3:18" x14ac:dyDescent="0.25">
      <c r="C198" s="24" t="str">
        <f>_xlfn.LET(_xlpm.comb,_xlfn.XLOOKUP(H198,NPF!$A$4:$A$10,NPF!$B$4:$B$10,""),_xlpm.trans,_xlfn.XLOOKUP(J198,NPF!$D$4:$D$7,NPF!$E$4:$E$7,""),_xlpm.kwh,IF(AND(ISNUMBER(K198),OR(_xlpm.comb="BEV",_xlpm.comb="PHEV",_xlpm.comb="MHEV")),ROUND(K198,0)&amp;"KWH",""),_xlpm.dec,1,_xlpm.cil,IF(OR(_xlpm.comb="BEV",P198="Motos",P198="Cuatrimotos",G198=""),"",SUBSTITUTE(FIXED(G198/1000,_xlpm.dec,TRUE),",",".")&amp;"L"),IF(E198="","",UPPER(_xlfn.TEXTJOIN(" ",TRUE,E198,F198,_xlpm.cil,_xlpm.kwh,_xlpm.comb,I198,_xlpm.trans))))</f>
        <v/>
      </c>
      <c r="D198" s="24" t="str" cm="1">
        <f t="array" ref="D198">_xlfn.LET(_xlpm.comb,_xlfn.XLOOKUP(H198,NPF!$A$4:$A$10,NPF!$B$4:$B$10,""),_xlpm.trans,_xlfn.XLOOKUP(J198,NPF!$D$4:$D$7,NPF!$E$4:$E$7,""),_xlpm.orig,NPF!$W$4:$W$33,_xlpm.abr,NPF!$X$4:$X$33,_xlpm.txt,_xlfn.REDUCE(UPPER(TRIM(E198&amp;" "&amp;F198)),_xlfn.SEQUENCE(ROWS(_xlpm.orig)),_xlfn.LAMBDA(_xlpm.a,_xlpm.i,IF(INDEX(_xlpm.orig,_xlpm.i)="",_xlpm.a,SUBSTITUTE(_xlpm.a,UPPER(INDEX(_xlpm.orig,_xlpm.i)),INDEX(_xlpm.abr,_xlpm.i))))),_xlpm.mv,SUBSTITUTE(SUBSTITUTE(SUBSTITUTE(_xlpm.txt,"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198),OR(_xlpm.comb="BEV",_xlpm.comb="PHEV",_xlpm.comb="MHEV")),ROUND(K198,0)&amp;"KWH",""),_xlpm.dec,1,_xlpm.cil,IF(OR(_xlpm.comb="BEV",P198="Motos",P198="Cuatrimotos",G198=""),"",SUBSTITUTE(FIXED(G198/1000,_xlpm.dec,TRUE),",",".")&amp;"L"),_xlpm.modelo,_xlpm.mv&amp;_xlpm.kwh,_xlpm.res,IF(B198="CAMIONES",_xlfn.TEXTJOIN("-",TRUE,_xlpm.modelo,_xlpm.cil,_xlpm.comb,UPPER(I198),_xlpm.trans),IF(B198="VEHICULOS",_xlfn.TEXTJOIN("-",TRUE,_xlpm.modelo,_xlpm.comb,_xlpm.cil,LOWER(I198),_xlpm.trans),"Elija TIPO MATERIAL")),IF(E198="","",_xlpm.res))</f>
        <v/>
      </c>
      <c r="Q198" s="21" t="str">
        <f t="shared" si="12"/>
        <v/>
      </c>
      <c r="R198" s="21" t="str">
        <f t="shared" si="13"/>
        <v/>
      </c>
    </row>
    <row r="199" spans="3:18" x14ac:dyDescent="0.25">
      <c r="C199" s="24" t="str">
        <f>_xlfn.LET(_xlpm.comb,_xlfn.XLOOKUP(H199,NPF!$A$4:$A$10,NPF!$B$4:$B$10,""),_xlpm.trans,_xlfn.XLOOKUP(J199,NPF!$D$4:$D$7,NPF!$E$4:$E$7,""),_xlpm.kwh,IF(AND(ISNUMBER(K199),OR(_xlpm.comb="BEV",_xlpm.comb="PHEV",_xlpm.comb="MHEV")),ROUND(K199,0)&amp;"KWH",""),_xlpm.dec,1,_xlpm.cil,IF(OR(_xlpm.comb="BEV",P199="Motos",P199="Cuatrimotos",G199=""),"",SUBSTITUTE(FIXED(G199/1000,_xlpm.dec,TRUE),",",".")&amp;"L"),IF(E199="","",UPPER(_xlfn.TEXTJOIN(" ",TRUE,E199,F199,_xlpm.cil,_xlpm.kwh,_xlpm.comb,I199,_xlpm.trans))))</f>
        <v/>
      </c>
      <c r="D199" s="24" t="str" cm="1">
        <f t="array" ref="D199">_xlfn.LET(_xlpm.comb,_xlfn.XLOOKUP(H199,NPF!$A$4:$A$10,NPF!$B$4:$B$10,""),_xlpm.trans,_xlfn.XLOOKUP(J199,NPF!$D$4:$D$7,NPF!$E$4:$E$7,""),_xlpm.orig,NPF!$W$4:$W$33,_xlpm.abr,NPF!$X$4:$X$33,_xlpm.txt,_xlfn.REDUCE(UPPER(TRIM(E199&amp;" "&amp;F199)),_xlfn.SEQUENCE(ROWS(_xlpm.orig)),_xlfn.LAMBDA(_xlpm.a,_xlpm.i,IF(INDEX(_xlpm.orig,_xlpm.i)="",_xlpm.a,SUBSTITUTE(_xlpm.a,UPPER(INDEX(_xlpm.orig,_xlpm.i)),INDEX(_xlpm.abr,_xlpm.i))))),_xlpm.mv,SUBSTITUTE(SUBSTITUTE(SUBSTITUTE(_xlpm.txt,"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199),OR(_xlpm.comb="BEV",_xlpm.comb="PHEV",_xlpm.comb="MHEV")),ROUND(K199,0)&amp;"KWH",""),_xlpm.dec,1,_xlpm.cil,IF(OR(_xlpm.comb="BEV",P199="Motos",P199="Cuatrimotos",G199=""),"",SUBSTITUTE(FIXED(G199/1000,_xlpm.dec,TRUE),",",".")&amp;"L"),_xlpm.modelo,_xlpm.mv&amp;_xlpm.kwh,_xlpm.res,IF(B199="CAMIONES",_xlfn.TEXTJOIN("-",TRUE,_xlpm.modelo,_xlpm.cil,_xlpm.comb,UPPER(I199),_xlpm.trans),IF(B199="VEHICULOS",_xlfn.TEXTJOIN("-",TRUE,_xlpm.modelo,_xlpm.comb,_xlpm.cil,LOWER(I199),_xlpm.trans),"Elija TIPO MATERIAL")),IF(E199="","",_xlpm.res))</f>
        <v/>
      </c>
      <c r="Q199" s="21" t="str">
        <f t="shared" si="12"/>
        <v/>
      </c>
      <c r="R199" s="21" t="str">
        <f t="shared" si="13"/>
        <v/>
      </c>
    </row>
    <row r="200" spans="3:18" x14ac:dyDescent="0.25">
      <c r="C200" s="24" t="str">
        <f>_xlfn.LET(_xlpm.comb,_xlfn.XLOOKUP(H200,NPF!$A$4:$A$10,NPF!$B$4:$B$10,""),_xlpm.trans,_xlfn.XLOOKUP(J200,NPF!$D$4:$D$7,NPF!$E$4:$E$7,""),_xlpm.kwh,IF(AND(ISNUMBER(K200),OR(_xlpm.comb="BEV",_xlpm.comb="PHEV",_xlpm.comb="MHEV")),ROUND(K200,0)&amp;"KWH",""),_xlpm.dec,1,_xlpm.cil,IF(OR(_xlpm.comb="BEV",P200="Motos",P200="Cuatrimotos",G200=""),"",SUBSTITUTE(FIXED(G200/1000,_xlpm.dec,TRUE),",",".")&amp;"L"),IF(E200="","",UPPER(_xlfn.TEXTJOIN(" ",TRUE,E200,F200,_xlpm.cil,_xlpm.kwh,_xlpm.comb,I200,_xlpm.trans))))</f>
        <v/>
      </c>
      <c r="D200" s="24" t="str" cm="1">
        <f t="array" ref="D200">_xlfn.LET(_xlpm.comb,_xlfn.XLOOKUP(H200,NPF!$A$4:$A$10,NPF!$B$4:$B$10,""),_xlpm.trans,_xlfn.XLOOKUP(J200,NPF!$D$4:$D$7,NPF!$E$4:$E$7,""),_xlpm.orig,NPF!$W$4:$W$33,_xlpm.abr,NPF!$X$4:$X$33,_xlpm.txt,_xlfn.REDUCE(UPPER(TRIM(E200&amp;" "&amp;F200)),_xlfn.SEQUENCE(ROWS(_xlpm.orig)),_xlfn.LAMBDA(_xlpm.a,_xlpm.i,IF(INDEX(_xlpm.orig,_xlpm.i)="",_xlpm.a,SUBSTITUTE(_xlpm.a,UPPER(INDEX(_xlpm.orig,_xlpm.i)),INDEX(_xlpm.abr,_xlpm.i))))),_xlpm.mv,SUBSTITUTE(SUBSTITUTE(SUBSTITUTE(_xlpm.txt,"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200),OR(_xlpm.comb="BEV",_xlpm.comb="PHEV",_xlpm.comb="MHEV")),ROUND(K200,0)&amp;"KWH",""),_xlpm.dec,1,_xlpm.cil,IF(OR(_xlpm.comb="BEV",P200="Motos",P200="Cuatrimotos",G200=""),"",SUBSTITUTE(FIXED(G200/1000,_xlpm.dec,TRUE),",",".")&amp;"L"),_xlpm.modelo,_xlpm.mv&amp;_xlpm.kwh,_xlpm.res,IF(B200="CAMIONES",_xlfn.TEXTJOIN("-",TRUE,_xlpm.modelo,_xlpm.cil,_xlpm.comb,UPPER(I200),_xlpm.trans),IF(B200="VEHICULOS",_xlfn.TEXTJOIN("-",TRUE,_xlpm.modelo,_xlpm.comb,_xlpm.cil,LOWER(I200),_xlpm.trans),"Elija TIPO MATERIAL")),IF(E200="","",_xlpm.res))</f>
        <v/>
      </c>
      <c r="Q200" s="21" t="str">
        <f t="shared" si="12"/>
        <v/>
      </c>
      <c r="R200" s="21" t="str">
        <f t="shared" si="13"/>
        <v/>
      </c>
    </row>
  </sheetData>
  <sheetProtection sheet="1" objects="1" scenarios="1"/>
  <conditionalFormatting sqref="C2:C200">
    <cfRule type="expression" dxfId="5" priority="3">
      <formula>LEN(C2)&gt;40</formula>
    </cfRule>
  </conditionalFormatting>
  <conditionalFormatting sqref="D2:D200">
    <cfRule type="expression" dxfId="4" priority="4">
      <formula>LEN(D2)&gt;30</formula>
    </cfRule>
  </conditionalFormatting>
  <conditionalFormatting sqref="Q2:Q200">
    <cfRule type="expression" dxfId="3" priority="5">
      <formula>AND(ISNUMBER(Q2),Q2&gt;40)</formula>
    </cfRule>
    <cfRule type="expression" dxfId="2" priority="6">
      <formula>AND(ISNUMBER(Q2),Q2&lt;=40)</formula>
    </cfRule>
  </conditionalFormatting>
  <conditionalFormatting sqref="R2:R200">
    <cfRule type="expression" dxfId="1" priority="7">
      <formula>AND(ISNUMBER(R2),R2&gt;30)</formula>
    </cfRule>
    <cfRule type="expression" dxfId="0" priority="8">
      <formula>AND(ISNUMBER(R2),R2&lt;=30)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000-000000000000}">
          <x14:formula1>
            <xm:f>'Diccionario Filiales'!$B$2:$B$4</xm:f>
          </x14:formula1>
          <xm:sqref>A2:A1048576</xm:sqref>
        </x14:dataValidation>
        <x14:dataValidation type="list" allowBlank="1" xr:uid="{00000000-0002-0000-0000-000001000000}">
          <x14:formula1>
            <xm:f>NPF!$O$5:$O$6</xm:f>
          </x14:formula1>
          <xm:sqref>B2:B1048576</xm:sqref>
        </x14:dataValidation>
        <x14:dataValidation type="list" allowBlank="1" xr:uid="{00000000-0002-0000-0000-000002000000}">
          <x14:formula1>
            <xm:f>NPF!$A$4:$A$10</xm:f>
          </x14:formula1>
          <xm:sqref>H2:H1048576</xm:sqref>
        </x14:dataValidation>
        <x14:dataValidation type="list" allowBlank="1" xr:uid="{00000000-0002-0000-0000-000003000000}">
          <x14:formula1>
            <xm:f>NPF!$J$4:$J$10</xm:f>
          </x14:formula1>
          <xm:sqref>I2:I1048576</xm:sqref>
        </x14:dataValidation>
        <x14:dataValidation type="list" allowBlank="1" xr:uid="{00000000-0002-0000-0000-000004000000}">
          <x14:formula1>
            <xm:f>NPF!$D$4:$D$7</xm:f>
          </x14:formula1>
          <xm:sqref>J2:J1048576</xm:sqref>
        </x14:dataValidation>
        <x14:dataValidation type="list" allowBlank="1" xr:uid="{00000000-0002-0000-0000-000007000000}">
          <x14:formula1>
            <xm:f>'Diccionario Marcas'!$B$2:$B$23</xm:f>
          </x14:formula1>
          <xm:sqref>N2:N1048576</xm:sqref>
        </x14:dataValidation>
        <x14:dataValidation type="list" allowBlank="1" xr:uid="{00000000-0002-0000-0000-000008000000}">
          <x14:formula1>
            <xm:f>'Diccionario Fabricantes'!$C$2:$C$75</xm:f>
          </x14:formula1>
          <xm:sqref>O2:O1048576</xm:sqref>
        </x14:dataValidation>
        <x14:dataValidation type="list" allowBlank="1" xr:uid="{00000000-0002-0000-0000-000009000000}">
          <x14:formula1>
            <xm:f>'Grupo de Articulos'!$B$2:$B$5</xm:f>
          </x14:formula1>
          <xm:sqref>L2:L1048576</xm:sqref>
        </x14:dataValidation>
        <x14:dataValidation type="list" allowBlank="1" xr:uid="{00000000-0002-0000-0000-00000A000000}">
          <x14:formula1>
            <xm:f>'Diccionario GrupoImputacion'!$B$2:$B$4</xm:f>
          </x14:formula1>
          <xm:sqref>P2:P1048576</xm:sqref>
        </x14:dataValidation>
        <x14:dataValidation type="list" allowBlank="1" xr:uid="{00000000-0002-0000-0000-000006000000}">
          <x14:formula1>
            <xm:f>'Diccionario Jerarquías'!$F$2:$F$274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0"/>
  <sheetViews>
    <sheetView workbookViewId="0">
      <selection activeCell="H2" sqref="H2"/>
    </sheetView>
  </sheetViews>
  <sheetFormatPr baseColWidth="10" defaultColWidth="8.7109375" defaultRowHeight="15" x14ac:dyDescent="0.25"/>
  <cols>
    <col min="1" max="1" width="30" customWidth="1"/>
    <col min="2" max="2" width="12" customWidth="1"/>
    <col min="3" max="3" width="3" customWidth="1"/>
    <col min="4" max="4" width="22" customWidth="1"/>
    <col min="5" max="5" width="12" customWidth="1"/>
    <col min="6" max="6" width="3" customWidth="1"/>
    <col min="7" max="7" width="24" customWidth="1"/>
    <col min="8" max="8" width="14" customWidth="1"/>
    <col min="9" max="9" width="3" customWidth="1"/>
    <col min="10" max="10" width="10" customWidth="1"/>
    <col min="11" max="11" width="3" customWidth="1"/>
    <col min="12" max="12" width="14" customWidth="1"/>
    <col min="13" max="13" width="3" customWidth="1"/>
    <col min="14" max="15" width="22" customWidth="1"/>
    <col min="16" max="16" width="2.42578125" customWidth="1"/>
    <col min="17" max="17" width="24" customWidth="1"/>
    <col min="18" max="18" width="3" customWidth="1"/>
    <col min="19" max="19" width="28" customWidth="1"/>
    <col min="20" max="20" width="3" customWidth="1"/>
    <col min="21" max="21" width="12" customWidth="1"/>
    <col min="23" max="23" width="22" customWidth="1"/>
    <col min="24" max="24" width="12" customWidth="1"/>
    <col min="25" max="25" width="40" customWidth="1"/>
    <col min="27" max="27" width="24" customWidth="1"/>
    <col min="28" max="28" width="48" customWidth="1"/>
    <col min="29" max="29" width="34" customWidth="1"/>
    <col min="30" max="30" width="40" customWidth="1"/>
    <col min="32" max="32" width="43" bestFit="1" customWidth="1"/>
    <col min="33" max="33" width="8.28515625" bestFit="1" customWidth="1"/>
  </cols>
  <sheetData>
    <row r="1" spans="1:33" ht="18" customHeight="1" x14ac:dyDescent="0.25">
      <c r="A1" s="25" t="s">
        <v>17</v>
      </c>
      <c r="W1" s="25" t="s">
        <v>18</v>
      </c>
      <c r="AA1" s="26" t="s">
        <v>19</v>
      </c>
      <c r="AF1" s="25" t="s">
        <v>20</v>
      </c>
    </row>
    <row r="2" spans="1:33" x14ac:dyDescent="0.25">
      <c r="W2" s="41" t="s">
        <v>21</v>
      </c>
      <c r="X2" s="39"/>
      <c r="Y2" s="39"/>
      <c r="AA2" s="27" t="s">
        <v>22</v>
      </c>
      <c r="AF2" s="41" t="s">
        <v>23</v>
      </c>
      <c r="AG2" s="39"/>
    </row>
    <row r="3" spans="1:33" ht="45" customHeight="1" x14ac:dyDescent="0.25">
      <c r="A3" s="28" t="s">
        <v>24</v>
      </c>
      <c r="B3" s="28" t="s">
        <v>25</v>
      </c>
      <c r="D3" s="28" t="s">
        <v>26</v>
      </c>
      <c r="E3" s="28" t="s">
        <v>25</v>
      </c>
      <c r="G3" s="28" t="s">
        <v>27</v>
      </c>
      <c r="H3" s="28" t="s">
        <v>25</v>
      </c>
      <c r="J3" s="28" t="s">
        <v>28</v>
      </c>
      <c r="L3" s="28" t="s">
        <v>29</v>
      </c>
      <c r="N3" s="28" t="s">
        <v>30</v>
      </c>
      <c r="O3" s="29"/>
      <c r="Q3" s="28" t="s">
        <v>31</v>
      </c>
      <c r="S3" s="28" t="s">
        <v>32</v>
      </c>
      <c r="U3" s="28" t="s">
        <v>33</v>
      </c>
      <c r="W3" s="28" t="s">
        <v>34</v>
      </c>
      <c r="X3" s="28" t="s">
        <v>35</v>
      </c>
      <c r="Y3" s="28" t="s">
        <v>36</v>
      </c>
      <c r="AF3" s="28" t="s">
        <v>37</v>
      </c>
      <c r="AG3" s="28" t="s">
        <v>38</v>
      </c>
    </row>
    <row r="4" spans="1:33" x14ac:dyDescent="0.25">
      <c r="A4" s="30" t="s">
        <v>39</v>
      </c>
      <c r="B4" s="30" t="s">
        <v>40</v>
      </c>
      <c r="D4" s="30" t="s">
        <v>41</v>
      </c>
      <c r="E4" s="30" t="s">
        <v>42</v>
      </c>
      <c r="G4" s="30" t="s">
        <v>43</v>
      </c>
      <c r="H4" s="30" t="s">
        <v>44</v>
      </c>
      <c r="J4" s="30" t="s">
        <v>45</v>
      </c>
      <c r="L4" s="30" t="s">
        <v>46</v>
      </c>
      <c r="N4" s="3" t="s">
        <v>47</v>
      </c>
      <c r="O4" s="3" t="s">
        <v>48</v>
      </c>
      <c r="Q4" s="30" t="s">
        <v>49</v>
      </c>
      <c r="S4" s="30" t="s">
        <v>50</v>
      </c>
      <c r="U4" s="30">
        <v>1</v>
      </c>
      <c r="W4" s="31" t="s">
        <v>51</v>
      </c>
      <c r="X4" s="31" t="s">
        <v>52</v>
      </c>
      <c r="Y4" s="30" t="s">
        <v>53</v>
      </c>
      <c r="AA4" s="32" t="s">
        <v>54</v>
      </c>
      <c r="AF4" s="31" t="s">
        <v>55</v>
      </c>
      <c r="AG4" s="31" t="s">
        <v>56</v>
      </c>
    </row>
    <row r="5" spans="1:33" x14ac:dyDescent="0.25">
      <c r="A5" s="30" t="s">
        <v>57</v>
      </c>
      <c r="B5" s="30" t="s">
        <v>58</v>
      </c>
      <c r="D5" s="30" t="s">
        <v>59</v>
      </c>
      <c r="E5" s="30" t="s">
        <v>60</v>
      </c>
      <c r="G5" s="30" t="s">
        <v>61</v>
      </c>
      <c r="H5" s="30" t="s">
        <v>62</v>
      </c>
      <c r="J5" s="30" t="s">
        <v>63</v>
      </c>
      <c r="L5" s="30" t="s">
        <v>64</v>
      </c>
      <c r="N5" s="3" t="s">
        <v>46</v>
      </c>
      <c r="O5" s="3" t="s">
        <v>65</v>
      </c>
      <c r="Q5" s="30" t="s">
        <v>66</v>
      </c>
      <c r="S5" s="30" t="s">
        <v>67</v>
      </c>
      <c r="U5" s="30">
        <v>2</v>
      </c>
      <c r="W5" s="31" t="s">
        <v>68</v>
      </c>
      <c r="X5" s="31" t="s">
        <v>69</v>
      </c>
      <c r="Y5" s="30" t="s">
        <v>70</v>
      </c>
      <c r="AA5" s="28" t="s">
        <v>29</v>
      </c>
      <c r="AB5" s="28" t="s">
        <v>71</v>
      </c>
      <c r="AC5" s="28" t="s">
        <v>72</v>
      </c>
      <c r="AD5" s="28" t="s">
        <v>73</v>
      </c>
      <c r="AF5" s="31" t="s">
        <v>74</v>
      </c>
      <c r="AG5" s="31" t="s">
        <v>74</v>
      </c>
    </row>
    <row r="6" spans="1:33" ht="25.5" customHeight="1" x14ac:dyDescent="0.25">
      <c r="A6" s="30" t="s">
        <v>75</v>
      </c>
      <c r="B6" s="33" t="s">
        <v>76</v>
      </c>
      <c r="D6" s="30" t="s">
        <v>77</v>
      </c>
      <c r="E6" s="30" t="s">
        <v>78</v>
      </c>
      <c r="G6" s="30" t="s">
        <v>79</v>
      </c>
      <c r="H6" s="30" t="s">
        <v>80</v>
      </c>
      <c r="J6" s="30" t="s">
        <v>81</v>
      </c>
      <c r="L6" s="30" t="s">
        <v>47</v>
      </c>
      <c r="N6" s="3" t="s">
        <v>64</v>
      </c>
      <c r="O6" s="3" t="s">
        <v>82</v>
      </c>
      <c r="S6" s="30" t="s">
        <v>83</v>
      </c>
      <c r="W6" s="31" t="s">
        <v>84</v>
      </c>
      <c r="X6" s="31" t="s">
        <v>85</v>
      </c>
      <c r="Y6" s="30" t="s">
        <v>86</v>
      </c>
      <c r="AA6" s="34" t="s">
        <v>87</v>
      </c>
      <c r="AB6" s="34" t="s">
        <v>88</v>
      </c>
      <c r="AC6" s="34" t="s">
        <v>89</v>
      </c>
      <c r="AD6" s="35" t="s">
        <v>90</v>
      </c>
      <c r="AF6" s="31" t="s">
        <v>91</v>
      </c>
      <c r="AG6" s="31" t="s">
        <v>91</v>
      </c>
    </row>
    <row r="7" spans="1:33" x14ac:dyDescent="0.25">
      <c r="A7" s="30" t="s">
        <v>92</v>
      </c>
      <c r="B7" s="30" t="s">
        <v>93</v>
      </c>
      <c r="D7" s="30" t="s">
        <v>94</v>
      </c>
      <c r="E7" s="30" t="s">
        <v>95</v>
      </c>
      <c r="G7" s="30" t="s">
        <v>96</v>
      </c>
      <c r="H7" s="30" t="s">
        <v>97</v>
      </c>
      <c r="J7" s="30" t="s">
        <v>98</v>
      </c>
      <c r="L7" s="30" t="s">
        <v>99</v>
      </c>
      <c r="N7" s="3" t="s">
        <v>99</v>
      </c>
      <c r="O7" s="3" t="s">
        <v>100</v>
      </c>
      <c r="S7" s="30" t="s">
        <v>101</v>
      </c>
      <c r="W7" s="31" t="s">
        <v>102</v>
      </c>
      <c r="X7" s="31" t="s">
        <v>103</v>
      </c>
      <c r="Y7" s="30" t="s">
        <v>104</v>
      </c>
      <c r="AA7" s="34" t="s">
        <v>105</v>
      </c>
      <c r="AB7" s="34" t="s">
        <v>106</v>
      </c>
      <c r="AC7" s="34" t="s">
        <v>107</v>
      </c>
      <c r="AD7" s="34" t="s">
        <v>108</v>
      </c>
      <c r="AF7" s="31" t="s">
        <v>109</v>
      </c>
      <c r="AG7" s="31" t="s">
        <v>110</v>
      </c>
    </row>
    <row r="8" spans="1:33" x14ac:dyDescent="0.25">
      <c r="A8" s="30" t="s">
        <v>111</v>
      </c>
      <c r="B8" s="30" t="s">
        <v>112</v>
      </c>
      <c r="G8" s="30" t="s">
        <v>113</v>
      </c>
      <c r="H8" s="30" t="s">
        <v>113</v>
      </c>
      <c r="J8" s="30" t="s">
        <v>114</v>
      </c>
      <c r="N8" s="30"/>
      <c r="O8" s="36"/>
      <c r="S8" s="30" t="s">
        <v>115</v>
      </c>
      <c r="W8" s="31" t="s">
        <v>116</v>
      </c>
      <c r="X8" s="31" t="s">
        <v>117</v>
      </c>
      <c r="Y8" s="30" t="s">
        <v>118</v>
      </c>
      <c r="AA8" s="35" t="s">
        <v>119</v>
      </c>
      <c r="AB8" s="34" t="s">
        <v>120</v>
      </c>
      <c r="AC8" s="35" t="s">
        <v>121</v>
      </c>
      <c r="AD8" s="34" t="s">
        <v>122</v>
      </c>
      <c r="AF8" s="31" t="s">
        <v>123</v>
      </c>
      <c r="AG8" s="31" t="s">
        <v>124</v>
      </c>
    </row>
    <row r="9" spans="1:33" ht="25.5" customHeight="1" x14ac:dyDescent="0.25">
      <c r="A9" s="30" t="s">
        <v>125</v>
      </c>
      <c r="B9" s="30" t="s">
        <v>126</v>
      </c>
      <c r="G9" s="30" t="s">
        <v>127</v>
      </c>
      <c r="H9" s="30" t="s">
        <v>128</v>
      </c>
      <c r="J9" s="30" t="s">
        <v>129</v>
      </c>
      <c r="N9" s="30"/>
      <c r="O9" s="36"/>
      <c r="S9" s="30" t="s">
        <v>49</v>
      </c>
      <c r="W9" s="31" t="s">
        <v>130</v>
      </c>
      <c r="X9" s="31" t="s">
        <v>131</v>
      </c>
      <c r="Y9" s="30" t="s">
        <v>132</v>
      </c>
      <c r="AA9" s="34" t="s">
        <v>133</v>
      </c>
      <c r="AB9" s="34" t="s">
        <v>134</v>
      </c>
      <c r="AC9" s="34" t="s">
        <v>135</v>
      </c>
      <c r="AD9" s="34" t="s">
        <v>136</v>
      </c>
      <c r="AF9" s="31" t="s">
        <v>137</v>
      </c>
      <c r="AG9" s="31" t="s">
        <v>138</v>
      </c>
    </row>
    <row r="10" spans="1:33" x14ac:dyDescent="0.25">
      <c r="A10" s="30" t="s">
        <v>139</v>
      </c>
      <c r="B10" s="30" t="s">
        <v>139</v>
      </c>
      <c r="G10" s="30" t="s">
        <v>140</v>
      </c>
      <c r="H10" s="30" t="s">
        <v>141</v>
      </c>
      <c r="J10" s="30" t="s">
        <v>142</v>
      </c>
      <c r="N10" s="30"/>
      <c r="O10" s="36"/>
      <c r="S10" s="30" t="s">
        <v>66</v>
      </c>
      <c r="W10" s="31" t="s">
        <v>143</v>
      </c>
      <c r="X10" s="31" t="s">
        <v>144</v>
      </c>
      <c r="Y10" s="30" t="s">
        <v>145</v>
      </c>
      <c r="AA10" s="34" t="s">
        <v>146</v>
      </c>
      <c r="AB10" s="34" t="s">
        <v>147</v>
      </c>
      <c r="AC10" s="34" t="s">
        <v>148</v>
      </c>
      <c r="AD10" s="34" t="s">
        <v>149</v>
      </c>
      <c r="AF10" s="31" t="s">
        <v>150</v>
      </c>
      <c r="AG10" s="31" t="s">
        <v>151</v>
      </c>
    </row>
    <row r="11" spans="1:33" x14ac:dyDescent="0.25">
      <c r="G11" s="30" t="s">
        <v>152</v>
      </c>
      <c r="H11" s="30" t="s">
        <v>153</v>
      </c>
      <c r="S11" s="30" t="s">
        <v>43</v>
      </c>
      <c r="W11" s="31" t="s">
        <v>154</v>
      </c>
      <c r="X11" s="31" t="s">
        <v>155</v>
      </c>
      <c r="Y11" s="30" t="s">
        <v>145</v>
      </c>
      <c r="AA11" s="34" t="s">
        <v>156</v>
      </c>
      <c r="AB11" s="34" t="s">
        <v>157</v>
      </c>
      <c r="AC11" s="34" t="s">
        <v>158</v>
      </c>
      <c r="AD11" s="34" t="s">
        <v>159</v>
      </c>
      <c r="AF11" s="31" t="s">
        <v>160</v>
      </c>
      <c r="AG11" s="31" t="s">
        <v>161</v>
      </c>
    </row>
    <row r="12" spans="1:33" x14ac:dyDescent="0.25">
      <c r="G12" s="30" t="s">
        <v>162</v>
      </c>
      <c r="H12" s="30" t="s">
        <v>163</v>
      </c>
      <c r="S12" s="30" t="s">
        <v>61</v>
      </c>
      <c r="W12" s="31" t="s">
        <v>164</v>
      </c>
      <c r="X12" s="31" t="s">
        <v>165</v>
      </c>
      <c r="Y12" s="30" t="s">
        <v>166</v>
      </c>
      <c r="AA12" s="34" t="s">
        <v>167</v>
      </c>
      <c r="AB12" s="34" t="s">
        <v>168</v>
      </c>
      <c r="AC12" s="34" t="s">
        <v>169</v>
      </c>
      <c r="AD12" s="34" t="s">
        <v>170</v>
      </c>
      <c r="AF12" s="31" t="s">
        <v>171</v>
      </c>
      <c r="AG12" s="31" t="s">
        <v>172</v>
      </c>
    </row>
    <row r="13" spans="1:33" x14ac:dyDescent="0.25">
      <c r="G13" s="30" t="s">
        <v>173</v>
      </c>
      <c r="H13" s="30" t="s">
        <v>174</v>
      </c>
      <c r="S13" s="30" t="s">
        <v>79</v>
      </c>
      <c r="W13" s="31" t="s">
        <v>175</v>
      </c>
      <c r="X13" s="31" t="s">
        <v>176</v>
      </c>
      <c r="Y13" s="30" t="s">
        <v>177</v>
      </c>
      <c r="AA13" s="34" t="s">
        <v>178</v>
      </c>
      <c r="AB13" s="34" t="s">
        <v>179</v>
      </c>
      <c r="AC13" s="34" t="s">
        <v>180</v>
      </c>
      <c r="AD13" s="34" t="s">
        <v>181</v>
      </c>
      <c r="AF13" s="31" t="s">
        <v>182</v>
      </c>
      <c r="AG13" s="31" t="s">
        <v>183</v>
      </c>
    </row>
    <row r="14" spans="1:33" x14ac:dyDescent="0.25">
      <c r="G14" s="30" t="s">
        <v>184</v>
      </c>
      <c r="H14" s="30" t="s">
        <v>185</v>
      </c>
      <c r="S14" s="30" t="s">
        <v>96</v>
      </c>
      <c r="W14" s="31" t="s">
        <v>186</v>
      </c>
      <c r="X14" s="31" t="s">
        <v>187</v>
      </c>
      <c r="Y14" s="30" t="s">
        <v>188</v>
      </c>
      <c r="AF14" s="31" t="s">
        <v>189</v>
      </c>
      <c r="AG14" s="31" t="s">
        <v>190</v>
      </c>
    </row>
    <row r="15" spans="1:33" x14ac:dyDescent="0.25">
      <c r="G15" s="30" t="s">
        <v>191</v>
      </c>
      <c r="H15" s="30" t="s">
        <v>192</v>
      </c>
      <c r="S15" s="30" t="s">
        <v>113</v>
      </c>
      <c r="W15" s="31"/>
      <c r="X15" s="31"/>
      <c r="Y15" s="30"/>
      <c r="AA15" s="32" t="s">
        <v>193</v>
      </c>
      <c r="AF15" s="31" t="s">
        <v>194</v>
      </c>
      <c r="AG15" s="31" t="s">
        <v>194</v>
      </c>
    </row>
    <row r="16" spans="1:33" x14ac:dyDescent="0.25">
      <c r="G16" s="30" t="s">
        <v>195</v>
      </c>
      <c r="H16" s="30" t="s">
        <v>196</v>
      </c>
      <c r="S16" s="30" t="s">
        <v>127</v>
      </c>
      <c r="W16" s="31"/>
      <c r="X16" s="31"/>
      <c r="Y16" s="30"/>
      <c r="AA16" s="38" t="s">
        <v>197</v>
      </c>
      <c r="AB16" s="39"/>
      <c r="AC16" s="39"/>
      <c r="AD16" s="39"/>
      <c r="AF16" s="31" t="s">
        <v>198</v>
      </c>
      <c r="AG16" s="31" t="s">
        <v>199</v>
      </c>
    </row>
    <row r="17" spans="7:33" x14ac:dyDescent="0.25">
      <c r="G17" s="30" t="s">
        <v>200</v>
      </c>
      <c r="H17" s="30" t="s">
        <v>201</v>
      </c>
      <c r="S17" s="30" t="s">
        <v>140</v>
      </c>
      <c r="W17" s="31"/>
      <c r="X17" s="31"/>
      <c r="Y17" s="30"/>
      <c r="AA17" s="38" t="s">
        <v>202</v>
      </c>
      <c r="AB17" s="39"/>
      <c r="AC17" s="39"/>
      <c r="AD17" s="39"/>
      <c r="AF17" s="31"/>
      <c r="AG17" s="31"/>
    </row>
    <row r="18" spans="7:33" x14ac:dyDescent="0.25">
      <c r="G18" s="30" t="s">
        <v>203</v>
      </c>
      <c r="H18" s="30" t="s">
        <v>204</v>
      </c>
      <c r="S18" s="30" t="s">
        <v>152</v>
      </c>
      <c r="W18" s="31"/>
      <c r="X18" s="31"/>
      <c r="Y18" s="30"/>
      <c r="AA18" s="40" t="s">
        <v>205</v>
      </c>
      <c r="AB18" s="39"/>
      <c r="AC18" s="39"/>
      <c r="AD18" s="39"/>
      <c r="AF18" s="31"/>
      <c r="AG18" s="31"/>
    </row>
    <row r="19" spans="7:33" x14ac:dyDescent="0.25">
      <c r="G19" s="30" t="s">
        <v>206</v>
      </c>
      <c r="H19" s="30" t="s">
        <v>207</v>
      </c>
      <c r="S19" s="30" t="s">
        <v>162</v>
      </c>
      <c r="W19" s="31"/>
      <c r="X19" s="31"/>
      <c r="Y19" s="30"/>
      <c r="AF19" s="31"/>
      <c r="AG19" s="31"/>
    </row>
    <row r="20" spans="7:33" x14ac:dyDescent="0.25">
      <c r="G20" s="30" t="s">
        <v>208</v>
      </c>
      <c r="H20" s="30" t="s">
        <v>209</v>
      </c>
      <c r="S20" s="30" t="s">
        <v>173</v>
      </c>
      <c r="W20" s="31"/>
      <c r="X20" s="31"/>
      <c r="Y20" s="30"/>
      <c r="AA20" s="32" t="s">
        <v>210</v>
      </c>
      <c r="AF20" s="31"/>
      <c r="AG20" s="31"/>
    </row>
    <row r="21" spans="7:33" x14ac:dyDescent="0.25">
      <c r="G21" s="30" t="s">
        <v>211</v>
      </c>
      <c r="H21" s="30" t="s">
        <v>212</v>
      </c>
      <c r="S21" s="30" t="s">
        <v>184</v>
      </c>
      <c r="W21" s="31"/>
      <c r="X21" s="31"/>
      <c r="Y21" s="30"/>
      <c r="AA21" s="38" t="s">
        <v>213</v>
      </c>
      <c r="AB21" s="39"/>
      <c r="AC21" s="39"/>
      <c r="AD21" s="39"/>
      <c r="AF21" s="31"/>
      <c r="AG21" s="31"/>
    </row>
    <row r="22" spans="7:33" x14ac:dyDescent="0.25">
      <c r="G22" s="30" t="s">
        <v>214</v>
      </c>
      <c r="H22" s="30" t="s">
        <v>215</v>
      </c>
      <c r="S22" s="30" t="s">
        <v>191</v>
      </c>
      <c r="W22" s="31"/>
      <c r="X22" s="31"/>
      <c r="Y22" s="30"/>
      <c r="AA22" s="38" t="s">
        <v>216</v>
      </c>
      <c r="AB22" s="39"/>
      <c r="AC22" s="39"/>
      <c r="AD22" s="39"/>
      <c r="AF22" s="31"/>
      <c r="AG22" s="31"/>
    </row>
    <row r="23" spans="7:33" x14ac:dyDescent="0.25">
      <c r="G23" s="30" t="s">
        <v>217</v>
      </c>
      <c r="H23" s="30" t="s">
        <v>218</v>
      </c>
      <c r="S23" s="30" t="s">
        <v>195</v>
      </c>
      <c r="W23" s="31"/>
      <c r="X23" s="31"/>
      <c r="Y23" s="30"/>
      <c r="AA23" s="38" t="s">
        <v>219</v>
      </c>
      <c r="AB23" s="39"/>
      <c r="AC23" s="39"/>
      <c r="AD23" s="39"/>
      <c r="AF23" s="31"/>
      <c r="AG23" s="31"/>
    </row>
    <row r="24" spans="7:33" x14ac:dyDescent="0.25">
      <c r="S24" s="30" t="s">
        <v>200</v>
      </c>
      <c r="W24" s="31"/>
      <c r="X24" s="31"/>
      <c r="Y24" s="30"/>
      <c r="AA24" s="38" t="s">
        <v>220</v>
      </c>
      <c r="AB24" s="39"/>
      <c r="AC24" s="39"/>
      <c r="AD24" s="39"/>
      <c r="AF24" s="31"/>
      <c r="AG24" s="31"/>
    </row>
    <row r="25" spans="7:33" x14ac:dyDescent="0.25">
      <c r="S25" s="30" t="s">
        <v>203</v>
      </c>
      <c r="W25" s="31"/>
      <c r="X25" s="31"/>
      <c r="Y25" s="30"/>
      <c r="AA25" s="38" t="s">
        <v>221</v>
      </c>
      <c r="AB25" s="39"/>
      <c r="AC25" s="39"/>
      <c r="AD25" s="39"/>
      <c r="AF25" s="31"/>
      <c r="AG25" s="31"/>
    </row>
    <row r="26" spans="7:33" x14ac:dyDescent="0.25">
      <c r="S26" s="30" t="s">
        <v>206</v>
      </c>
      <c r="W26" s="31"/>
      <c r="X26" s="31"/>
      <c r="Y26" s="30"/>
      <c r="AA26" s="38" t="s">
        <v>222</v>
      </c>
      <c r="AB26" s="39"/>
      <c r="AC26" s="39"/>
      <c r="AD26" s="39"/>
      <c r="AF26" s="31"/>
      <c r="AG26" s="31"/>
    </row>
    <row r="27" spans="7:33" x14ac:dyDescent="0.25">
      <c r="S27" s="30" t="s">
        <v>208</v>
      </c>
      <c r="W27" s="31"/>
      <c r="X27" s="31"/>
      <c r="Y27" s="30"/>
      <c r="AA27" s="38" t="s">
        <v>223</v>
      </c>
      <c r="AB27" s="39"/>
      <c r="AC27" s="39"/>
      <c r="AD27" s="39"/>
      <c r="AF27" s="31"/>
      <c r="AG27" s="31"/>
    </row>
    <row r="28" spans="7:33" x14ac:dyDescent="0.25">
      <c r="S28" s="30" t="s">
        <v>211</v>
      </c>
      <c r="W28" s="31"/>
      <c r="X28" s="31"/>
      <c r="Y28" s="30"/>
      <c r="AF28" s="31"/>
      <c r="AG28" s="31"/>
    </row>
    <row r="29" spans="7:33" x14ac:dyDescent="0.25">
      <c r="S29" s="30" t="s">
        <v>214</v>
      </c>
      <c r="W29" s="31"/>
      <c r="X29" s="31"/>
      <c r="Y29" s="30"/>
      <c r="AA29" s="37" t="s">
        <v>224</v>
      </c>
      <c r="AF29" s="31"/>
      <c r="AG29" s="31"/>
    </row>
    <row r="30" spans="7:33" x14ac:dyDescent="0.25">
      <c r="S30" s="30" t="s">
        <v>217</v>
      </c>
      <c r="W30" s="31"/>
      <c r="X30" s="31"/>
      <c r="Y30" s="30"/>
      <c r="AF30" s="31"/>
      <c r="AG30" s="31"/>
    </row>
    <row r="31" spans="7:33" x14ac:dyDescent="0.25">
      <c r="W31" s="31"/>
      <c r="X31" s="31"/>
      <c r="Y31" s="30"/>
      <c r="AF31" s="31"/>
      <c r="AG31" s="31"/>
    </row>
    <row r="32" spans="7:33" x14ac:dyDescent="0.25">
      <c r="W32" s="31"/>
      <c r="X32" s="31"/>
      <c r="Y32" s="30"/>
      <c r="AF32" s="31"/>
      <c r="AG32" s="31"/>
    </row>
    <row r="33" spans="23:33" x14ac:dyDescent="0.25">
      <c r="W33" s="31"/>
      <c r="X33" s="31"/>
      <c r="Y33" s="30"/>
      <c r="AF33" s="31"/>
      <c r="AG33" s="31"/>
    </row>
    <row r="34" spans="23:33" x14ac:dyDescent="0.25">
      <c r="AF34" s="31"/>
      <c r="AG34" s="31"/>
    </row>
    <row r="35" spans="23:33" x14ac:dyDescent="0.25">
      <c r="AF35" s="31"/>
      <c r="AG35" s="31"/>
    </row>
    <row r="36" spans="23:33" x14ac:dyDescent="0.25">
      <c r="AF36" s="31"/>
      <c r="AG36" s="31"/>
    </row>
    <row r="37" spans="23:33" x14ac:dyDescent="0.25">
      <c r="AF37" s="31"/>
      <c r="AG37" s="31"/>
    </row>
    <row r="38" spans="23:33" x14ac:dyDescent="0.25">
      <c r="AF38" s="31"/>
      <c r="AG38" s="31"/>
    </row>
    <row r="39" spans="23:33" x14ac:dyDescent="0.25">
      <c r="AF39" s="31"/>
      <c r="AG39" s="31"/>
    </row>
    <row r="40" spans="23:33" x14ac:dyDescent="0.25">
      <c r="AF40" s="31"/>
      <c r="AG40" s="31"/>
    </row>
  </sheetData>
  <sheetProtection sheet="1" objects="1" scenarios="1"/>
  <mergeCells count="12">
    <mergeCell ref="W2:Y2"/>
    <mergeCell ref="AA17:AD17"/>
    <mergeCell ref="AA21:AD21"/>
    <mergeCell ref="AF2:AG2"/>
    <mergeCell ref="AA24:AD24"/>
    <mergeCell ref="AA16:AD16"/>
    <mergeCell ref="AA23:AD23"/>
    <mergeCell ref="AA27:AD27"/>
    <mergeCell ref="AA22:AD22"/>
    <mergeCell ref="AA26:AD26"/>
    <mergeCell ref="AA18:AD18"/>
    <mergeCell ref="AA25:AD2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4"/>
  <sheetViews>
    <sheetView topLeftCell="A116" workbookViewId="0"/>
  </sheetViews>
  <sheetFormatPr baseColWidth="10" defaultColWidth="9.140625" defaultRowHeight="15" x14ac:dyDescent="0.25"/>
  <cols>
    <col min="1" max="1" width="41.140625" customWidth="1"/>
    <col min="2" max="2" width="24.5703125" customWidth="1"/>
    <col min="3" max="3" width="9.28515625" customWidth="1"/>
    <col min="6" max="6" width="87.28515625" customWidth="1"/>
  </cols>
  <sheetData>
    <row r="1" spans="1:14" ht="18.75" customHeight="1" x14ac:dyDescent="0.3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K1" s="2"/>
      <c r="N1" s="2"/>
    </row>
    <row r="2" spans="1:14" x14ac:dyDescent="0.25">
      <c r="A2" s="3" t="s">
        <v>231</v>
      </c>
      <c r="B2" s="3" t="s">
        <v>232</v>
      </c>
      <c r="C2" s="3" t="s">
        <v>233</v>
      </c>
      <c r="D2" s="3"/>
      <c r="E2" s="3"/>
      <c r="F2" s="3" t="s">
        <v>231</v>
      </c>
    </row>
    <row r="3" spans="1:14" x14ac:dyDescent="0.25">
      <c r="A3" s="3" t="s">
        <v>57</v>
      </c>
      <c r="B3" s="3" t="s">
        <v>234</v>
      </c>
      <c r="C3" s="3" t="s">
        <v>233</v>
      </c>
      <c r="D3" s="3" t="s">
        <v>235</v>
      </c>
      <c r="E3" s="3"/>
      <c r="F3" s="3" t="s">
        <v>236</v>
      </c>
    </row>
    <row r="4" spans="1:14" x14ac:dyDescent="0.25">
      <c r="A4" s="3" t="s">
        <v>237</v>
      </c>
      <c r="B4" s="3" t="s">
        <v>238</v>
      </c>
      <c r="C4" s="3" t="s">
        <v>233</v>
      </c>
      <c r="D4" s="3" t="s">
        <v>235</v>
      </c>
      <c r="E4" s="3" t="s">
        <v>239</v>
      </c>
      <c r="F4" s="3" t="s">
        <v>240</v>
      </c>
    </row>
    <row r="5" spans="1:14" x14ac:dyDescent="0.25">
      <c r="A5" s="3" t="s">
        <v>241</v>
      </c>
      <c r="B5" s="3" t="s">
        <v>238</v>
      </c>
      <c r="C5" s="3" t="s">
        <v>233</v>
      </c>
      <c r="D5" s="3" t="s">
        <v>235</v>
      </c>
      <c r="E5" s="3" t="s">
        <v>242</v>
      </c>
      <c r="F5" s="3" t="s">
        <v>243</v>
      </c>
    </row>
    <row r="6" spans="1:14" x14ac:dyDescent="0.25">
      <c r="A6" s="3" t="s">
        <v>244</v>
      </c>
      <c r="B6" s="3" t="s">
        <v>238</v>
      </c>
      <c r="C6" s="3" t="s">
        <v>233</v>
      </c>
      <c r="D6" s="3" t="s">
        <v>235</v>
      </c>
      <c r="E6" s="3" t="s">
        <v>245</v>
      </c>
      <c r="F6" s="3" t="s">
        <v>246</v>
      </c>
    </row>
    <row r="7" spans="1:14" x14ac:dyDescent="0.25">
      <c r="A7" s="3" t="s">
        <v>247</v>
      </c>
      <c r="B7" s="3" t="s">
        <v>238</v>
      </c>
      <c r="C7" s="3" t="s">
        <v>233</v>
      </c>
      <c r="D7" s="3" t="s">
        <v>235</v>
      </c>
      <c r="E7" s="3" t="s">
        <v>248</v>
      </c>
      <c r="F7" s="3" t="s">
        <v>249</v>
      </c>
    </row>
    <row r="8" spans="1:14" x14ac:dyDescent="0.25">
      <c r="A8" s="3" t="s">
        <v>250</v>
      </c>
      <c r="B8" s="3" t="s">
        <v>238</v>
      </c>
      <c r="C8" s="3" t="s">
        <v>233</v>
      </c>
      <c r="D8" s="3" t="s">
        <v>235</v>
      </c>
      <c r="E8" s="3" t="s">
        <v>251</v>
      </c>
      <c r="F8" s="3" t="s">
        <v>252</v>
      </c>
    </row>
    <row r="9" spans="1:14" x14ac:dyDescent="0.25">
      <c r="A9" s="3" t="s">
        <v>253</v>
      </c>
      <c r="B9" s="3" t="s">
        <v>238</v>
      </c>
      <c r="C9" s="3" t="s">
        <v>233</v>
      </c>
      <c r="D9" s="3" t="s">
        <v>235</v>
      </c>
      <c r="E9" s="3" t="s">
        <v>254</v>
      </c>
      <c r="F9" s="3" t="s">
        <v>255</v>
      </c>
    </row>
    <row r="10" spans="1:14" x14ac:dyDescent="0.25">
      <c r="A10" s="3" t="s">
        <v>256</v>
      </c>
      <c r="B10" s="3" t="s">
        <v>234</v>
      </c>
      <c r="C10" s="3" t="s">
        <v>233</v>
      </c>
      <c r="D10" s="3" t="s">
        <v>257</v>
      </c>
      <c r="E10" s="3"/>
      <c r="F10" s="3" t="s">
        <v>258</v>
      </c>
    </row>
    <row r="11" spans="1:14" x14ac:dyDescent="0.25">
      <c r="A11" s="3" t="s">
        <v>237</v>
      </c>
      <c r="B11" s="3" t="s">
        <v>238</v>
      </c>
      <c r="C11" s="3" t="s">
        <v>233</v>
      </c>
      <c r="D11" s="3" t="s">
        <v>257</v>
      </c>
      <c r="E11" s="3" t="s">
        <v>239</v>
      </c>
      <c r="F11" s="3" t="s">
        <v>259</v>
      </c>
    </row>
    <row r="12" spans="1:14" x14ac:dyDescent="0.25">
      <c r="A12" s="3" t="s">
        <v>241</v>
      </c>
      <c r="B12" s="3" t="s">
        <v>238</v>
      </c>
      <c r="C12" s="3" t="s">
        <v>233</v>
      </c>
      <c r="D12" s="3" t="s">
        <v>257</v>
      </c>
      <c r="E12" s="3" t="s">
        <v>242</v>
      </c>
      <c r="F12" s="3" t="s">
        <v>260</v>
      </c>
    </row>
    <row r="13" spans="1:14" x14ac:dyDescent="0.25">
      <c r="A13" s="3" t="s">
        <v>244</v>
      </c>
      <c r="B13" s="3" t="s">
        <v>238</v>
      </c>
      <c r="C13" s="3" t="s">
        <v>233</v>
      </c>
      <c r="D13" s="3" t="s">
        <v>257</v>
      </c>
      <c r="E13" s="3" t="s">
        <v>245</v>
      </c>
      <c r="F13" s="3" t="s">
        <v>261</v>
      </c>
    </row>
    <row r="14" spans="1:14" x14ac:dyDescent="0.25">
      <c r="A14" s="3" t="s">
        <v>247</v>
      </c>
      <c r="B14" s="3" t="s">
        <v>238</v>
      </c>
      <c r="C14" s="3" t="s">
        <v>233</v>
      </c>
      <c r="D14" s="3" t="s">
        <v>257</v>
      </c>
      <c r="E14" s="3" t="s">
        <v>248</v>
      </c>
      <c r="F14" s="3" t="s">
        <v>262</v>
      </c>
    </row>
    <row r="15" spans="1:14" x14ac:dyDescent="0.25">
      <c r="A15" s="3" t="s">
        <v>250</v>
      </c>
      <c r="B15" s="3" t="s">
        <v>238</v>
      </c>
      <c r="C15" s="3" t="s">
        <v>233</v>
      </c>
      <c r="D15" s="3" t="s">
        <v>257</v>
      </c>
      <c r="E15" s="3" t="s">
        <v>251</v>
      </c>
      <c r="F15" s="3" t="s">
        <v>263</v>
      </c>
    </row>
    <row r="16" spans="1:14" x14ac:dyDescent="0.25">
      <c r="A16" s="3" t="s">
        <v>253</v>
      </c>
      <c r="B16" s="3" t="s">
        <v>238</v>
      </c>
      <c r="C16" s="3" t="s">
        <v>233</v>
      </c>
      <c r="D16" s="3" t="s">
        <v>257</v>
      </c>
      <c r="E16" s="3" t="s">
        <v>254</v>
      </c>
      <c r="F16" s="3" t="s">
        <v>264</v>
      </c>
    </row>
    <row r="17" spans="1:6" x14ac:dyDescent="0.25">
      <c r="A17" s="3" t="s">
        <v>39</v>
      </c>
      <c r="B17" s="3" t="s">
        <v>234</v>
      </c>
      <c r="C17" s="3" t="s">
        <v>233</v>
      </c>
      <c r="D17" s="3" t="s">
        <v>265</v>
      </c>
      <c r="E17" s="3"/>
      <c r="F17" s="3" t="s">
        <v>266</v>
      </c>
    </row>
    <row r="18" spans="1:6" x14ac:dyDescent="0.25">
      <c r="A18" s="3" t="s">
        <v>237</v>
      </c>
      <c r="B18" s="3" t="s">
        <v>238</v>
      </c>
      <c r="C18" s="3" t="s">
        <v>233</v>
      </c>
      <c r="D18" s="3" t="s">
        <v>265</v>
      </c>
      <c r="E18" s="3" t="s">
        <v>239</v>
      </c>
      <c r="F18" s="3" t="s">
        <v>267</v>
      </c>
    </row>
    <row r="19" spans="1:6" x14ac:dyDescent="0.25">
      <c r="A19" s="3" t="s">
        <v>241</v>
      </c>
      <c r="B19" s="3" t="s">
        <v>238</v>
      </c>
      <c r="C19" s="3" t="s">
        <v>233</v>
      </c>
      <c r="D19" s="3" t="s">
        <v>265</v>
      </c>
      <c r="E19" s="3" t="s">
        <v>242</v>
      </c>
      <c r="F19" s="3" t="s">
        <v>268</v>
      </c>
    </row>
    <row r="20" spans="1:6" x14ac:dyDescent="0.25">
      <c r="A20" s="3" t="s">
        <v>244</v>
      </c>
      <c r="B20" s="3" t="s">
        <v>238</v>
      </c>
      <c r="C20" s="3" t="s">
        <v>233</v>
      </c>
      <c r="D20" s="3" t="s">
        <v>265</v>
      </c>
      <c r="E20" s="3" t="s">
        <v>245</v>
      </c>
      <c r="F20" s="3" t="s">
        <v>269</v>
      </c>
    </row>
    <row r="21" spans="1:6" x14ac:dyDescent="0.25">
      <c r="A21" s="3" t="s">
        <v>247</v>
      </c>
      <c r="B21" s="3" t="s">
        <v>238</v>
      </c>
      <c r="C21" s="3" t="s">
        <v>233</v>
      </c>
      <c r="D21" s="3" t="s">
        <v>265</v>
      </c>
      <c r="E21" s="3" t="s">
        <v>248</v>
      </c>
      <c r="F21" s="3" t="s">
        <v>270</v>
      </c>
    </row>
    <row r="22" spans="1:6" x14ac:dyDescent="0.25">
      <c r="A22" s="3" t="s">
        <v>250</v>
      </c>
      <c r="B22" s="3" t="s">
        <v>238</v>
      </c>
      <c r="C22" s="3" t="s">
        <v>233</v>
      </c>
      <c r="D22" s="3" t="s">
        <v>265</v>
      </c>
      <c r="E22" s="3" t="s">
        <v>251</v>
      </c>
      <c r="F22" s="3" t="s">
        <v>271</v>
      </c>
    </row>
    <row r="23" spans="1:6" x14ac:dyDescent="0.25">
      <c r="A23" s="3" t="s">
        <v>253</v>
      </c>
      <c r="B23" s="3" t="s">
        <v>238</v>
      </c>
      <c r="C23" s="3" t="s">
        <v>233</v>
      </c>
      <c r="D23" s="3" t="s">
        <v>265</v>
      </c>
      <c r="E23" s="3" t="s">
        <v>254</v>
      </c>
      <c r="F23" s="3" t="s">
        <v>272</v>
      </c>
    </row>
    <row r="24" spans="1:6" x14ac:dyDescent="0.25">
      <c r="A24" s="3" t="s">
        <v>273</v>
      </c>
      <c r="B24" s="3" t="s">
        <v>234</v>
      </c>
      <c r="C24" s="3" t="s">
        <v>233</v>
      </c>
      <c r="D24" s="3" t="s">
        <v>274</v>
      </c>
      <c r="E24" s="3"/>
      <c r="F24" s="3" t="s">
        <v>275</v>
      </c>
    </row>
    <row r="25" spans="1:6" x14ac:dyDescent="0.25">
      <c r="A25" s="3" t="s">
        <v>237</v>
      </c>
      <c r="B25" s="3" t="s">
        <v>238</v>
      </c>
      <c r="C25" s="3" t="s">
        <v>233</v>
      </c>
      <c r="D25" s="3" t="s">
        <v>274</v>
      </c>
      <c r="E25" s="3" t="s">
        <v>239</v>
      </c>
      <c r="F25" s="3" t="s">
        <v>276</v>
      </c>
    </row>
    <row r="26" spans="1:6" x14ac:dyDescent="0.25">
      <c r="A26" s="3" t="s">
        <v>244</v>
      </c>
      <c r="B26" s="3" t="s">
        <v>238</v>
      </c>
      <c r="C26" s="3" t="s">
        <v>233</v>
      </c>
      <c r="D26" s="3" t="s">
        <v>274</v>
      </c>
      <c r="E26" s="3" t="s">
        <v>245</v>
      </c>
      <c r="F26" s="3" t="s">
        <v>277</v>
      </c>
    </row>
    <row r="27" spans="1:6" x14ac:dyDescent="0.25">
      <c r="A27" s="3" t="s">
        <v>247</v>
      </c>
      <c r="B27" s="3" t="s">
        <v>238</v>
      </c>
      <c r="C27" s="3" t="s">
        <v>233</v>
      </c>
      <c r="D27" s="3" t="s">
        <v>274</v>
      </c>
      <c r="E27" s="3" t="s">
        <v>248</v>
      </c>
      <c r="F27" s="3" t="s">
        <v>278</v>
      </c>
    </row>
    <row r="28" spans="1:6" x14ac:dyDescent="0.25">
      <c r="A28" s="3" t="s">
        <v>250</v>
      </c>
      <c r="B28" s="3" t="s">
        <v>238</v>
      </c>
      <c r="C28" s="3" t="s">
        <v>233</v>
      </c>
      <c r="D28" s="3" t="s">
        <v>274</v>
      </c>
      <c r="E28" s="3" t="s">
        <v>242</v>
      </c>
      <c r="F28" s="3" t="s">
        <v>279</v>
      </c>
    </row>
    <row r="29" spans="1:6" x14ac:dyDescent="0.25">
      <c r="A29" s="3" t="s">
        <v>253</v>
      </c>
      <c r="B29" s="3" t="s">
        <v>238</v>
      </c>
      <c r="C29" s="3" t="s">
        <v>233</v>
      </c>
      <c r="D29" s="3" t="s">
        <v>274</v>
      </c>
      <c r="E29" s="3" t="s">
        <v>254</v>
      </c>
      <c r="F29" s="3" t="s">
        <v>280</v>
      </c>
    </row>
    <row r="30" spans="1:6" x14ac:dyDescent="0.25">
      <c r="A30" s="3" t="s">
        <v>281</v>
      </c>
      <c r="B30" s="3" t="s">
        <v>232</v>
      </c>
      <c r="C30" s="3" t="s">
        <v>282</v>
      </c>
      <c r="D30" s="3"/>
      <c r="E30" s="3"/>
      <c r="F30" s="3" t="s">
        <v>281</v>
      </c>
    </row>
    <row r="31" spans="1:6" x14ac:dyDescent="0.25">
      <c r="A31" s="3" t="s">
        <v>57</v>
      </c>
      <c r="B31" s="3" t="s">
        <v>234</v>
      </c>
      <c r="C31" s="3" t="s">
        <v>282</v>
      </c>
      <c r="D31" s="3" t="s">
        <v>265</v>
      </c>
      <c r="E31" s="3"/>
      <c r="F31" s="3" t="s">
        <v>283</v>
      </c>
    </row>
    <row r="32" spans="1:6" x14ac:dyDescent="0.25">
      <c r="A32" s="3" t="s">
        <v>284</v>
      </c>
      <c r="B32" s="3" t="s">
        <v>238</v>
      </c>
      <c r="C32" s="3" t="s">
        <v>282</v>
      </c>
      <c r="D32" s="3" t="s">
        <v>265</v>
      </c>
      <c r="E32" s="3" t="s">
        <v>245</v>
      </c>
      <c r="F32" s="3" t="s">
        <v>285</v>
      </c>
    </row>
    <row r="33" spans="1:6" x14ac:dyDescent="0.25">
      <c r="A33" s="3" t="s">
        <v>286</v>
      </c>
      <c r="B33" s="3" t="s">
        <v>238</v>
      </c>
      <c r="C33" s="3" t="s">
        <v>282</v>
      </c>
      <c r="D33" s="3" t="s">
        <v>265</v>
      </c>
      <c r="E33" s="3" t="s">
        <v>254</v>
      </c>
      <c r="F33" s="3" t="s">
        <v>287</v>
      </c>
    </row>
    <row r="34" spans="1:6" x14ac:dyDescent="0.25">
      <c r="A34" s="3" t="s">
        <v>288</v>
      </c>
      <c r="B34" s="3" t="s">
        <v>238</v>
      </c>
      <c r="C34" s="3" t="s">
        <v>282</v>
      </c>
      <c r="D34" s="3" t="s">
        <v>265</v>
      </c>
      <c r="E34" s="3" t="s">
        <v>248</v>
      </c>
      <c r="F34" s="3" t="s">
        <v>289</v>
      </c>
    </row>
    <row r="35" spans="1:6" x14ac:dyDescent="0.25">
      <c r="A35" s="3" t="s">
        <v>256</v>
      </c>
      <c r="B35" s="3" t="s">
        <v>234</v>
      </c>
      <c r="C35" s="3" t="s">
        <v>282</v>
      </c>
      <c r="D35" s="3" t="s">
        <v>257</v>
      </c>
      <c r="E35" s="3"/>
      <c r="F35" s="3" t="s">
        <v>290</v>
      </c>
    </row>
    <row r="36" spans="1:6" x14ac:dyDescent="0.25">
      <c r="A36" s="3" t="s">
        <v>284</v>
      </c>
      <c r="B36" s="3" t="s">
        <v>238</v>
      </c>
      <c r="C36" s="3" t="s">
        <v>282</v>
      </c>
      <c r="D36" s="3" t="s">
        <v>257</v>
      </c>
      <c r="E36" s="3" t="s">
        <v>245</v>
      </c>
      <c r="F36" s="3" t="s">
        <v>291</v>
      </c>
    </row>
    <row r="37" spans="1:6" x14ac:dyDescent="0.25">
      <c r="A37" s="3" t="s">
        <v>286</v>
      </c>
      <c r="B37" s="3" t="s">
        <v>238</v>
      </c>
      <c r="C37" s="3" t="s">
        <v>282</v>
      </c>
      <c r="D37" s="3" t="s">
        <v>257</v>
      </c>
      <c r="E37" s="3" t="s">
        <v>254</v>
      </c>
      <c r="F37" s="3" t="s">
        <v>292</v>
      </c>
    </row>
    <row r="38" spans="1:6" x14ac:dyDescent="0.25">
      <c r="A38" s="3" t="s">
        <v>288</v>
      </c>
      <c r="B38" s="3" t="s">
        <v>238</v>
      </c>
      <c r="C38" s="3" t="s">
        <v>282</v>
      </c>
      <c r="D38" s="3" t="s">
        <v>257</v>
      </c>
      <c r="E38" s="3" t="s">
        <v>248</v>
      </c>
      <c r="F38" s="3" t="s">
        <v>293</v>
      </c>
    </row>
    <row r="39" spans="1:6" x14ac:dyDescent="0.25">
      <c r="A39" s="3" t="s">
        <v>294</v>
      </c>
      <c r="B39" s="3" t="s">
        <v>234</v>
      </c>
      <c r="C39" s="3" t="s">
        <v>282</v>
      </c>
      <c r="D39" s="3" t="s">
        <v>235</v>
      </c>
      <c r="E39" s="3"/>
      <c r="F39" s="3" t="s">
        <v>295</v>
      </c>
    </row>
    <row r="40" spans="1:6" x14ac:dyDescent="0.25">
      <c r="A40" s="3" t="s">
        <v>284</v>
      </c>
      <c r="B40" s="3" t="s">
        <v>238</v>
      </c>
      <c r="C40" s="3" t="s">
        <v>282</v>
      </c>
      <c r="D40" s="3" t="s">
        <v>235</v>
      </c>
      <c r="E40" s="3" t="s">
        <v>245</v>
      </c>
      <c r="F40" s="3" t="s">
        <v>296</v>
      </c>
    </row>
    <row r="41" spans="1:6" x14ac:dyDescent="0.25">
      <c r="A41" s="3" t="s">
        <v>286</v>
      </c>
      <c r="B41" s="3" t="s">
        <v>238</v>
      </c>
      <c r="C41" s="3" t="s">
        <v>282</v>
      </c>
      <c r="D41" s="3" t="s">
        <v>235</v>
      </c>
      <c r="E41" s="3" t="s">
        <v>254</v>
      </c>
      <c r="F41" s="3" t="s">
        <v>297</v>
      </c>
    </row>
    <row r="42" spans="1:6" x14ac:dyDescent="0.25">
      <c r="A42" s="3" t="s">
        <v>288</v>
      </c>
      <c r="B42" s="3" t="s">
        <v>238</v>
      </c>
      <c r="C42" s="3" t="s">
        <v>282</v>
      </c>
      <c r="D42" s="3" t="s">
        <v>235</v>
      </c>
      <c r="E42" s="3" t="s">
        <v>248</v>
      </c>
      <c r="F42" s="3" t="s">
        <v>298</v>
      </c>
    </row>
    <row r="43" spans="1:6" x14ac:dyDescent="0.25">
      <c r="A43" s="3" t="s">
        <v>299</v>
      </c>
      <c r="B43" s="3" t="s">
        <v>232</v>
      </c>
      <c r="C43" s="3" t="s">
        <v>300</v>
      </c>
      <c r="D43" s="3"/>
      <c r="E43" s="3"/>
      <c r="F43" s="3" t="s">
        <v>299</v>
      </c>
    </row>
    <row r="44" spans="1:6" x14ac:dyDescent="0.25">
      <c r="A44" s="3" t="s">
        <v>57</v>
      </c>
      <c r="B44" s="3" t="s">
        <v>234</v>
      </c>
      <c r="C44" s="3" t="s">
        <v>300</v>
      </c>
      <c r="D44" s="3" t="s">
        <v>265</v>
      </c>
      <c r="E44" s="3"/>
      <c r="F44" s="3" t="s">
        <v>301</v>
      </c>
    </row>
    <row r="45" spans="1:6" x14ac:dyDescent="0.25">
      <c r="A45" s="3" t="s">
        <v>284</v>
      </c>
      <c r="B45" s="3" t="s">
        <v>238</v>
      </c>
      <c r="C45" s="3" t="s">
        <v>300</v>
      </c>
      <c r="D45" s="3" t="s">
        <v>265</v>
      </c>
      <c r="E45" s="3" t="s">
        <v>245</v>
      </c>
      <c r="F45" s="3" t="s">
        <v>302</v>
      </c>
    </row>
    <row r="46" spans="1:6" x14ac:dyDescent="0.25">
      <c r="A46" s="3" t="s">
        <v>286</v>
      </c>
      <c r="B46" s="3" t="s">
        <v>238</v>
      </c>
      <c r="C46" s="3" t="s">
        <v>300</v>
      </c>
      <c r="D46" s="3" t="s">
        <v>265</v>
      </c>
      <c r="E46" s="3" t="s">
        <v>254</v>
      </c>
      <c r="F46" s="3" t="s">
        <v>303</v>
      </c>
    </row>
    <row r="47" spans="1:6" x14ac:dyDescent="0.25">
      <c r="A47" s="3" t="s">
        <v>288</v>
      </c>
      <c r="B47" s="3" t="s">
        <v>238</v>
      </c>
      <c r="C47" s="3" t="s">
        <v>300</v>
      </c>
      <c r="D47" s="3" t="s">
        <v>265</v>
      </c>
      <c r="E47" s="3" t="s">
        <v>248</v>
      </c>
      <c r="F47" s="3" t="s">
        <v>304</v>
      </c>
    </row>
    <row r="48" spans="1:6" x14ac:dyDescent="0.25">
      <c r="A48" s="3" t="s">
        <v>256</v>
      </c>
      <c r="B48" s="3" t="s">
        <v>234</v>
      </c>
      <c r="C48" s="3" t="s">
        <v>300</v>
      </c>
      <c r="D48" s="3" t="s">
        <v>257</v>
      </c>
      <c r="E48" s="3"/>
      <c r="F48" s="3" t="s">
        <v>305</v>
      </c>
    </row>
    <row r="49" spans="1:6" x14ac:dyDescent="0.25">
      <c r="A49" s="3" t="s">
        <v>284</v>
      </c>
      <c r="B49" s="3" t="s">
        <v>238</v>
      </c>
      <c r="C49" s="3" t="s">
        <v>300</v>
      </c>
      <c r="D49" s="3" t="s">
        <v>257</v>
      </c>
      <c r="E49" s="3" t="s">
        <v>245</v>
      </c>
      <c r="F49" s="3" t="s">
        <v>306</v>
      </c>
    </row>
    <row r="50" spans="1:6" x14ac:dyDescent="0.25">
      <c r="A50" s="3" t="s">
        <v>286</v>
      </c>
      <c r="B50" s="3" t="s">
        <v>238</v>
      </c>
      <c r="C50" s="3" t="s">
        <v>300</v>
      </c>
      <c r="D50" s="3" t="s">
        <v>257</v>
      </c>
      <c r="E50" s="3" t="s">
        <v>254</v>
      </c>
      <c r="F50" s="3" t="s">
        <v>307</v>
      </c>
    </row>
    <row r="51" spans="1:6" x14ac:dyDescent="0.25">
      <c r="A51" s="3" t="s">
        <v>288</v>
      </c>
      <c r="B51" s="3" t="s">
        <v>238</v>
      </c>
      <c r="C51" s="3" t="s">
        <v>300</v>
      </c>
      <c r="D51" s="3" t="s">
        <v>257</v>
      </c>
      <c r="E51" s="3" t="s">
        <v>248</v>
      </c>
      <c r="F51" s="3" t="s">
        <v>308</v>
      </c>
    </row>
    <row r="52" spans="1:6" x14ac:dyDescent="0.25">
      <c r="A52" s="3" t="s">
        <v>294</v>
      </c>
      <c r="B52" s="3" t="s">
        <v>234</v>
      </c>
      <c r="C52" s="3" t="s">
        <v>300</v>
      </c>
      <c r="D52" s="3" t="s">
        <v>235</v>
      </c>
      <c r="E52" s="3"/>
      <c r="F52" s="3" t="s">
        <v>309</v>
      </c>
    </row>
    <row r="53" spans="1:6" x14ac:dyDescent="0.25">
      <c r="A53" s="3" t="s">
        <v>284</v>
      </c>
      <c r="B53" s="3" t="s">
        <v>238</v>
      </c>
      <c r="C53" s="3" t="s">
        <v>300</v>
      </c>
      <c r="D53" s="3" t="s">
        <v>235</v>
      </c>
      <c r="E53" s="3" t="s">
        <v>245</v>
      </c>
      <c r="F53" s="3" t="s">
        <v>310</v>
      </c>
    </row>
    <row r="54" spans="1:6" x14ac:dyDescent="0.25">
      <c r="A54" s="3" t="s">
        <v>286</v>
      </c>
      <c r="B54" s="3" t="s">
        <v>238</v>
      </c>
      <c r="C54" s="3" t="s">
        <v>300</v>
      </c>
      <c r="D54" s="3" t="s">
        <v>235</v>
      </c>
      <c r="E54" s="3" t="s">
        <v>254</v>
      </c>
      <c r="F54" s="3" t="s">
        <v>311</v>
      </c>
    </row>
    <row r="55" spans="1:6" x14ac:dyDescent="0.25">
      <c r="A55" s="3" t="s">
        <v>288</v>
      </c>
      <c r="B55" s="3" t="s">
        <v>238</v>
      </c>
      <c r="C55" s="3" t="s">
        <v>300</v>
      </c>
      <c r="D55" s="3" t="s">
        <v>235</v>
      </c>
      <c r="E55" s="3" t="s">
        <v>248</v>
      </c>
      <c r="F55" s="3" t="s">
        <v>312</v>
      </c>
    </row>
    <row r="56" spans="1:6" x14ac:dyDescent="0.25">
      <c r="A56" s="3" t="s">
        <v>313</v>
      </c>
      <c r="B56" s="3" t="s">
        <v>232</v>
      </c>
      <c r="C56" s="3" t="s">
        <v>314</v>
      </c>
      <c r="D56" s="3"/>
      <c r="E56" s="3"/>
      <c r="F56" s="3" t="s">
        <v>313</v>
      </c>
    </row>
    <row r="57" spans="1:6" x14ac:dyDescent="0.25">
      <c r="A57" s="3" t="s">
        <v>57</v>
      </c>
      <c r="B57" s="3" t="s">
        <v>234</v>
      </c>
      <c r="C57" s="3" t="s">
        <v>314</v>
      </c>
      <c r="D57" s="3" t="s">
        <v>265</v>
      </c>
      <c r="E57" s="3"/>
      <c r="F57" s="3" t="s">
        <v>315</v>
      </c>
    </row>
    <row r="58" spans="1:6" x14ac:dyDescent="0.25">
      <c r="A58" s="3" t="s">
        <v>284</v>
      </c>
      <c r="B58" s="3" t="s">
        <v>238</v>
      </c>
      <c r="C58" s="3" t="s">
        <v>314</v>
      </c>
      <c r="D58" s="3" t="s">
        <v>265</v>
      </c>
      <c r="E58" s="3" t="s">
        <v>245</v>
      </c>
      <c r="F58" s="3" t="s">
        <v>316</v>
      </c>
    </row>
    <row r="59" spans="1:6" x14ac:dyDescent="0.25">
      <c r="A59" s="3" t="s">
        <v>286</v>
      </c>
      <c r="B59" s="3" t="s">
        <v>238</v>
      </c>
      <c r="C59" s="3" t="s">
        <v>314</v>
      </c>
      <c r="D59" s="3" t="s">
        <v>265</v>
      </c>
      <c r="E59" s="3" t="s">
        <v>254</v>
      </c>
      <c r="F59" s="3" t="s">
        <v>317</v>
      </c>
    </row>
    <row r="60" spans="1:6" x14ac:dyDescent="0.25">
      <c r="A60" s="3" t="s">
        <v>288</v>
      </c>
      <c r="B60" s="3" t="s">
        <v>238</v>
      </c>
      <c r="C60" s="3" t="s">
        <v>314</v>
      </c>
      <c r="D60" s="3" t="s">
        <v>265</v>
      </c>
      <c r="E60" s="3" t="s">
        <v>248</v>
      </c>
      <c r="F60" s="3" t="s">
        <v>318</v>
      </c>
    </row>
    <row r="61" spans="1:6" x14ac:dyDescent="0.25">
      <c r="A61" s="3" t="s">
        <v>256</v>
      </c>
      <c r="B61" s="3" t="s">
        <v>234</v>
      </c>
      <c r="C61" s="3" t="s">
        <v>314</v>
      </c>
      <c r="D61" s="3" t="s">
        <v>257</v>
      </c>
      <c r="E61" s="3"/>
      <c r="F61" s="3" t="s">
        <v>319</v>
      </c>
    </row>
    <row r="62" spans="1:6" x14ac:dyDescent="0.25">
      <c r="A62" s="3" t="s">
        <v>284</v>
      </c>
      <c r="B62" s="3" t="s">
        <v>238</v>
      </c>
      <c r="C62" s="3" t="s">
        <v>314</v>
      </c>
      <c r="D62" s="3" t="s">
        <v>257</v>
      </c>
      <c r="E62" s="3" t="s">
        <v>245</v>
      </c>
      <c r="F62" s="3" t="s">
        <v>320</v>
      </c>
    </row>
    <row r="63" spans="1:6" x14ac:dyDescent="0.25">
      <c r="A63" s="3" t="s">
        <v>286</v>
      </c>
      <c r="B63" s="3" t="s">
        <v>238</v>
      </c>
      <c r="C63" s="3" t="s">
        <v>314</v>
      </c>
      <c r="D63" s="3" t="s">
        <v>257</v>
      </c>
      <c r="E63" s="3" t="s">
        <v>254</v>
      </c>
      <c r="F63" s="3" t="s">
        <v>321</v>
      </c>
    </row>
    <row r="64" spans="1:6" x14ac:dyDescent="0.25">
      <c r="A64" s="3" t="s">
        <v>288</v>
      </c>
      <c r="B64" s="3" t="s">
        <v>238</v>
      </c>
      <c r="C64" s="3" t="s">
        <v>314</v>
      </c>
      <c r="D64" s="3" t="s">
        <v>257</v>
      </c>
      <c r="E64" s="3" t="s">
        <v>248</v>
      </c>
      <c r="F64" s="3" t="s">
        <v>322</v>
      </c>
    </row>
    <row r="65" spans="1:6" x14ac:dyDescent="0.25">
      <c r="A65" s="3" t="s">
        <v>294</v>
      </c>
      <c r="B65" s="3" t="s">
        <v>234</v>
      </c>
      <c r="C65" s="3" t="s">
        <v>314</v>
      </c>
      <c r="D65" s="3" t="s">
        <v>235</v>
      </c>
      <c r="E65" s="3"/>
      <c r="F65" s="3" t="s">
        <v>323</v>
      </c>
    </row>
    <row r="66" spans="1:6" x14ac:dyDescent="0.25">
      <c r="A66" s="3" t="s">
        <v>284</v>
      </c>
      <c r="B66" s="3" t="s">
        <v>238</v>
      </c>
      <c r="C66" s="3" t="s">
        <v>314</v>
      </c>
      <c r="D66" s="3" t="s">
        <v>235</v>
      </c>
      <c r="E66" s="3" t="s">
        <v>245</v>
      </c>
      <c r="F66" s="3" t="s">
        <v>324</v>
      </c>
    </row>
    <row r="67" spans="1:6" x14ac:dyDescent="0.25">
      <c r="A67" s="3" t="s">
        <v>286</v>
      </c>
      <c r="B67" s="3" t="s">
        <v>238</v>
      </c>
      <c r="C67" s="3" t="s">
        <v>314</v>
      </c>
      <c r="D67" s="3" t="s">
        <v>235</v>
      </c>
      <c r="E67" s="3" t="s">
        <v>254</v>
      </c>
      <c r="F67" s="3" t="s">
        <v>325</v>
      </c>
    </row>
    <row r="68" spans="1:6" x14ac:dyDescent="0.25">
      <c r="A68" s="3" t="s">
        <v>288</v>
      </c>
      <c r="B68" s="3" t="s">
        <v>238</v>
      </c>
      <c r="C68" s="3" t="s">
        <v>314</v>
      </c>
      <c r="D68" s="3" t="s">
        <v>235</v>
      </c>
      <c r="E68" s="3" t="s">
        <v>248</v>
      </c>
      <c r="F68" s="3" t="s">
        <v>326</v>
      </c>
    </row>
    <row r="69" spans="1:6" x14ac:dyDescent="0.25">
      <c r="A69" s="3" t="s">
        <v>327</v>
      </c>
      <c r="B69" s="3" t="s">
        <v>232</v>
      </c>
      <c r="C69" s="3" t="s">
        <v>328</v>
      </c>
      <c r="D69" s="3"/>
      <c r="E69" s="3"/>
      <c r="F69" s="3" t="s">
        <v>327</v>
      </c>
    </row>
    <row r="70" spans="1:6" x14ac:dyDescent="0.25">
      <c r="A70" s="3" t="s">
        <v>57</v>
      </c>
      <c r="B70" s="3" t="s">
        <v>234</v>
      </c>
      <c r="C70" s="3" t="s">
        <v>328</v>
      </c>
      <c r="D70" s="3" t="s">
        <v>235</v>
      </c>
      <c r="E70" s="3"/>
      <c r="F70" s="3" t="s">
        <v>329</v>
      </c>
    </row>
    <row r="71" spans="1:6" x14ac:dyDescent="0.25">
      <c r="A71" s="3" t="s">
        <v>237</v>
      </c>
      <c r="B71" s="3" t="s">
        <v>238</v>
      </c>
      <c r="C71" s="3" t="s">
        <v>328</v>
      </c>
      <c r="D71" s="3" t="s">
        <v>235</v>
      </c>
      <c r="E71" s="3" t="s">
        <v>239</v>
      </c>
      <c r="F71" s="3" t="s">
        <v>330</v>
      </c>
    </row>
    <row r="72" spans="1:6" x14ac:dyDescent="0.25">
      <c r="A72" s="3" t="s">
        <v>241</v>
      </c>
      <c r="B72" s="3" t="s">
        <v>238</v>
      </c>
      <c r="C72" s="3" t="s">
        <v>328</v>
      </c>
      <c r="D72" s="3" t="s">
        <v>235</v>
      </c>
      <c r="E72" s="3" t="s">
        <v>242</v>
      </c>
      <c r="F72" s="3" t="s">
        <v>331</v>
      </c>
    </row>
    <row r="73" spans="1:6" x14ac:dyDescent="0.25">
      <c r="A73" s="3" t="s">
        <v>244</v>
      </c>
      <c r="B73" s="3" t="s">
        <v>238</v>
      </c>
      <c r="C73" s="3" t="s">
        <v>328</v>
      </c>
      <c r="D73" s="3" t="s">
        <v>235</v>
      </c>
      <c r="E73" s="3" t="s">
        <v>245</v>
      </c>
      <c r="F73" s="3" t="s">
        <v>332</v>
      </c>
    </row>
    <row r="74" spans="1:6" x14ac:dyDescent="0.25">
      <c r="A74" s="3" t="s">
        <v>247</v>
      </c>
      <c r="B74" s="3" t="s">
        <v>238</v>
      </c>
      <c r="C74" s="3" t="s">
        <v>328</v>
      </c>
      <c r="D74" s="3" t="s">
        <v>235</v>
      </c>
      <c r="E74" s="3" t="s">
        <v>248</v>
      </c>
      <c r="F74" s="3" t="s">
        <v>333</v>
      </c>
    </row>
    <row r="75" spans="1:6" x14ac:dyDescent="0.25">
      <c r="A75" s="3" t="s">
        <v>253</v>
      </c>
      <c r="B75" s="3" t="s">
        <v>238</v>
      </c>
      <c r="C75" s="3" t="s">
        <v>328</v>
      </c>
      <c r="D75" s="3" t="s">
        <v>235</v>
      </c>
      <c r="E75" s="3" t="s">
        <v>254</v>
      </c>
      <c r="F75" s="3" t="s">
        <v>334</v>
      </c>
    </row>
    <row r="76" spans="1:6" x14ac:dyDescent="0.25">
      <c r="A76" s="3" t="s">
        <v>256</v>
      </c>
      <c r="B76" s="3" t="s">
        <v>234</v>
      </c>
      <c r="C76" s="3" t="s">
        <v>328</v>
      </c>
      <c r="D76" s="3" t="s">
        <v>257</v>
      </c>
      <c r="E76" s="3"/>
      <c r="F76" s="3" t="s">
        <v>335</v>
      </c>
    </row>
    <row r="77" spans="1:6" x14ac:dyDescent="0.25">
      <c r="A77" s="3" t="s">
        <v>237</v>
      </c>
      <c r="B77" s="3" t="s">
        <v>238</v>
      </c>
      <c r="C77" s="3" t="s">
        <v>328</v>
      </c>
      <c r="D77" s="3" t="s">
        <v>257</v>
      </c>
      <c r="E77" s="3" t="s">
        <v>239</v>
      </c>
      <c r="F77" s="3" t="s">
        <v>336</v>
      </c>
    </row>
    <row r="78" spans="1:6" x14ac:dyDescent="0.25">
      <c r="A78" s="3" t="s">
        <v>241</v>
      </c>
      <c r="B78" s="3" t="s">
        <v>238</v>
      </c>
      <c r="C78" s="3" t="s">
        <v>328</v>
      </c>
      <c r="D78" s="3" t="s">
        <v>257</v>
      </c>
      <c r="E78" s="3" t="s">
        <v>242</v>
      </c>
      <c r="F78" s="3" t="s">
        <v>337</v>
      </c>
    </row>
    <row r="79" spans="1:6" x14ac:dyDescent="0.25">
      <c r="A79" s="3" t="s">
        <v>244</v>
      </c>
      <c r="B79" s="3" t="s">
        <v>238</v>
      </c>
      <c r="C79" s="3" t="s">
        <v>328</v>
      </c>
      <c r="D79" s="3" t="s">
        <v>257</v>
      </c>
      <c r="E79" s="3" t="s">
        <v>245</v>
      </c>
      <c r="F79" s="3" t="s">
        <v>338</v>
      </c>
    </row>
    <row r="80" spans="1:6" x14ac:dyDescent="0.25">
      <c r="A80" s="3" t="s">
        <v>247</v>
      </c>
      <c r="B80" s="3" t="s">
        <v>238</v>
      </c>
      <c r="C80" s="3" t="s">
        <v>328</v>
      </c>
      <c r="D80" s="3" t="s">
        <v>257</v>
      </c>
      <c r="E80" s="3" t="s">
        <v>248</v>
      </c>
      <c r="F80" s="3" t="s">
        <v>339</v>
      </c>
    </row>
    <row r="81" spans="1:6" x14ac:dyDescent="0.25">
      <c r="A81" s="3" t="s">
        <v>253</v>
      </c>
      <c r="B81" s="3" t="s">
        <v>238</v>
      </c>
      <c r="C81" s="3" t="s">
        <v>328</v>
      </c>
      <c r="D81" s="3" t="s">
        <v>257</v>
      </c>
      <c r="E81" s="3" t="s">
        <v>254</v>
      </c>
      <c r="F81" s="3" t="s">
        <v>340</v>
      </c>
    </row>
    <row r="82" spans="1:6" x14ac:dyDescent="0.25">
      <c r="A82" s="3" t="s">
        <v>39</v>
      </c>
      <c r="B82" s="3" t="s">
        <v>234</v>
      </c>
      <c r="C82" s="3" t="s">
        <v>328</v>
      </c>
      <c r="D82" s="3" t="s">
        <v>265</v>
      </c>
      <c r="E82" s="3"/>
      <c r="F82" s="3" t="s">
        <v>341</v>
      </c>
    </row>
    <row r="83" spans="1:6" x14ac:dyDescent="0.25">
      <c r="A83" s="3" t="s">
        <v>237</v>
      </c>
      <c r="B83" s="3" t="s">
        <v>238</v>
      </c>
      <c r="C83" s="3" t="s">
        <v>328</v>
      </c>
      <c r="D83" s="3" t="s">
        <v>265</v>
      </c>
      <c r="E83" s="3" t="s">
        <v>239</v>
      </c>
      <c r="F83" s="3" t="s">
        <v>342</v>
      </c>
    </row>
    <row r="84" spans="1:6" x14ac:dyDescent="0.25">
      <c r="A84" s="3" t="s">
        <v>241</v>
      </c>
      <c r="B84" s="3" t="s">
        <v>238</v>
      </c>
      <c r="C84" s="3" t="s">
        <v>328</v>
      </c>
      <c r="D84" s="3" t="s">
        <v>265</v>
      </c>
      <c r="E84" s="3" t="s">
        <v>242</v>
      </c>
      <c r="F84" s="3" t="s">
        <v>343</v>
      </c>
    </row>
    <row r="85" spans="1:6" x14ac:dyDescent="0.25">
      <c r="A85" s="3" t="s">
        <v>244</v>
      </c>
      <c r="B85" s="3" t="s">
        <v>238</v>
      </c>
      <c r="C85" s="3" t="s">
        <v>328</v>
      </c>
      <c r="D85" s="3" t="s">
        <v>265</v>
      </c>
      <c r="E85" s="3" t="s">
        <v>245</v>
      </c>
      <c r="F85" s="3" t="s">
        <v>344</v>
      </c>
    </row>
    <row r="86" spans="1:6" x14ac:dyDescent="0.25">
      <c r="A86" s="3" t="s">
        <v>247</v>
      </c>
      <c r="B86" s="3" t="s">
        <v>238</v>
      </c>
      <c r="C86" s="3" t="s">
        <v>328</v>
      </c>
      <c r="D86" s="3" t="s">
        <v>265</v>
      </c>
      <c r="E86" s="3" t="s">
        <v>248</v>
      </c>
      <c r="F86" s="3" t="s">
        <v>345</v>
      </c>
    </row>
    <row r="87" spans="1:6" x14ac:dyDescent="0.25">
      <c r="A87" s="3" t="s">
        <v>253</v>
      </c>
      <c r="B87" s="3" t="s">
        <v>238</v>
      </c>
      <c r="C87" s="3" t="s">
        <v>328</v>
      </c>
      <c r="D87" s="3" t="s">
        <v>265</v>
      </c>
      <c r="E87" s="3" t="s">
        <v>254</v>
      </c>
      <c r="F87" s="3" t="s">
        <v>346</v>
      </c>
    </row>
    <row r="88" spans="1:6" x14ac:dyDescent="0.25">
      <c r="A88" s="3" t="s">
        <v>273</v>
      </c>
      <c r="B88" s="3" t="s">
        <v>234</v>
      </c>
      <c r="C88" s="3" t="s">
        <v>328</v>
      </c>
      <c r="D88" s="3" t="s">
        <v>274</v>
      </c>
      <c r="E88" s="3"/>
      <c r="F88" s="3" t="s">
        <v>347</v>
      </c>
    </row>
    <row r="89" spans="1:6" x14ac:dyDescent="0.25">
      <c r="A89" s="3" t="s">
        <v>237</v>
      </c>
      <c r="B89" s="3" t="s">
        <v>238</v>
      </c>
      <c r="C89" s="3" t="s">
        <v>328</v>
      </c>
      <c r="D89" s="3" t="s">
        <v>274</v>
      </c>
      <c r="E89" s="3" t="s">
        <v>239</v>
      </c>
      <c r="F89" s="3" t="s">
        <v>348</v>
      </c>
    </row>
    <row r="90" spans="1:6" x14ac:dyDescent="0.25">
      <c r="A90" s="3" t="s">
        <v>244</v>
      </c>
      <c r="B90" s="3" t="s">
        <v>238</v>
      </c>
      <c r="C90" s="3" t="s">
        <v>328</v>
      </c>
      <c r="D90" s="3" t="s">
        <v>274</v>
      </c>
      <c r="E90" s="3" t="s">
        <v>245</v>
      </c>
      <c r="F90" s="3" t="s">
        <v>349</v>
      </c>
    </row>
    <row r="91" spans="1:6" x14ac:dyDescent="0.25">
      <c r="A91" s="3" t="s">
        <v>247</v>
      </c>
      <c r="B91" s="3" t="s">
        <v>238</v>
      </c>
      <c r="C91" s="3" t="s">
        <v>328</v>
      </c>
      <c r="D91" s="3" t="s">
        <v>274</v>
      </c>
      <c r="E91" s="3" t="s">
        <v>248</v>
      </c>
      <c r="F91" s="3" t="s">
        <v>350</v>
      </c>
    </row>
    <row r="92" spans="1:6" x14ac:dyDescent="0.25">
      <c r="A92" s="3" t="s">
        <v>253</v>
      </c>
      <c r="B92" s="3" t="s">
        <v>238</v>
      </c>
      <c r="C92" s="3" t="s">
        <v>328</v>
      </c>
      <c r="D92" s="3" t="s">
        <v>274</v>
      </c>
      <c r="E92" s="3" t="s">
        <v>254</v>
      </c>
      <c r="F92" s="3" t="s">
        <v>351</v>
      </c>
    </row>
    <row r="93" spans="1:6" x14ac:dyDescent="0.25">
      <c r="A93" s="3" t="s">
        <v>352</v>
      </c>
      <c r="B93" s="3" t="s">
        <v>232</v>
      </c>
      <c r="C93" s="3" t="s">
        <v>353</v>
      </c>
      <c r="D93" s="3"/>
      <c r="E93" s="3"/>
      <c r="F93" s="3" t="s">
        <v>352</v>
      </c>
    </row>
    <row r="94" spans="1:6" x14ac:dyDescent="0.25">
      <c r="A94" s="3" t="s">
        <v>57</v>
      </c>
      <c r="B94" s="3" t="s">
        <v>234</v>
      </c>
      <c r="C94" s="3" t="s">
        <v>353</v>
      </c>
      <c r="D94" s="3" t="s">
        <v>235</v>
      </c>
      <c r="E94" s="3"/>
      <c r="F94" s="3" t="s">
        <v>354</v>
      </c>
    </row>
    <row r="95" spans="1:6" x14ac:dyDescent="0.25">
      <c r="A95" s="3" t="s">
        <v>237</v>
      </c>
      <c r="B95" s="3" t="s">
        <v>238</v>
      </c>
      <c r="C95" s="3" t="s">
        <v>353</v>
      </c>
      <c r="D95" s="3" t="s">
        <v>235</v>
      </c>
      <c r="E95" s="3" t="s">
        <v>239</v>
      </c>
      <c r="F95" s="3" t="s">
        <v>355</v>
      </c>
    </row>
    <row r="96" spans="1:6" x14ac:dyDescent="0.25">
      <c r="A96" s="3" t="s">
        <v>241</v>
      </c>
      <c r="B96" s="3" t="s">
        <v>238</v>
      </c>
      <c r="C96" s="3" t="s">
        <v>353</v>
      </c>
      <c r="D96" s="3" t="s">
        <v>235</v>
      </c>
      <c r="E96" s="3" t="s">
        <v>242</v>
      </c>
      <c r="F96" s="3" t="s">
        <v>356</v>
      </c>
    </row>
    <row r="97" spans="1:6" x14ac:dyDescent="0.25">
      <c r="A97" s="3" t="s">
        <v>244</v>
      </c>
      <c r="B97" s="3" t="s">
        <v>238</v>
      </c>
      <c r="C97" s="3" t="s">
        <v>353</v>
      </c>
      <c r="D97" s="3" t="s">
        <v>235</v>
      </c>
      <c r="E97" s="3" t="s">
        <v>245</v>
      </c>
      <c r="F97" s="3" t="s">
        <v>357</v>
      </c>
    </row>
    <row r="98" spans="1:6" x14ac:dyDescent="0.25">
      <c r="A98" s="3" t="s">
        <v>247</v>
      </c>
      <c r="B98" s="3" t="s">
        <v>238</v>
      </c>
      <c r="C98" s="3" t="s">
        <v>353</v>
      </c>
      <c r="D98" s="3" t="s">
        <v>235</v>
      </c>
      <c r="E98" s="3" t="s">
        <v>248</v>
      </c>
      <c r="F98" s="3" t="s">
        <v>358</v>
      </c>
    </row>
    <row r="99" spans="1:6" x14ac:dyDescent="0.25">
      <c r="A99" s="3" t="s">
        <v>250</v>
      </c>
      <c r="B99" s="3" t="s">
        <v>238</v>
      </c>
      <c r="C99" s="3" t="s">
        <v>353</v>
      </c>
      <c r="D99" s="3" t="s">
        <v>235</v>
      </c>
      <c r="E99" s="3" t="s">
        <v>251</v>
      </c>
      <c r="F99" s="3" t="s">
        <v>359</v>
      </c>
    </row>
    <row r="100" spans="1:6" x14ac:dyDescent="0.25">
      <c r="A100" s="3" t="s">
        <v>253</v>
      </c>
      <c r="B100" s="3" t="s">
        <v>238</v>
      </c>
      <c r="C100" s="3" t="s">
        <v>353</v>
      </c>
      <c r="D100" s="3" t="s">
        <v>235</v>
      </c>
      <c r="E100" s="3" t="s">
        <v>254</v>
      </c>
      <c r="F100" s="3" t="s">
        <v>360</v>
      </c>
    </row>
    <row r="101" spans="1:6" x14ac:dyDescent="0.25">
      <c r="A101" s="3" t="s">
        <v>256</v>
      </c>
      <c r="B101" s="3" t="s">
        <v>234</v>
      </c>
      <c r="C101" s="3" t="s">
        <v>353</v>
      </c>
      <c r="D101" s="3" t="s">
        <v>257</v>
      </c>
      <c r="E101" s="3"/>
      <c r="F101" s="3" t="s">
        <v>361</v>
      </c>
    </row>
    <row r="102" spans="1:6" x14ac:dyDescent="0.25">
      <c r="A102" s="3" t="s">
        <v>237</v>
      </c>
      <c r="B102" s="3" t="s">
        <v>238</v>
      </c>
      <c r="C102" s="3" t="s">
        <v>353</v>
      </c>
      <c r="D102" s="3" t="s">
        <v>257</v>
      </c>
      <c r="E102" s="3" t="s">
        <v>239</v>
      </c>
      <c r="F102" s="3" t="s">
        <v>362</v>
      </c>
    </row>
    <row r="103" spans="1:6" x14ac:dyDescent="0.25">
      <c r="A103" s="3" t="s">
        <v>241</v>
      </c>
      <c r="B103" s="3" t="s">
        <v>238</v>
      </c>
      <c r="C103" s="3" t="s">
        <v>353</v>
      </c>
      <c r="D103" s="3" t="s">
        <v>257</v>
      </c>
      <c r="E103" s="3" t="s">
        <v>242</v>
      </c>
      <c r="F103" s="3" t="s">
        <v>363</v>
      </c>
    </row>
    <row r="104" spans="1:6" x14ac:dyDescent="0.25">
      <c r="A104" s="3" t="s">
        <v>244</v>
      </c>
      <c r="B104" s="3" t="s">
        <v>238</v>
      </c>
      <c r="C104" s="3" t="s">
        <v>353</v>
      </c>
      <c r="D104" s="3" t="s">
        <v>257</v>
      </c>
      <c r="E104" s="3" t="s">
        <v>245</v>
      </c>
      <c r="F104" s="3" t="s">
        <v>364</v>
      </c>
    </row>
    <row r="105" spans="1:6" x14ac:dyDescent="0.25">
      <c r="A105" s="3" t="s">
        <v>247</v>
      </c>
      <c r="B105" s="3" t="s">
        <v>238</v>
      </c>
      <c r="C105" s="3" t="s">
        <v>353</v>
      </c>
      <c r="D105" s="3" t="s">
        <v>257</v>
      </c>
      <c r="E105" s="3" t="s">
        <v>248</v>
      </c>
      <c r="F105" s="3" t="s">
        <v>365</v>
      </c>
    </row>
    <row r="106" spans="1:6" x14ac:dyDescent="0.25">
      <c r="A106" s="3" t="s">
        <v>250</v>
      </c>
      <c r="B106" s="3" t="s">
        <v>238</v>
      </c>
      <c r="C106" s="3" t="s">
        <v>353</v>
      </c>
      <c r="D106" s="3" t="s">
        <v>257</v>
      </c>
      <c r="E106" s="3" t="s">
        <v>251</v>
      </c>
      <c r="F106" s="3" t="s">
        <v>366</v>
      </c>
    </row>
    <row r="107" spans="1:6" x14ac:dyDescent="0.25">
      <c r="A107" s="3" t="s">
        <v>253</v>
      </c>
      <c r="B107" s="3" t="s">
        <v>238</v>
      </c>
      <c r="C107" s="3" t="s">
        <v>353</v>
      </c>
      <c r="D107" s="3" t="s">
        <v>257</v>
      </c>
      <c r="E107" s="3" t="s">
        <v>254</v>
      </c>
      <c r="F107" s="3" t="s">
        <v>367</v>
      </c>
    </row>
    <row r="108" spans="1:6" x14ac:dyDescent="0.25">
      <c r="A108" s="3" t="s">
        <v>39</v>
      </c>
      <c r="B108" s="3" t="s">
        <v>234</v>
      </c>
      <c r="C108" s="3" t="s">
        <v>353</v>
      </c>
      <c r="D108" s="3" t="s">
        <v>265</v>
      </c>
      <c r="E108" s="3"/>
      <c r="F108" s="3" t="s">
        <v>368</v>
      </c>
    </row>
    <row r="109" spans="1:6" x14ac:dyDescent="0.25">
      <c r="A109" s="3" t="s">
        <v>237</v>
      </c>
      <c r="B109" s="3" t="s">
        <v>238</v>
      </c>
      <c r="C109" s="3" t="s">
        <v>353</v>
      </c>
      <c r="D109" s="3" t="s">
        <v>265</v>
      </c>
      <c r="E109" s="3" t="s">
        <v>239</v>
      </c>
      <c r="F109" s="3" t="s">
        <v>369</v>
      </c>
    </row>
    <row r="110" spans="1:6" x14ac:dyDescent="0.25">
      <c r="A110" s="3" t="s">
        <v>241</v>
      </c>
      <c r="B110" s="3" t="s">
        <v>238</v>
      </c>
      <c r="C110" s="3" t="s">
        <v>353</v>
      </c>
      <c r="D110" s="3" t="s">
        <v>265</v>
      </c>
      <c r="E110" s="3" t="s">
        <v>242</v>
      </c>
      <c r="F110" s="3" t="s">
        <v>370</v>
      </c>
    </row>
    <row r="111" spans="1:6" x14ac:dyDescent="0.25">
      <c r="A111" s="3" t="s">
        <v>244</v>
      </c>
      <c r="B111" s="3" t="s">
        <v>238</v>
      </c>
      <c r="C111" s="3" t="s">
        <v>353</v>
      </c>
      <c r="D111" s="3" t="s">
        <v>265</v>
      </c>
      <c r="E111" s="3" t="s">
        <v>245</v>
      </c>
      <c r="F111" s="3" t="s">
        <v>371</v>
      </c>
    </row>
    <row r="112" spans="1:6" x14ac:dyDescent="0.25">
      <c r="A112" s="3" t="s">
        <v>247</v>
      </c>
      <c r="B112" s="3" t="s">
        <v>238</v>
      </c>
      <c r="C112" s="3" t="s">
        <v>353</v>
      </c>
      <c r="D112" s="3" t="s">
        <v>265</v>
      </c>
      <c r="E112" s="3" t="s">
        <v>248</v>
      </c>
      <c r="F112" s="3" t="s">
        <v>372</v>
      </c>
    </row>
    <row r="113" spans="1:6" x14ac:dyDescent="0.25">
      <c r="A113" s="3" t="s">
        <v>250</v>
      </c>
      <c r="B113" s="3" t="s">
        <v>238</v>
      </c>
      <c r="C113" s="3" t="s">
        <v>353</v>
      </c>
      <c r="D113" s="3" t="s">
        <v>265</v>
      </c>
      <c r="E113" s="3" t="s">
        <v>251</v>
      </c>
      <c r="F113" s="3" t="s">
        <v>373</v>
      </c>
    </row>
    <row r="114" spans="1:6" x14ac:dyDescent="0.25">
      <c r="A114" s="3" t="s">
        <v>253</v>
      </c>
      <c r="B114" s="3" t="s">
        <v>238</v>
      </c>
      <c r="C114" s="3" t="s">
        <v>353</v>
      </c>
      <c r="D114" s="3" t="s">
        <v>265</v>
      </c>
      <c r="E114" s="3" t="s">
        <v>254</v>
      </c>
      <c r="F114" s="3" t="s">
        <v>374</v>
      </c>
    </row>
    <row r="115" spans="1:6" x14ac:dyDescent="0.25">
      <c r="A115" s="3" t="s">
        <v>273</v>
      </c>
      <c r="B115" s="3" t="s">
        <v>234</v>
      </c>
      <c r="C115" s="3" t="s">
        <v>353</v>
      </c>
      <c r="D115" s="3" t="s">
        <v>274</v>
      </c>
      <c r="E115" s="3"/>
      <c r="F115" s="3" t="s">
        <v>375</v>
      </c>
    </row>
    <row r="116" spans="1:6" x14ac:dyDescent="0.25">
      <c r="A116" s="3" t="s">
        <v>237</v>
      </c>
      <c r="B116" s="3" t="s">
        <v>238</v>
      </c>
      <c r="C116" s="3" t="s">
        <v>353</v>
      </c>
      <c r="D116" s="3" t="s">
        <v>274</v>
      </c>
      <c r="E116" s="3" t="s">
        <v>239</v>
      </c>
      <c r="F116" s="3" t="s">
        <v>376</v>
      </c>
    </row>
    <row r="117" spans="1:6" x14ac:dyDescent="0.25">
      <c r="A117" s="3" t="s">
        <v>244</v>
      </c>
      <c r="B117" s="3" t="s">
        <v>238</v>
      </c>
      <c r="C117" s="3" t="s">
        <v>353</v>
      </c>
      <c r="D117" s="3" t="s">
        <v>274</v>
      </c>
      <c r="E117" s="3" t="s">
        <v>245</v>
      </c>
      <c r="F117" s="3" t="s">
        <v>377</v>
      </c>
    </row>
    <row r="118" spans="1:6" x14ac:dyDescent="0.25">
      <c r="A118" s="3" t="s">
        <v>247</v>
      </c>
      <c r="B118" s="3" t="s">
        <v>238</v>
      </c>
      <c r="C118" s="3" t="s">
        <v>353</v>
      </c>
      <c r="D118" s="3" t="s">
        <v>274</v>
      </c>
      <c r="E118" s="3" t="s">
        <v>248</v>
      </c>
      <c r="F118" s="3" t="s">
        <v>378</v>
      </c>
    </row>
    <row r="119" spans="1:6" x14ac:dyDescent="0.25">
      <c r="A119" s="3" t="s">
        <v>250</v>
      </c>
      <c r="B119" s="3" t="s">
        <v>238</v>
      </c>
      <c r="C119" s="3" t="s">
        <v>353</v>
      </c>
      <c r="D119" s="3" t="s">
        <v>274</v>
      </c>
      <c r="E119" s="3" t="s">
        <v>242</v>
      </c>
      <c r="F119" s="3" t="s">
        <v>379</v>
      </c>
    </row>
    <row r="120" spans="1:6" x14ac:dyDescent="0.25">
      <c r="A120" s="3" t="s">
        <v>253</v>
      </c>
      <c r="B120" s="3" t="s">
        <v>238</v>
      </c>
      <c r="C120" s="3" t="s">
        <v>353</v>
      </c>
      <c r="D120" s="3" t="s">
        <v>274</v>
      </c>
      <c r="E120" s="3" t="s">
        <v>254</v>
      </c>
      <c r="F120" s="3" t="s">
        <v>380</v>
      </c>
    </row>
    <row r="121" spans="1:6" x14ac:dyDescent="0.25">
      <c r="A121" s="3" t="s">
        <v>381</v>
      </c>
      <c r="B121" s="3" t="s">
        <v>232</v>
      </c>
      <c r="C121" s="3" t="s">
        <v>382</v>
      </c>
      <c r="D121" s="3"/>
      <c r="E121" s="3"/>
      <c r="F121" s="3" t="s">
        <v>381</v>
      </c>
    </row>
    <row r="122" spans="1:6" x14ac:dyDescent="0.25">
      <c r="A122" s="3" t="s">
        <v>57</v>
      </c>
      <c r="B122" s="3" t="s">
        <v>234</v>
      </c>
      <c r="C122" s="3" t="s">
        <v>382</v>
      </c>
      <c r="D122" s="3" t="s">
        <v>235</v>
      </c>
      <c r="E122" s="3"/>
      <c r="F122" s="3" t="s">
        <v>383</v>
      </c>
    </row>
    <row r="123" spans="1:6" x14ac:dyDescent="0.25">
      <c r="A123" s="3" t="s">
        <v>237</v>
      </c>
      <c r="B123" s="3" t="s">
        <v>238</v>
      </c>
      <c r="C123" s="3" t="s">
        <v>382</v>
      </c>
      <c r="D123" s="3" t="s">
        <v>235</v>
      </c>
      <c r="E123" s="3" t="s">
        <v>239</v>
      </c>
      <c r="F123" s="3" t="s">
        <v>384</v>
      </c>
    </row>
    <row r="124" spans="1:6" x14ac:dyDescent="0.25">
      <c r="A124" s="3" t="s">
        <v>241</v>
      </c>
      <c r="B124" s="3" t="s">
        <v>238</v>
      </c>
      <c r="C124" s="3" t="s">
        <v>382</v>
      </c>
      <c r="D124" s="3" t="s">
        <v>235</v>
      </c>
      <c r="E124" s="3" t="s">
        <v>242</v>
      </c>
      <c r="F124" s="3" t="s">
        <v>385</v>
      </c>
    </row>
    <row r="125" spans="1:6" x14ac:dyDescent="0.25">
      <c r="A125" s="3" t="s">
        <v>244</v>
      </c>
      <c r="B125" s="3" t="s">
        <v>238</v>
      </c>
      <c r="C125" s="3" t="s">
        <v>382</v>
      </c>
      <c r="D125" s="3" t="s">
        <v>235</v>
      </c>
      <c r="E125" s="3" t="s">
        <v>245</v>
      </c>
      <c r="F125" s="3" t="s">
        <v>386</v>
      </c>
    </row>
    <row r="126" spans="1:6" x14ac:dyDescent="0.25">
      <c r="A126" s="3" t="s">
        <v>247</v>
      </c>
      <c r="B126" s="3" t="s">
        <v>238</v>
      </c>
      <c r="C126" s="3" t="s">
        <v>382</v>
      </c>
      <c r="D126" s="3" t="s">
        <v>235</v>
      </c>
      <c r="E126" s="3" t="s">
        <v>248</v>
      </c>
      <c r="F126" s="3" t="s">
        <v>387</v>
      </c>
    </row>
    <row r="127" spans="1:6" x14ac:dyDescent="0.25">
      <c r="A127" s="3" t="s">
        <v>250</v>
      </c>
      <c r="B127" s="3" t="s">
        <v>238</v>
      </c>
      <c r="C127" s="3" t="s">
        <v>382</v>
      </c>
      <c r="D127" s="3" t="s">
        <v>235</v>
      </c>
      <c r="E127" s="3" t="s">
        <v>251</v>
      </c>
      <c r="F127" s="3" t="s">
        <v>388</v>
      </c>
    </row>
    <row r="128" spans="1:6" x14ac:dyDescent="0.25">
      <c r="A128" s="3" t="s">
        <v>253</v>
      </c>
      <c r="B128" s="3" t="s">
        <v>238</v>
      </c>
      <c r="C128" s="3" t="s">
        <v>382</v>
      </c>
      <c r="D128" s="3" t="s">
        <v>235</v>
      </c>
      <c r="E128" s="3" t="s">
        <v>254</v>
      </c>
      <c r="F128" s="3" t="s">
        <v>389</v>
      </c>
    </row>
    <row r="129" spans="1:6" x14ac:dyDescent="0.25">
      <c r="A129" s="3" t="s">
        <v>256</v>
      </c>
      <c r="B129" s="3" t="s">
        <v>234</v>
      </c>
      <c r="C129" s="3" t="s">
        <v>382</v>
      </c>
      <c r="D129" s="3" t="s">
        <v>257</v>
      </c>
      <c r="E129" s="3"/>
      <c r="F129" s="3" t="s">
        <v>390</v>
      </c>
    </row>
    <row r="130" spans="1:6" x14ac:dyDescent="0.25">
      <c r="A130" s="3" t="s">
        <v>237</v>
      </c>
      <c r="B130" s="3" t="s">
        <v>238</v>
      </c>
      <c r="C130" s="3" t="s">
        <v>382</v>
      </c>
      <c r="D130" s="3" t="s">
        <v>257</v>
      </c>
      <c r="E130" s="3" t="s">
        <v>239</v>
      </c>
      <c r="F130" s="3" t="s">
        <v>391</v>
      </c>
    </row>
    <row r="131" spans="1:6" x14ac:dyDescent="0.25">
      <c r="A131" s="3" t="s">
        <v>241</v>
      </c>
      <c r="B131" s="3" t="s">
        <v>238</v>
      </c>
      <c r="C131" s="3" t="s">
        <v>382</v>
      </c>
      <c r="D131" s="3" t="s">
        <v>257</v>
      </c>
      <c r="E131" s="3" t="s">
        <v>242</v>
      </c>
      <c r="F131" s="3" t="s">
        <v>392</v>
      </c>
    </row>
    <row r="132" spans="1:6" x14ac:dyDescent="0.25">
      <c r="A132" s="3" t="s">
        <v>244</v>
      </c>
      <c r="B132" s="3" t="s">
        <v>238</v>
      </c>
      <c r="C132" s="3" t="s">
        <v>382</v>
      </c>
      <c r="D132" s="3" t="s">
        <v>257</v>
      </c>
      <c r="E132" s="3" t="s">
        <v>245</v>
      </c>
      <c r="F132" s="3" t="s">
        <v>393</v>
      </c>
    </row>
    <row r="133" spans="1:6" x14ac:dyDescent="0.25">
      <c r="A133" s="3" t="s">
        <v>247</v>
      </c>
      <c r="B133" s="3" t="s">
        <v>238</v>
      </c>
      <c r="C133" s="3" t="s">
        <v>382</v>
      </c>
      <c r="D133" s="3" t="s">
        <v>257</v>
      </c>
      <c r="E133" s="3" t="s">
        <v>248</v>
      </c>
      <c r="F133" s="3" t="s">
        <v>394</v>
      </c>
    </row>
    <row r="134" spans="1:6" x14ac:dyDescent="0.25">
      <c r="A134" s="3" t="s">
        <v>250</v>
      </c>
      <c r="B134" s="3" t="s">
        <v>238</v>
      </c>
      <c r="C134" s="3" t="s">
        <v>382</v>
      </c>
      <c r="D134" s="3" t="s">
        <v>257</v>
      </c>
      <c r="E134" s="3" t="s">
        <v>251</v>
      </c>
      <c r="F134" s="3" t="s">
        <v>395</v>
      </c>
    </row>
    <row r="135" spans="1:6" x14ac:dyDescent="0.25">
      <c r="A135" s="3" t="s">
        <v>253</v>
      </c>
      <c r="B135" s="3" t="s">
        <v>238</v>
      </c>
      <c r="C135" s="3" t="s">
        <v>382</v>
      </c>
      <c r="D135" s="3" t="s">
        <v>257</v>
      </c>
      <c r="E135" s="3" t="s">
        <v>254</v>
      </c>
      <c r="F135" s="3" t="s">
        <v>396</v>
      </c>
    </row>
    <row r="136" spans="1:6" x14ac:dyDescent="0.25">
      <c r="A136" s="3" t="s">
        <v>39</v>
      </c>
      <c r="B136" s="3" t="s">
        <v>234</v>
      </c>
      <c r="C136" s="3" t="s">
        <v>382</v>
      </c>
      <c r="D136" s="3" t="s">
        <v>265</v>
      </c>
      <c r="E136" s="3"/>
      <c r="F136" s="3" t="s">
        <v>397</v>
      </c>
    </row>
    <row r="137" spans="1:6" x14ac:dyDescent="0.25">
      <c r="A137" s="3" t="s">
        <v>237</v>
      </c>
      <c r="B137" s="3" t="s">
        <v>238</v>
      </c>
      <c r="C137" s="3" t="s">
        <v>382</v>
      </c>
      <c r="D137" s="3" t="s">
        <v>265</v>
      </c>
      <c r="E137" s="3" t="s">
        <v>239</v>
      </c>
      <c r="F137" s="3" t="s">
        <v>398</v>
      </c>
    </row>
    <row r="138" spans="1:6" x14ac:dyDescent="0.25">
      <c r="A138" s="3" t="s">
        <v>241</v>
      </c>
      <c r="B138" s="3" t="s">
        <v>238</v>
      </c>
      <c r="C138" s="3" t="s">
        <v>382</v>
      </c>
      <c r="D138" s="3" t="s">
        <v>265</v>
      </c>
      <c r="E138" s="3" t="s">
        <v>242</v>
      </c>
      <c r="F138" s="3" t="s">
        <v>399</v>
      </c>
    </row>
    <row r="139" spans="1:6" x14ac:dyDescent="0.25">
      <c r="A139" s="3" t="s">
        <v>244</v>
      </c>
      <c r="B139" s="3" t="s">
        <v>238</v>
      </c>
      <c r="C139" s="3" t="s">
        <v>382</v>
      </c>
      <c r="D139" s="3" t="s">
        <v>265</v>
      </c>
      <c r="E139" s="3" t="s">
        <v>245</v>
      </c>
      <c r="F139" s="3" t="s">
        <v>400</v>
      </c>
    </row>
    <row r="140" spans="1:6" x14ac:dyDescent="0.25">
      <c r="A140" s="3" t="s">
        <v>247</v>
      </c>
      <c r="B140" s="3" t="s">
        <v>238</v>
      </c>
      <c r="C140" s="3" t="s">
        <v>382</v>
      </c>
      <c r="D140" s="3" t="s">
        <v>265</v>
      </c>
      <c r="E140" s="3" t="s">
        <v>248</v>
      </c>
      <c r="F140" s="3" t="s">
        <v>401</v>
      </c>
    </row>
    <row r="141" spans="1:6" x14ac:dyDescent="0.25">
      <c r="A141" s="3" t="s">
        <v>250</v>
      </c>
      <c r="B141" s="3" t="s">
        <v>238</v>
      </c>
      <c r="C141" s="3" t="s">
        <v>382</v>
      </c>
      <c r="D141" s="3" t="s">
        <v>265</v>
      </c>
      <c r="E141" s="3" t="s">
        <v>251</v>
      </c>
      <c r="F141" s="3" t="s">
        <v>402</v>
      </c>
    </row>
    <row r="142" spans="1:6" x14ac:dyDescent="0.25">
      <c r="A142" s="3" t="s">
        <v>253</v>
      </c>
      <c r="B142" s="3" t="s">
        <v>238</v>
      </c>
      <c r="C142" s="3" t="s">
        <v>382</v>
      </c>
      <c r="D142" s="3" t="s">
        <v>265</v>
      </c>
      <c r="E142" s="3" t="s">
        <v>254</v>
      </c>
      <c r="F142" s="3" t="s">
        <v>403</v>
      </c>
    </row>
    <row r="143" spans="1:6" x14ac:dyDescent="0.25">
      <c r="A143" s="3" t="s">
        <v>273</v>
      </c>
      <c r="B143" s="3" t="s">
        <v>234</v>
      </c>
      <c r="C143" s="3" t="s">
        <v>382</v>
      </c>
      <c r="D143" s="3" t="s">
        <v>274</v>
      </c>
      <c r="E143" s="3"/>
      <c r="F143" s="3" t="s">
        <v>404</v>
      </c>
    </row>
    <row r="144" spans="1:6" x14ac:dyDescent="0.25">
      <c r="A144" s="3" t="s">
        <v>237</v>
      </c>
      <c r="B144" s="3" t="s">
        <v>238</v>
      </c>
      <c r="C144" s="3" t="s">
        <v>382</v>
      </c>
      <c r="D144" s="3" t="s">
        <v>274</v>
      </c>
      <c r="E144" s="3" t="s">
        <v>239</v>
      </c>
      <c r="F144" s="3" t="s">
        <v>405</v>
      </c>
    </row>
    <row r="145" spans="1:6" x14ac:dyDescent="0.25">
      <c r="A145" s="3" t="s">
        <v>244</v>
      </c>
      <c r="B145" s="3" t="s">
        <v>238</v>
      </c>
      <c r="C145" s="3" t="s">
        <v>382</v>
      </c>
      <c r="D145" s="3" t="s">
        <v>274</v>
      </c>
      <c r="E145" s="3" t="s">
        <v>245</v>
      </c>
      <c r="F145" s="3" t="s">
        <v>406</v>
      </c>
    </row>
    <row r="146" spans="1:6" x14ac:dyDescent="0.25">
      <c r="A146" s="3" t="s">
        <v>247</v>
      </c>
      <c r="B146" s="3" t="s">
        <v>238</v>
      </c>
      <c r="C146" s="3" t="s">
        <v>382</v>
      </c>
      <c r="D146" s="3" t="s">
        <v>274</v>
      </c>
      <c r="E146" s="3" t="s">
        <v>248</v>
      </c>
      <c r="F146" s="3" t="s">
        <v>407</v>
      </c>
    </row>
    <row r="147" spans="1:6" x14ac:dyDescent="0.25">
      <c r="A147" s="3" t="s">
        <v>250</v>
      </c>
      <c r="B147" s="3" t="s">
        <v>238</v>
      </c>
      <c r="C147" s="3" t="s">
        <v>382</v>
      </c>
      <c r="D147" s="3" t="s">
        <v>274</v>
      </c>
      <c r="E147" s="3" t="s">
        <v>242</v>
      </c>
      <c r="F147" s="3" t="s">
        <v>408</v>
      </c>
    </row>
    <row r="148" spans="1:6" x14ac:dyDescent="0.25">
      <c r="A148" s="3" t="s">
        <v>253</v>
      </c>
      <c r="B148" s="3" t="s">
        <v>238</v>
      </c>
      <c r="C148" s="3" t="s">
        <v>382</v>
      </c>
      <c r="D148" s="3" t="s">
        <v>274</v>
      </c>
      <c r="E148" s="3" t="s">
        <v>254</v>
      </c>
      <c r="F148" s="3" t="s">
        <v>409</v>
      </c>
    </row>
    <row r="149" spans="1:6" x14ac:dyDescent="0.25">
      <c r="A149" s="3" t="s">
        <v>410</v>
      </c>
      <c r="B149" s="3" t="s">
        <v>232</v>
      </c>
      <c r="C149" s="3" t="s">
        <v>265</v>
      </c>
      <c r="D149" s="3"/>
      <c r="E149" s="3"/>
      <c r="F149" s="3" t="s">
        <v>410</v>
      </c>
    </row>
    <row r="150" spans="1:6" x14ac:dyDescent="0.25">
      <c r="A150" s="3" t="s">
        <v>57</v>
      </c>
      <c r="B150" s="3" t="s">
        <v>234</v>
      </c>
      <c r="C150" s="3" t="s">
        <v>265</v>
      </c>
      <c r="D150" s="3" t="s">
        <v>235</v>
      </c>
      <c r="E150" s="3"/>
      <c r="F150" s="3" t="s">
        <v>411</v>
      </c>
    </row>
    <row r="151" spans="1:6" x14ac:dyDescent="0.25">
      <c r="A151" s="3" t="s">
        <v>237</v>
      </c>
      <c r="B151" s="3" t="s">
        <v>238</v>
      </c>
      <c r="C151" s="3" t="s">
        <v>265</v>
      </c>
      <c r="D151" s="3" t="s">
        <v>235</v>
      </c>
      <c r="E151" s="3" t="s">
        <v>239</v>
      </c>
      <c r="F151" s="3" t="s">
        <v>412</v>
      </c>
    </row>
    <row r="152" spans="1:6" x14ac:dyDescent="0.25">
      <c r="A152" s="3" t="s">
        <v>241</v>
      </c>
      <c r="B152" s="3" t="s">
        <v>238</v>
      </c>
      <c r="C152" s="3" t="s">
        <v>265</v>
      </c>
      <c r="D152" s="3" t="s">
        <v>235</v>
      </c>
      <c r="E152" s="3" t="s">
        <v>242</v>
      </c>
      <c r="F152" s="3" t="s">
        <v>413</v>
      </c>
    </row>
    <row r="153" spans="1:6" x14ac:dyDescent="0.25">
      <c r="A153" s="3" t="s">
        <v>244</v>
      </c>
      <c r="B153" s="3" t="s">
        <v>238</v>
      </c>
      <c r="C153" s="3" t="s">
        <v>265</v>
      </c>
      <c r="D153" s="3" t="s">
        <v>235</v>
      </c>
      <c r="E153" s="3" t="s">
        <v>245</v>
      </c>
      <c r="F153" s="3" t="s">
        <v>414</v>
      </c>
    </row>
    <row r="154" spans="1:6" x14ac:dyDescent="0.25">
      <c r="A154" s="3" t="s">
        <v>247</v>
      </c>
      <c r="B154" s="3" t="s">
        <v>238</v>
      </c>
      <c r="C154" s="3" t="s">
        <v>265</v>
      </c>
      <c r="D154" s="3" t="s">
        <v>235</v>
      </c>
      <c r="E154" s="3" t="s">
        <v>248</v>
      </c>
      <c r="F154" s="3" t="s">
        <v>415</v>
      </c>
    </row>
    <row r="155" spans="1:6" x14ac:dyDescent="0.25">
      <c r="A155" s="3" t="s">
        <v>250</v>
      </c>
      <c r="B155" s="3" t="s">
        <v>238</v>
      </c>
      <c r="C155" s="3" t="s">
        <v>265</v>
      </c>
      <c r="D155" s="3" t="s">
        <v>235</v>
      </c>
      <c r="E155" s="3" t="s">
        <v>251</v>
      </c>
      <c r="F155" s="3" t="s">
        <v>416</v>
      </c>
    </row>
    <row r="156" spans="1:6" x14ac:dyDescent="0.25">
      <c r="A156" s="3" t="s">
        <v>253</v>
      </c>
      <c r="B156" s="3" t="s">
        <v>238</v>
      </c>
      <c r="C156" s="3" t="s">
        <v>265</v>
      </c>
      <c r="D156" s="3" t="s">
        <v>235</v>
      </c>
      <c r="E156" s="3" t="s">
        <v>254</v>
      </c>
      <c r="F156" s="3" t="s">
        <v>417</v>
      </c>
    </row>
    <row r="157" spans="1:6" x14ac:dyDescent="0.25">
      <c r="A157" s="3" t="s">
        <v>256</v>
      </c>
      <c r="B157" s="3" t="s">
        <v>234</v>
      </c>
      <c r="C157" s="3" t="s">
        <v>265</v>
      </c>
      <c r="D157" s="3" t="s">
        <v>257</v>
      </c>
      <c r="E157" s="3"/>
      <c r="F157" s="3" t="s">
        <v>418</v>
      </c>
    </row>
    <row r="158" spans="1:6" x14ac:dyDescent="0.25">
      <c r="A158" s="3" t="s">
        <v>237</v>
      </c>
      <c r="B158" s="3" t="s">
        <v>238</v>
      </c>
      <c r="C158" s="3" t="s">
        <v>265</v>
      </c>
      <c r="D158" s="3" t="s">
        <v>257</v>
      </c>
      <c r="E158" s="3" t="s">
        <v>239</v>
      </c>
      <c r="F158" s="3" t="s">
        <v>419</v>
      </c>
    </row>
    <row r="159" spans="1:6" x14ac:dyDescent="0.25">
      <c r="A159" s="3" t="s">
        <v>241</v>
      </c>
      <c r="B159" s="3" t="s">
        <v>238</v>
      </c>
      <c r="C159" s="3" t="s">
        <v>265</v>
      </c>
      <c r="D159" s="3" t="s">
        <v>257</v>
      </c>
      <c r="E159" s="3" t="s">
        <v>242</v>
      </c>
      <c r="F159" s="3" t="s">
        <v>420</v>
      </c>
    </row>
    <row r="160" spans="1:6" x14ac:dyDescent="0.25">
      <c r="A160" s="3" t="s">
        <v>244</v>
      </c>
      <c r="B160" s="3" t="s">
        <v>238</v>
      </c>
      <c r="C160" s="3" t="s">
        <v>265</v>
      </c>
      <c r="D160" s="3" t="s">
        <v>257</v>
      </c>
      <c r="E160" s="3" t="s">
        <v>245</v>
      </c>
      <c r="F160" s="3" t="s">
        <v>421</v>
      </c>
    </row>
    <row r="161" spans="1:6" x14ac:dyDescent="0.25">
      <c r="A161" s="3" t="s">
        <v>247</v>
      </c>
      <c r="B161" s="3" t="s">
        <v>238</v>
      </c>
      <c r="C161" s="3" t="s">
        <v>265</v>
      </c>
      <c r="D161" s="3" t="s">
        <v>257</v>
      </c>
      <c r="E161" s="3" t="s">
        <v>248</v>
      </c>
      <c r="F161" s="3" t="s">
        <v>422</v>
      </c>
    </row>
    <row r="162" spans="1:6" x14ac:dyDescent="0.25">
      <c r="A162" s="3" t="s">
        <v>250</v>
      </c>
      <c r="B162" s="3" t="s">
        <v>238</v>
      </c>
      <c r="C162" s="3" t="s">
        <v>265</v>
      </c>
      <c r="D162" s="3" t="s">
        <v>257</v>
      </c>
      <c r="E162" s="3" t="s">
        <v>251</v>
      </c>
      <c r="F162" s="3" t="s">
        <v>423</v>
      </c>
    </row>
    <row r="163" spans="1:6" x14ac:dyDescent="0.25">
      <c r="A163" s="3" t="s">
        <v>253</v>
      </c>
      <c r="B163" s="3" t="s">
        <v>238</v>
      </c>
      <c r="C163" s="3" t="s">
        <v>265</v>
      </c>
      <c r="D163" s="3" t="s">
        <v>257</v>
      </c>
      <c r="E163" s="3" t="s">
        <v>254</v>
      </c>
      <c r="F163" s="3" t="s">
        <v>424</v>
      </c>
    </row>
    <row r="164" spans="1:6" x14ac:dyDescent="0.25">
      <c r="A164" s="3" t="s">
        <v>39</v>
      </c>
      <c r="B164" s="3" t="s">
        <v>234</v>
      </c>
      <c r="C164" s="3" t="s">
        <v>265</v>
      </c>
      <c r="D164" s="3" t="s">
        <v>265</v>
      </c>
      <c r="E164" s="3"/>
      <c r="F164" s="3" t="s">
        <v>425</v>
      </c>
    </row>
    <row r="165" spans="1:6" x14ac:dyDescent="0.25">
      <c r="A165" s="3" t="s">
        <v>237</v>
      </c>
      <c r="B165" s="3" t="s">
        <v>238</v>
      </c>
      <c r="C165" s="3" t="s">
        <v>265</v>
      </c>
      <c r="D165" s="3" t="s">
        <v>265</v>
      </c>
      <c r="E165" s="3" t="s">
        <v>239</v>
      </c>
      <c r="F165" s="3" t="s">
        <v>426</v>
      </c>
    </row>
    <row r="166" spans="1:6" x14ac:dyDescent="0.25">
      <c r="A166" s="3" t="s">
        <v>241</v>
      </c>
      <c r="B166" s="3" t="s">
        <v>238</v>
      </c>
      <c r="C166" s="3" t="s">
        <v>265</v>
      </c>
      <c r="D166" s="3" t="s">
        <v>265</v>
      </c>
      <c r="E166" s="3" t="s">
        <v>242</v>
      </c>
      <c r="F166" s="3" t="s">
        <v>427</v>
      </c>
    </row>
    <row r="167" spans="1:6" x14ac:dyDescent="0.25">
      <c r="A167" s="3" t="s">
        <v>244</v>
      </c>
      <c r="B167" s="3" t="s">
        <v>238</v>
      </c>
      <c r="C167" s="3" t="s">
        <v>265</v>
      </c>
      <c r="D167" s="3" t="s">
        <v>265</v>
      </c>
      <c r="E167" s="3" t="s">
        <v>245</v>
      </c>
      <c r="F167" s="3" t="s">
        <v>428</v>
      </c>
    </row>
    <row r="168" spans="1:6" x14ac:dyDescent="0.25">
      <c r="A168" s="3" t="s">
        <v>247</v>
      </c>
      <c r="B168" s="3" t="s">
        <v>238</v>
      </c>
      <c r="C168" s="3" t="s">
        <v>265</v>
      </c>
      <c r="D168" s="3" t="s">
        <v>265</v>
      </c>
      <c r="E168" s="3" t="s">
        <v>248</v>
      </c>
      <c r="F168" s="3" t="s">
        <v>429</v>
      </c>
    </row>
    <row r="169" spans="1:6" x14ac:dyDescent="0.25">
      <c r="A169" s="3" t="s">
        <v>250</v>
      </c>
      <c r="B169" s="3" t="s">
        <v>238</v>
      </c>
      <c r="C169" s="3" t="s">
        <v>265</v>
      </c>
      <c r="D169" s="3" t="s">
        <v>265</v>
      </c>
      <c r="E169" s="3" t="s">
        <v>251</v>
      </c>
      <c r="F169" s="3" t="s">
        <v>430</v>
      </c>
    </row>
    <row r="170" spans="1:6" x14ac:dyDescent="0.25">
      <c r="A170" s="3" t="s">
        <v>253</v>
      </c>
      <c r="B170" s="3" t="s">
        <v>238</v>
      </c>
      <c r="C170" s="3" t="s">
        <v>265</v>
      </c>
      <c r="D170" s="3" t="s">
        <v>265</v>
      </c>
      <c r="E170" s="3" t="s">
        <v>254</v>
      </c>
      <c r="F170" s="3" t="s">
        <v>431</v>
      </c>
    </row>
    <row r="171" spans="1:6" x14ac:dyDescent="0.25">
      <c r="A171" s="3" t="s">
        <v>273</v>
      </c>
      <c r="B171" s="3" t="s">
        <v>234</v>
      </c>
      <c r="C171" s="3" t="s">
        <v>265</v>
      </c>
      <c r="D171" s="3" t="s">
        <v>274</v>
      </c>
      <c r="E171" s="3"/>
      <c r="F171" s="3" t="s">
        <v>432</v>
      </c>
    </row>
    <row r="172" spans="1:6" x14ac:dyDescent="0.25">
      <c r="A172" s="3" t="s">
        <v>237</v>
      </c>
      <c r="B172" s="3" t="s">
        <v>238</v>
      </c>
      <c r="C172" s="3" t="s">
        <v>265</v>
      </c>
      <c r="D172" s="3" t="s">
        <v>274</v>
      </c>
      <c r="E172" s="3" t="s">
        <v>239</v>
      </c>
      <c r="F172" s="3" t="s">
        <v>433</v>
      </c>
    </row>
    <row r="173" spans="1:6" x14ac:dyDescent="0.25">
      <c r="A173" s="3" t="s">
        <v>244</v>
      </c>
      <c r="B173" s="3" t="s">
        <v>238</v>
      </c>
      <c r="C173" s="3" t="s">
        <v>265</v>
      </c>
      <c r="D173" s="3" t="s">
        <v>274</v>
      </c>
      <c r="E173" s="3" t="s">
        <v>245</v>
      </c>
      <c r="F173" s="3" t="s">
        <v>434</v>
      </c>
    </row>
    <row r="174" spans="1:6" x14ac:dyDescent="0.25">
      <c r="A174" s="3" t="s">
        <v>247</v>
      </c>
      <c r="B174" s="3" t="s">
        <v>238</v>
      </c>
      <c r="C174" s="3" t="s">
        <v>265</v>
      </c>
      <c r="D174" s="3" t="s">
        <v>274</v>
      </c>
      <c r="E174" s="3" t="s">
        <v>248</v>
      </c>
      <c r="F174" s="3" t="s">
        <v>435</v>
      </c>
    </row>
    <row r="175" spans="1:6" x14ac:dyDescent="0.25">
      <c r="A175" s="3" t="s">
        <v>250</v>
      </c>
      <c r="B175" s="3" t="s">
        <v>238</v>
      </c>
      <c r="C175" s="3" t="s">
        <v>265</v>
      </c>
      <c r="D175" s="3" t="s">
        <v>274</v>
      </c>
      <c r="E175" s="3" t="s">
        <v>242</v>
      </c>
      <c r="F175" s="3" t="s">
        <v>436</v>
      </c>
    </row>
    <row r="176" spans="1:6" x14ac:dyDescent="0.25">
      <c r="A176" s="3" t="s">
        <v>253</v>
      </c>
      <c r="B176" s="3" t="s">
        <v>238</v>
      </c>
      <c r="C176" s="3" t="s">
        <v>265</v>
      </c>
      <c r="D176" s="3" t="s">
        <v>274</v>
      </c>
      <c r="E176" s="3" t="s">
        <v>254</v>
      </c>
      <c r="F176" s="3" t="s">
        <v>437</v>
      </c>
    </row>
    <row r="177" spans="1:6" x14ac:dyDescent="0.25">
      <c r="A177" s="3" t="s">
        <v>439</v>
      </c>
      <c r="B177" s="3" t="s">
        <v>232</v>
      </c>
      <c r="C177" s="3" t="s">
        <v>440</v>
      </c>
      <c r="D177" s="3"/>
      <c r="E177" s="3"/>
      <c r="F177" s="3" t="s">
        <v>439</v>
      </c>
    </row>
    <row r="178" spans="1:6" x14ac:dyDescent="0.25">
      <c r="A178" s="3" t="s">
        <v>57</v>
      </c>
      <c r="B178" s="3" t="s">
        <v>234</v>
      </c>
      <c r="C178" s="3" t="s">
        <v>440</v>
      </c>
      <c r="D178" s="3" t="s">
        <v>265</v>
      </c>
      <c r="E178" s="3"/>
      <c r="F178" s="3" t="s">
        <v>441</v>
      </c>
    </row>
    <row r="179" spans="1:6" x14ac:dyDescent="0.25">
      <c r="A179" s="3" t="s">
        <v>284</v>
      </c>
      <c r="B179" s="3" t="s">
        <v>238</v>
      </c>
      <c r="C179" s="3" t="s">
        <v>440</v>
      </c>
      <c r="D179" s="3" t="s">
        <v>265</v>
      </c>
      <c r="E179" s="3" t="s">
        <v>245</v>
      </c>
      <c r="F179" s="3" t="s">
        <v>442</v>
      </c>
    </row>
    <row r="180" spans="1:6" x14ac:dyDescent="0.25">
      <c r="A180" s="3" t="s">
        <v>286</v>
      </c>
      <c r="B180" s="3" t="s">
        <v>238</v>
      </c>
      <c r="C180" s="3" t="s">
        <v>440</v>
      </c>
      <c r="D180" s="3" t="s">
        <v>265</v>
      </c>
      <c r="E180" s="3" t="s">
        <v>254</v>
      </c>
      <c r="F180" s="3" t="s">
        <v>443</v>
      </c>
    </row>
    <row r="181" spans="1:6" x14ac:dyDescent="0.25">
      <c r="A181" s="3" t="s">
        <v>288</v>
      </c>
      <c r="B181" s="3" t="s">
        <v>238</v>
      </c>
      <c r="C181" s="3" t="s">
        <v>440</v>
      </c>
      <c r="D181" s="3" t="s">
        <v>265</v>
      </c>
      <c r="E181" s="3" t="s">
        <v>248</v>
      </c>
      <c r="F181" s="3" t="s">
        <v>444</v>
      </c>
    </row>
    <row r="182" spans="1:6" x14ac:dyDescent="0.25">
      <c r="A182" s="3" t="s">
        <v>256</v>
      </c>
      <c r="B182" s="3" t="s">
        <v>234</v>
      </c>
      <c r="C182" s="3" t="s">
        <v>440</v>
      </c>
      <c r="D182" s="3" t="s">
        <v>257</v>
      </c>
      <c r="E182" s="3"/>
      <c r="F182" s="3" t="s">
        <v>445</v>
      </c>
    </row>
    <row r="183" spans="1:6" x14ac:dyDescent="0.25">
      <c r="A183" s="3" t="s">
        <v>284</v>
      </c>
      <c r="B183" s="3" t="s">
        <v>238</v>
      </c>
      <c r="C183" s="3" t="s">
        <v>440</v>
      </c>
      <c r="D183" s="3" t="s">
        <v>257</v>
      </c>
      <c r="E183" s="3" t="s">
        <v>245</v>
      </c>
      <c r="F183" s="3" t="s">
        <v>446</v>
      </c>
    </row>
    <row r="184" spans="1:6" x14ac:dyDescent="0.25">
      <c r="A184" s="3" t="s">
        <v>286</v>
      </c>
      <c r="B184" s="3" t="s">
        <v>238</v>
      </c>
      <c r="C184" s="3" t="s">
        <v>440</v>
      </c>
      <c r="D184" s="3" t="s">
        <v>257</v>
      </c>
      <c r="E184" s="3" t="s">
        <v>254</v>
      </c>
      <c r="F184" s="3" t="s">
        <v>447</v>
      </c>
    </row>
    <row r="185" spans="1:6" x14ac:dyDescent="0.25">
      <c r="A185" s="3" t="s">
        <v>288</v>
      </c>
      <c r="B185" s="3" t="s">
        <v>238</v>
      </c>
      <c r="C185" s="3" t="s">
        <v>440</v>
      </c>
      <c r="D185" s="3" t="s">
        <v>257</v>
      </c>
      <c r="E185" s="3" t="s">
        <v>248</v>
      </c>
      <c r="F185" s="3" t="s">
        <v>448</v>
      </c>
    </row>
    <row r="186" spans="1:6" x14ac:dyDescent="0.25">
      <c r="A186" s="3" t="s">
        <v>294</v>
      </c>
      <c r="B186" s="3" t="s">
        <v>234</v>
      </c>
      <c r="C186" s="3" t="s">
        <v>440</v>
      </c>
      <c r="D186" s="3" t="s">
        <v>235</v>
      </c>
      <c r="E186" s="3"/>
      <c r="F186" s="3" t="s">
        <v>449</v>
      </c>
    </row>
    <row r="187" spans="1:6" x14ac:dyDescent="0.25">
      <c r="A187" s="3" t="s">
        <v>284</v>
      </c>
      <c r="B187" s="3" t="s">
        <v>238</v>
      </c>
      <c r="C187" s="3" t="s">
        <v>440</v>
      </c>
      <c r="D187" s="3" t="s">
        <v>235</v>
      </c>
      <c r="E187" s="3" t="s">
        <v>245</v>
      </c>
      <c r="F187" s="3" t="s">
        <v>450</v>
      </c>
    </row>
    <row r="188" spans="1:6" x14ac:dyDescent="0.25">
      <c r="A188" s="3" t="s">
        <v>286</v>
      </c>
      <c r="B188" s="3" t="s">
        <v>238</v>
      </c>
      <c r="C188" s="3" t="s">
        <v>440</v>
      </c>
      <c r="D188" s="3" t="s">
        <v>235</v>
      </c>
      <c r="E188" s="3" t="s">
        <v>254</v>
      </c>
      <c r="F188" s="3" t="s">
        <v>451</v>
      </c>
    </row>
    <row r="189" spans="1:6" x14ac:dyDescent="0.25">
      <c r="A189" s="3" t="s">
        <v>288</v>
      </c>
      <c r="B189" s="3" t="s">
        <v>238</v>
      </c>
      <c r="C189" s="3" t="s">
        <v>440</v>
      </c>
      <c r="D189" s="3" t="s">
        <v>235</v>
      </c>
      <c r="E189" s="3" t="s">
        <v>248</v>
      </c>
      <c r="F189" s="3" t="s">
        <v>452</v>
      </c>
    </row>
    <row r="190" spans="1:6" x14ac:dyDescent="0.25">
      <c r="A190" s="3" t="s">
        <v>453</v>
      </c>
      <c r="B190" s="3" t="s">
        <v>232</v>
      </c>
      <c r="C190" s="3" t="s">
        <v>454</v>
      </c>
      <c r="D190" s="3"/>
      <c r="E190" s="3"/>
      <c r="F190" s="3" t="s">
        <v>453</v>
      </c>
    </row>
    <row r="191" spans="1:6" x14ac:dyDescent="0.25">
      <c r="A191" s="3" t="s">
        <v>57</v>
      </c>
      <c r="B191" s="3" t="s">
        <v>234</v>
      </c>
      <c r="C191" s="3" t="s">
        <v>454</v>
      </c>
      <c r="D191" s="3" t="s">
        <v>235</v>
      </c>
      <c r="E191" s="3"/>
      <c r="F191" s="3" t="s">
        <v>455</v>
      </c>
    </row>
    <row r="192" spans="1:6" x14ac:dyDescent="0.25">
      <c r="A192" s="3" t="s">
        <v>237</v>
      </c>
      <c r="B192" s="3" t="s">
        <v>238</v>
      </c>
      <c r="C192" s="3" t="s">
        <v>454</v>
      </c>
      <c r="D192" s="3" t="s">
        <v>235</v>
      </c>
      <c r="E192" s="3" t="s">
        <v>239</v>
      </c>
      <c r="F192" s="3" t="s">
        <v>456</v>
      </c>
    </row>
    <row r="193" spans="1:6" x14ac:dyDescent="0.25">
      <c r="A193" s="3" t="s">
        <v>241</v>
      </c>
      <c r="B193" s="3" t="s">
        <v>238</v>
      </c>
      <c r="C193" s="3" t="s">
        <v>454</v>
      </c>
      <c r="D193" s="3" t="s">
        <v>235</v>
      </c>
      <c r="E193" s="3" t="s">
        <v>242</v>
      </c>
      <c r="F193" s="3" t="s">
        <v>457</v>
      </c>
    </row>
    <row r="194" spans="1:6" x14ac:dyDescent="0.25">
      <c r="A194" s="3" t="s">
        <v>244</v>
      </c>
      <c r="B194" s="3" t="s">
        <v>238</v>
      </c>
      <c r="C194" s="3" t="s">
        <v>454</v>
      </c>
      <c r="D194" s="3" t="s">
        <v>235</v>
      </c>
      <c r="E194" s="3" t="s">
        <v>245</v>
      </c>
      <c r="F194" s="3" t="s">
        <v>458</v>
      </c>
    </row>
    <row r="195" spans="1:6" x14ac:dyDescent="0.25">
      <c r="A195" s="3" t="s">
        <v>247</v>
      </c>
      <c r="B195" s="3" t="s">
        <v>238</v>
      </c>
      <c r="C195" s="3" t="s">
        <v>454</v>
      </c>
      <c r="D195" s="3" t="s">
        <v>235</v>
      </c>
      <c r="E195" s="3" t="s">
        <v>248</v>
      </c>
      <c r="F195" s="3" t="s">
        <v>459</v>
      </c>
    </row>
    <row r="196" spans="1:6" x14ac:dyDescent="0.25">
      <c r="A196" s="3" t="s">
        <v>250</v>
      </c>
      <c r="B196" s="3" t="s">
        <v>238</v>
      </c>
      <c r="C196" s="3" t="s">
        <v>454</v>
      </c>
      <c r="D196" s="3" t="s">
        <v>235</v>
      </c>
      <c r="E196" s="3" t="s">
        <v>251</v>
      </c>
      <c r="F196" s="3" t="s">
        <v>460</v>
      </c>
    </row>
    <row r="197" spans="1:6" x14ac:dyDescent="0.25">
      <c r="A197" s="3" t="s">
        <v>253</v>
      </c>
      <c r="B197" s="3" t="s">
        <v>238</v>
      </c>
      <c r="C197" s="3" t="s">
        <v>454</v>
      </c>
      <c r="D197" s="3" t="s">
        <v>235</v>
      </c>
      <c r="E197" s="3" t="s">
        <v>254</v>
      </c>
      <c r="F197" s="3" t="s">
        <v>461</v>
      </c>
    </row>
    <row r="198" spans="1:6" x14ac:dyDescent="0.25">
      <c r="A198" s="3" t="s">
        <v>256</v>
      </c>
      <c r="B198" s="3" t="s">
        <v>234</v>
      </c>
      <c r="C198" s="3" t="s">
        <v>454</v>
      </c>
      <c r="D198" s="3" t="s">
        <v>257</v>
      </c>
      <c r="E198" s="3"/>
      <c r="F198" s="3" t="s">
        <v>462</v>
      </c>
    </row>
    <row r="199" spans="1:6" x14ac:dyDescent="0.25">
      <c r="A199" s="3" t="s">
        <v>237</v>
      </c>
      <c r="B199" s="3" t="s">
        <v>238</v>
      </c>
      <c r="C199" s="3" t="s">
        <v>454</v>
      </c>
      <c r="D199" s="3" t="s">
        <v>257</v>
      </c>
      <c r="E199" s="3" t="s">
        <v>239</v>
      </c>
      <c r="F199" s="3" t="s">
        <v>463</v>
      </c>
    </row>
    <row r="200" spans="1:6" x14ac:dyDescent="0.25">
      <c r="A200" s="3" t="s">
        <v>241</v>
      </c>
      <c r="B200" s="3" t="s">
        <v>238</v>
      </c>
      <c r="C200" s="3" t="s">
        <v>454</v>
      </c>
      <c r="D200" s="3" t="s">
        <v>257</v>
      </c>
      <c r="E200" s="3" t="s">
        <v>242</v>
      </c>
      <c r="F200" s="3" t="s">
        <v>464</v>
      </c>
    </row>
    <row r="201" spans="1:6" x14ac:dyDescent="0.25">
      <c r="A201" s="3" t="s">
        <v>244</v>
      </c>
      <c r="B201" s="3" t="s">
        <v>238</v>
      </c>
      <c r="C201" s="3" t="s">
        <v>454</v>
      </c>
      <c r="D201" s="3" t="s">
        <v>257</v>
      </c>
      <c r="E201" s="3" t="s">
        <v>245</v>
      </c>
      <c r="F201" s="3" t="s">
        <v>465</v>
      </c>
    </row>
    <row r="202" spans="1:6" x14ac:dyDescent="0.25">
      <c r="A202" s="3" t="s">
        <v>247</v>
      </c>
      <c r="B202" s="3" t="s">
        <v>238</v>
      </c>
      <c r="C202" s="3" t="s">
        <v>454</v>
      </c>
      <c r="D202" s="3" t="s">
        <v>257</v>
      </c>
      <c r="E202" s="3" t="s">
        <v>248</v>
      </c>
      <c r="F202" s="3" t="s">
        <v>466</v>
      </c>
    </row>
    <row r="203" spans="1:6" x14ac:dyDescent="0.25">
      <c r="A203" s="3" t="s">
        <v>250</v>
      </c>
      <c r="B203" s="3" t="s">
        <v>238</v>
      </c>
      <c r="C203" s="3" t="s">
        <v>454</v>
      </c>
      <c r="D203" s="3" t="s">
        <v>257</v>
      </c>
      <c r="E203" s="3" t="s">
        <v>251</v>
      </c>
      <c r="F203" s="3" t="s">
        <v>467</v>
      </c>
    </row>
    <row r="204" spans="1:6" x14ac:dyDescent="0.25">
      <c r="A204" s="3" t="s">
        <v>253</v>
      </c>
      <c r="B204" s="3" t="s">
        <v>238</v>
      </c>
      <c r="C204" s="3" t="s">
        <v>454</v>
      </c>
      <c r="D204" s="3" t="s">
        <v>257</v>
      </c>
      <c r="E204" s="3" t="s">
        <v>254</v>
      </c>
      <c r="F204" s="3" t="s">
        <v>468</v>
      </c>
    </row>
    <row r="205" spans="1:6" x14ac:dyDescent="0.25">
      <c r="A205" s="3" t="s">
        <v>39</v>
      </c>
      <c r="B205" s="3" t="s">
        <v>234</v>
      </c>
      <c r="C205" s="3" t="s">
        <v>454</v>
      </c>
      <c r="D205" s="3" t="s">
        <v>265</v>
      </c>
      <c r="E205" s="3"/>
      <c r="F205" s="3" t="s">
        <v>469</v>
      </c>
    </row>
    <row r="206" spans="1:6" x14ac:dyDescent="0.25">
      <c r="A206" s="3" t="s">
        <v>237</v>
      </c>
      <c r="B206" s="3" t="s">
        <v>238</v>
      </c>
      <c r="C206" s="3" t="s">
        <v>454</v>
      </c>
      <c r="D206" s="3" t="s">
        <v>265</v>
      </c>
      <c r="E206" s="3" t="s">
        <v>239</v>
      </c>
      <c r="F206" s="3" t="s">
        <v>470</v>
      </c>
    </row>
    <row r="207" spans="1:6" x14ac:dyDescent="0.25">
      <c r="A207" s="3" t="s">
        <v>241</v>
      </c>
      <c r="B207" s="3" t="s">
        <v>238</v>
      </c>
      <c r="C207" s="3" t="s">
        <v>454</v>
      </c>
      <c r="D207" s="3" t="s">
        <v>265</v>
      </c>
      <c r="E207" s="3" t="s">
        <v>242</v>
      </c>
      <c r="F207" s="3" t="s">
        <v>471</v>
      </c>
    </row>
    <row r="208" spans="1:6" x14ac:dyDescent="0.25">
      <c r="A208" s="3" t="s">
        <v>244</v>
      </c>
      <c r="B208" s="3" t="s">
        <v>238</v>
      </c>
      <c r="C208" s="3" t="s">
        <v>454</v>
      </c>
      <c r="D208" s="3" t="s">
        <v>265</v>
      </c>
      <c r="E208" s="3" t="s">
        <v>245</v>
      </c>
      <c r="F208" s="3" t="s">
        <v>472</v>
      </c>
    </row>
    <row r="209" spans="1:6" x14ac:dyDescent="0.25">
      <c r="A209" s="3" t="s">
        <v>247</v>
      </c>
      <c r="B209" s="3" t="s">
        <v>238</v>
      </c>
      <c r="C209" s="3" t="s">
        <v>454</v>
      </c>
      <c r="D209" s="3" t="s">
        <v>265</v>
      </c>
      <c r="E209" s="3" t="s">
        <v>248</v>
      </c>
      <c r="F209" s="3" t="s">
        <v>473</v>
      </c>
    </row>
    <row r="210" spans="1:6" x14ac:dyDescent="0.25">
      <c r="A210" s="3" t="s">
        <v>250</v>
      </c>
      <c r="B210" s="3" t="s">
        <v>238</v>
      </c>
      <c r="C210" s="3" t="s">
        <v>454</v>
      </c>
      <c r="D210" s="3" t="s">
        <v>265</v>
      </c>
      <c r="E210" s="3" t="s">
        <v>251</v>
      </c>
      <c r="F210" s="3" t="s">
        <v>474</v>
      </c>
    </row>
    <row r="211" spans="1:6" x14ac:dyDescent="0.25">
      <c r="A211" s="3" t="s">
        <v>253</v>
      </c>
      <c r="B211" s="3" t="s">
        <v>238</v>
      </c>
      <c r="C211" s="3" t="s">
        <v>454</v>
      </c>
      <c r="D211" s="3" t="s">
        <v>265</v>
      </c>
      <c r="E211" s="3" t="s">
        <v>254</v>
      </c>
      <c r="F211" s="3" t="s">
        <v>475</v>
      </c>
    </row>
    <row r="212" spans="1:6" x14ac:dyDescent="0.25">
      <c r="A212" s="3" t="s">
        <v>273</v>
      </c>
      <c r="B212" s="3" t="s">
        <v>234</v>
      </c>
      <c r="C212" s="3" t="s">
        <v>454</v>
      </c>
      <c r="D212" s="3" t="s">
        <v>274</v>
      </c>
      <c r="E212" s="3"/>
      <c r="F212" s="3" t="s">
        <v>476</v>
      </c>
    </row>
    <row r="213" spans="1:6" x14ac:dyDescent="0.25">
      <c r="A213" s="3" t="s">
        <v>237</v>
      </c>
      <c r="B213" s="3" t="s">
        <v>238</v>
      </c>
      <c r="C213" s="3" t="s">
        <v>454</v>
      </c>
      <c r="D213" s="3" t="s">
        <v>274</v>
      </c>
      <c r="E213" s="3" t="s">
        <v>239</v>
      </c>
      <c r="F213" s="3" t="s">
        <v>477</v>
      </c>
    </row>
    <row r="214" spans="1:6" x14ac:dyDescent="0.25">
      <c r="A214" s="3" t="s">
        <v>244</v>
      </c>
      <c r="B214" s="3" t="s">
        <v>238</v>
      </c>
      <c r="C214" s="3" t="s">
        <v>454</v>
      </c>
      <c r="D214" s="3" t="s">
        <v>274</v>
      </c>
      <c r="E214" s="3" t="s">
        <v>245</v>
      </c>
      <c r="F214" s="3" t="s">
        <v>478</v>
      </c>
    </row>
    <row r="215" spans="1:6" x14ac:dyDescent="0.25">
      <c r="A215" s="3" t="s">
        <v>247</v>
      </c>
      <c r="B215" s="3" t="s">
        <v>238</v>
      </c>
      <c r="C215" s="3" t="s">
        <v>454</v>
      </c>
      <c r="D215" s="3" t="s">
        <v>274</v>
      </c>
      <c r="E215" s="3" t="s">
        <v>248</v>
      </c>
      <c r="F215" s="3" t="s">
        <v>479</v>
      </c>
    </row>
    <row r="216" spans="1:6" x14ac:dyDescent="0.25">
      <c r="A216" s="3" t="s">
        <v>250</v>
      </c>
      <c r="B216" s="3" t="s">
        <v>238</v>
      </c>
      <c r="C216" s="3" t="s">
        <v>454</v>
      </c>
      <c r="D216" s="3" t="s">
        <v>274</v>
      </c>
      <c r="E216" s="3" t="s">
        <v>242</v>
      </c>
      <c r="F216" s="3" t="s">
        <v>480</v>
      </c>
    </row>
    <row r="217" spans="1:6" x14ac:dyDescent="0.25">
      <c r="A217" s="3" t="s">
        <v>253</v>
      </c>
      <c r="B217" s="3" t="s">
        <v>238</v>
      </c>
      <c r="C217" s="3" t="s">
        <v>454</v>
      </c>
      <c r="D217" s="3" t="s">
        <v>274</v>
      </c>
      <c r="E217" s="3" t="s">
        <v>254</v>
      </c>
      <c r="F217" s="3" t="s">
        <v>481</v>
      </c>
    </row>
    <row r="218" spans="1:6" x14ac:dyDescent="0.25">
      <c r="A218" s="3" t="s">
        <v>482</v>
      </c>
      <c r="B218" s="3" t="s">
        <v>232</v>
      </c>
      <c r="C218" s="3" t="s">
        <v>438</v>
      </c>
      <c r="D218" s="3"/>
      <c r="E218" s="3"/>
      <c r="F218" s="3" t="s">
        <v>482</v>
      </c>
    </row>
    <row r="219" spans="1:6" x14ac:dyDescent="0.25">
      <c r="A219" s="3" t="s">
        <v>483</v>
      </c>
      <c r="B219" s="3" t="s">
        <v>232</v>
      </c>
      <c r="C219" s="3" t="s">
        <v>484</v>
      </c>
      <c r="D219" s="3"/>
      <c r="E219" s="3"/>
      <c r="F219" s="3" t="s">
        <v>483</v>
      </c>
    </row>
    <row r="220" spans="1:6" x14ac:dyDescent="0.25">
      <c r="A220" s="3" t="s">
        <v>57</v>
      </c>
      <c r="B220" s="3" t="s">
        <v>234</v>
      </c>
      <c r="C220" s="3" t="s">
        <v>484</v>
      </c>
      <c r="D220" s="3" t="s">
        <v>235</v>
      </c>
      <c r="E220" s="3"/>
      <c r="F220" s="3" t="s">
        <v>485</v>
      </c>
    </row>
    <row r="221" spans="1:6" x14ac:dyDescent="0.25">
      <c r="A221" s="3" t="s">
        <v>237</v>
      </c>
      <c r="B221" s="3" t="s">
        <v>238</v>
      </c>
      <c r="C221" s="3" t="s">
        <v>484</v>
      </c>
      <c r="D221" s="3" t="s">
        <v>235</v>
      </c>
      <c r="E221" s="3" t="s">
        <v>239</v>
      </c>
      <c r="F221" s="3" t="s">
        <v>486</v>
      </c>
    </row>
    <row r="222" spans="1:6" x14ac:dyDescent="0.25">
      <c r="A222" s="3" t="s">
        <v>241</v>
      </c>
      <c r="B222" s="3" t="s">
        <v>238</v>
      </c>
      <c r="C222" s="3" t="s">
        <v>484</v>
      </c>
      <c r="D222" s="3" t="s">
        <v>235</v>
      </c>
      <c r="E222" s="3" t="s">
        <v>242</v>
      </c>
      <c r="F222" s="3" t="s">
        <v>487</v>
      </c>
    </row>
    <row r="223" spans="1:6" x14ac:dyDescent="0.25">
      <c r="A223" s="3" t="s">
        <v>244</v>
      </c>
      <c r="B223" s="3" t="s">
        <v>238</v>
      </c>
      <c r="C223" s="3" t="s">
        <v>484</v>
      </c>
      <c r="D223" s="3" t="s">
        <v>235</v>
      </c>
      <c r="E223" s="3" t="s">
        <v>245</v>
      </c>
      <c r="F223" s="3" t="s">
        <v>488</v>
      </c>
    </row>
    <row r="224" spans="1:6" x14ac:dyDescent="0.25">
      <c r="A224" s="3" t="s">
        <v>247</v>
      </c>
      <c r="B224" s="3" t="s">
        <v>238</v>
      </c>
      <c r="C224" s="3" t="s">
        <v>484</v>
      </c>
      <c r="D224" s="3" t="s">
        <v>235</v>
      </c>
      <c r="E224" s="3" t="s">
        <v>248</v>
      </c>
      <c r="F224" s="3" t="s">
        <v>489</v>
      </c>
    </row>
    <row r="225" spans="1:6" x14ac:dyDescent="0.25">
      <c r="A225" s="3" t="s">
        <v>250</v>
      </c>
      <c r="B225" s="3" t="s">
        <v>238</v>
      </c>
      <c r="C225" s="3" t="s">
        <v>484</v>
      </c>
      <c r="D225" s="3" t="s">
        <v>235</v>
      </c>
      <c r="E225" s="3" t="s">
        <v>251</v>
      </c>
      <c r="F225" s="3" t="s">
        <v>490</v>
      </c>
    </row>
    <row r="226" spans="1:6" x14ac:dyDescent="0.25">
      <c r="A226" s="3" t="s">
        <v>253</v>
      </c>
      <c r="B226" s="3" t="s">
        <v>238</v>
      </c>
      <c r="C226" s="3" t="s">
        <v>484</v>
      </c>
      <c r="D226" s="3" t="s">
        <v>235</v>
      </c>
      <c r="E226" s="3" t="s">
        <v>254</v>
      </c>
      <c r="F226" s="3" t="s">
        <v>491</v>
      </c>
    </row>
    <row r="227" spans="1:6" x14ac:dyDescent="0.25">
      <c r="A227" s="3" t="s">
        <v>256</v>
      </c>
      <c r="B227" s="3" t="s">
        <v>234</v>
      </c>
      <c r="C227" s="3" t="s">
        <v>484</v>
      </c>
      <c r="D227" s="3" t="s">
        <v>257</v>
      </c>
      <c r="E227" s="3"/>
      <c r="F227" s="3" t="s">
        <v>492</v>
      </c>
    </row>
    <row r="228" spans="1:6" x14ac:dyDescent="0.25">
      <c r="A228" s="3" t="s">
        <v>237</v>
      </c>
      <c r="B228" s="3" t="s">
        <v>238</v>
      </c>
      <c r="C228" s="3" t="s">
        <v>484</v>
      </c>
      <c r="D228" s="3" t="s">
        <v>257</v>
      </c>
      <c r="E228" s="3" t="s">
        <v>239</v>
      </c>
      <c r="F228" s="3" t="s">
        <v>493</v>
      </c>
    </row>
    <row r="229" spans="1:6" x14ac:dyDescent="0.25">
      <c r="A229" s="3" t="s">
        <v>241</v>
      </c>
      <c r="B229" s="3" t="s">
        <v>238</v>
      </c>
      <c r="C229" s="3" t="s">
        <v>484</v>
      </c>
      <c r="D229" s="3" t="s">
        <v>257</v>
      </c>
      <c r="E229" s="3" t="s">
        <v>242</v>
      </c>
      <c r="F229" s="3" t="s">
        <v>494</v>
      </c>
    </row>
    <row r="230" spans="1:6" x14ac:dyDescent="0.25">
      <c r="A230" s="3" t="s">
        <v>244</v>
      </c>
      <c r="B230" s="3" t="s">
        <v>238</v>
      </c>
      <c r="C230" s="3" t="s">
        <v>484</v>
      </c>
      <c r="D230" s="3" t="s">
        <v>257</v>
      </c>
      <c r="E230" s="3" t="s">
        <v>245</v>
      </c>
      <c r="F230" s="3" t="s">
        <v>495</v>
      </c>
    </row>
    <row r="231" spans="1:6" x14ac:dyDescent="0.25">
      <c r="A231" s="3" t="s">
        <v>247</v>
      </c>
      <c r="B231" s="3" t="s">
        <v>238</v>
      </c>
      <c r="C231" s="3" t="s">
        <v>484</v>
      </c>
      <c r="D231" s="3" t="s">
        <v>257</v>
      </c>
      <c r="E231" s="3" t="s">
        <v>248</v>
      </c>
      <c r="F231" s="3" t="s">
        <v>496</v>
      </c>
    </row>
    <row r="232" spans="1:6" x14ac:dyDescent="0.25">
      <c r="A232" s="3" t="s">
        <v>250</v>
      </c>
      <c r="B232" s="3" t="s">
        <v>238</v>
      </c>
      <c r="C232" s="3" t="s">
        <v>484</v>
      </c>
      <c r="D232" s="3" t="s">
        <v>257</v>
      </c>
      <c r="E232" s="3" t="s">
        <v>251</v>
      </c>
      <c r="F232" s="3" t="s">
        <v>497</v>
      </c>
    </row>
    <row r="233" spans="1:6" x14ac:dyDescent="0.25">
      <c r="A233" s="3" t="s">
        <v>253</v>
      </c>
      <c r="B233" s="3" t="s">
        <v>238</v>
      </c>
      <c r="C233" s="3" t="s">
        <v>484</v>
      </c>
      <c r="D233" s="3" t="s">
        <v>257</v>
      </c>
      <c r="E233" s="3" t="s">
        <v>254</v>
      </c>
      <c r="F233" s="3" t="s">
        <v>498</v>
      </c>
    </row>
    <row r="234" spans="1:6" x14ac:dyDescent="0.25">
      <c r="A234" s="3" t="s">
        <v>39</v>
      </c>
      <c r="B234" s="3" t="s">
        <v>234</v>
      </c>
      <c r="C234" s="3" t="s">
        <v>484</v>
      </c>
      <c r="D234" s="3" t="s">
        <v>265</v>
      </c>
      <c r="E234" s="3"/>
      <c r="F234" s="3" t="s">
        <v>499</v>
      </c>
    </row>
    <row r="235" spans="1:6" x14ac:dyDescent="0.25">
      <c r="A235" s="3" t="s">
        <v>237</v>
      </c>
      <c r="B235" s="3" t="s">
        <v>238</v>
      </c>
      <c r="C235" s="3" t="s">
        <v>484</v>
      </c>
      <c r="D235" s="3" t="s">
        <v>265</v>
      </c>
      <c r="E235" s="3" t="s">
        <v>239</v>
      </c>
      <c r="F235" s="3" t="s">
        <v>500</v>
      </c>
    </row>
    <row r="236" spans="1:6" x14ac:dyDescent="0.25">
      <c r="A236" s="3" t="s">
        <v>241</v>
      </c>
      <c r="B236" s="3" t="s">
        <v>238</v>
      </c>
      <c r="C236" s="3" t="s">
        <v>484</v>
      </c>
      <c r="D236" s="3" t="s">
        <v>265</v>
      </c>
      <c r="E236" s="3" t="s">
        <v>242</v>
      </c>
      <c r="F236" s="3" t="s">
        <v>501</v>
      </c>
    </row>
    <row r="237" spans="1:6" x14ac:dyDescent="0.25">
      <c r="A237" s="3" t="s">
        <v>244</v>
      </c>
      <c r="B237" s="3" t="s">
        <v>238</v>
      </c>
      <c r="C237" s="3" t="s">
        <v>484</v>
      </c>
      <c r="D237" s="3" t="s">
        <v>265</v>
      </c>
      <c r="E237" s="3" t="s">
        <v>245</v>
      </c>
      <c r="F237" s="3" t="s">
        <v>502</v>
      </c>
    </row>
    <row r="238" spans="1:6" x14ac:dyDescent="0.25">
      <c r="A238" s="3" t="s">
        <v>247</v>
      </c>
      <c r="B238" s="3" t="s">
        <v>238</v>
      </c>
      <c r="C238" s="3" t="s">
        <v>484</v>
      </c>
      <c r="D238" s="3" t="s">
        <v>265</v>
      </c>
      <c r="E238" s="3" t="s">
        <v>248</v>
      </c>
      <c r="F238" s="3" t="s">
        <v>503</v>
      </c>
    </row>
    <row r="239" spans="1:6" x14ac:dyDescent="0.25">
      <c r="A239" s="3" t="s">
        <v>250</v>
      </c>
      <c r="B239" s="3" t="s">
        <v>238</v>
      </c>
      <c r="C239" s="3" t="s">
        <v>484</v>
      </c>
      <c r="D239" s="3" t="s">
        <v>265</v>
      </c>
      <c r="E239" s="3" t="s">
        <v>251</v>
      </c>
      <c r="F239" s="3" t="s">
        <v>504</v>
      </c>
    </row>
    <row r="240" spans="1:6" x14ac:dyDescent="0.25">
      <c r="A240" s="3" t="s">
        <v>253</v>
      </c>
      <c r="B240" s="3" t="s">
        <v>238</v>
      </c>
      <c r="C240" s="3" t="s">
        <v>484</v>
      </c>
      <c r="D240" s="3" t="s">
        <v>265</v>
      </c>
      <c r="E240" s="3" t="s">
        <v>254</v>
      </c>
      <c r="F240" s="3" t="s">
        <v>505</v>
      </c>
    </row>
    <row r="241" spans="1:6" x14ac:dyDescent="0.25">
      <c r="A241" s="3" t="s">
        <v>273</v>
      </c>
      <c r="B241" s="3" t="s">
        <v>234</v>
      </c>
      <c r="C241" s="3" t="s">
        <v>484</v>
      </c>
      <c r="D241" s="3" t="s">
        <v>274</v>
      </c>
      <c r="E241" s="3"/>
      <c r="F241" s="3" t="s">
        <v>506</v>
      </c>
    </row>
    <row r="242" spans="1:6" x14ac:dyDescent="0.25">
      <c r="A242" s="3" t="s">
        <v>237</v>
      </c>
      <c r="B242" s="3" t="s">
        <v>238</v>
      </c>
      <c r="C242" s="3" t="s">
        <v>484</v>
      </c>
      <c r="D242" s="3" t="s">
        <v>274</v>
      </c>
      <c r="E242" s="3" t="s">
        <v>239</v>
      </c>
      <c r="F242" s="3" t="s">
        <v>507</v>
      </c>
    </row>
    <row r="243" spans="1:6" x14ac:dyDescent="0.25">
      <c r="A243" s="3" t="s">
        <v>244</v>
      </c>
      <c r="B243" s="3" t="s">
        <v>238</v>
      </c>
      <c r="C243" s="3" t="s">
        <v>484</v>
      </c>
      <c r="D243" s="3" t="s">
        <v>274</v>
      </c>
      <c r="E243" s="3" t="s">
        <v>245</v>
      </c>
      <c r="F243" s="3" t="s">
        <v>508</v>
      </c>
    </row>
    <row r="244" spans="1:6" x14ac:dyDescent="0.25">
      <c r="A244" s="3" t="s">
        <v>247</v>
      </c>
      <c r="B244" s="3" t="s">
        <v>238</v>
      </c>
      <c r="C244" s="3" t="s">
        <v>484</v>
      </c>
      <c r="D244" s="3" t="s">
        <v>274</v>
      </c>
      <c r="E244" s="3" t="s">
        <v>248</v>
      </c>
      <c r="F244" s="3" t="s">
        <v>509</v>
      </c>
    </row>
    <row r="245" spans="1:6" x14ac:dyDescent="0.25">
      <c r="A245" s="3" t="s">
        <v>250</v>
      </c>
      <c r="B245" s="3" t="s">
        <v>238</v>
      </c>
      <c r="C245" s="3" t="s">
        <v>484</v>
      </c>
      <c r="D245" s="3" t="s">
        <v>274</v>
      </c>
      <c r="E245" s="3" t="s">
        <v>242</v>
      </c>
      <c r="F245" s="3" t="s">
        <v>510</v>
      </c>
    </row>
    <row r="246" spans="1:6" x14ac:dyDescent="0.25">
      <c r="A246" s="3" t="s">
        <v>253</v>
      </c>
      <c r="B246" s="3" t="s">
        <v>238</v>
      </c>
      <c r="C246" s="3" t="s">
        <v>484</v>
      </c>
      <c r="D246" s="3" t="s">
        <v>274</v>
      </c>
      <c r="E246" s="3" t="s">
        <v>254</v>
      </c>
      <c r="F246" s="3" t="s">
        <v>511</v>
      </c>
    </row>
    <row r="247" spans="1:6" x14ac:dyDescent="0.25">
      <c r="A247" s="3" t="s">
        <v>512</v>
      </c>
      <c r="B247" s="3" t="s">
        <v>232</v>
      </c>
      <c r="C247" s="3" t="s">
        <v>513</v>
      </c>
      <c r="D247" s="3"/>
      <c r="E247" s="3"/>
      <c r="F247" s="3" t="s">
        <v>512</v>
      </c>
    </row>
    <row r="248" spans="1:6" x14ac:dyDescent="0.25">
      <c r="A248" s="3" t="s">
        <v>57</v>
      </c>
      <c r="B248" s="3" t="s">
        <v>234</v>
      </c>
      <c r="C248" s="3" t="s">
        <v>513</v>
      </c>
      <c r="D248" s="3" t="s">
        <v>235</v>
      </c>
      <c r="E248" s="3"/>
      <c r="F248" s="3" t="s">
        <v>514</v>
      </c>
    </row>
    <row r="249" spans="1:6" x14ac:dyDescent="0.25">
      <c r="A249" s="3" t="s">
        <v>237</v>
      </c>
      <c r="B249" s="3" t="s">
        <v>238</v>
      </c>
      <c r="C249" s="3" t="s">
        <v>513</v>
      </c>
      <c r="D249" s="3" t="s">
        <v>235</v>
      </c>
      <c r="E249" s="3" t="s">
        <v>239</v>
      </c>
      <c r="F249" s="3" t="s">
        <v>515</v>
      </c>
    </row>
    <row r="250" spans="1:6" x14ac:dyDescent="0.25">
      <c r="A250" s="3" t="s">
        <v>241</v>
      </c>
      <c r="B250" s="3" t="s">
        <v>238</v>
      </c>
      <c r="C250" s="3" t="s">
        <v>513</v>
      </c>
      <c r="D250" s="3" t="s">
        <v>235</v>
      </c>
      <c r="E250" s="3" t="s">
        <v>242</v>
      </c>
      <c r="F250" s="3" t="s">
        <v>516</v>
      </c>
    </row>
    <row r="251" spans="1:6" x14ac:dyDescent="0.25">
      <c r="A251" s="3" t="s">
        <v>244</v>
      </c>
      <c r="B251" s="3" t="s">
        <v>238</v>
      </c>
      <c r="C251" s="3" t="s">
        <v>513</v>
      </c>
      <c r="D251" s="3" t="s">
        <v>235</v>
      </c>
      <c r="E251" s="3" t="s">
        <v>245</v>
      </c>
      <c r="F251" s="3" t="s">
        <v>517</v>
      </c>
    </row>
    <row r="252" spans="1:6" x14ac:dyDescent="0.25">
      <c r="A252" s="3" t="s">
        <v>247</v>
      </c>
      <c r="B252" s="3" t="s">
        <v>238</v>
      </c>
      <c r="C252" s="3" t="s">
        <v>513</v>
      </c>
      <c r="D252" s="3" t="s">
        <v>235</v>
      </c>
      <c r="E252" s="3" t="s">
        <v>248</v>
      </c>
      <c r="F252" s="3" t="s">
        <v>518</v>
      </c>
    </row>
    <row r="253" spans="1:6" x14ac:dyDescent="0.25">
      <c r="A253" s="3" t="s">
        <v>250</v>
      </c>
      <c r="B253" s="3" t="s">
        <v>238</v>
      </c>
      <c r="C253" s="3" t="s">
        <v>513</v>
      </c>
      <c r="D253" s="3" t="s">
        <v>235</v>
      </c>
      <c r="E253" s="3" t="s">
        <v>251</v>
      </c>
      <c r="F253" s="3" t="s">
        <v>519</v>
      </c>
    </row>
    <row r="254" spans="1:6" x14ac:dyDescent="0.25">
      <c r="A254" s="3" t="s">
        <v>253</v>
      </c>
      <c r="B254" s="3" t="s">
        <v>238</v>
      </c>
      <c r="C254" s="3" t="s">
        <v>513</v>
      </c>
      <c r="D254" s="3" t="s">
        <v>235</v>
      </c>
      <c r="E254" s="3" t="s">
        <v>254</v>
      </c>
      <c r="F254" s="3" t="s">
        <v>520</v>
      </c>
    </row>
    <row r="255" spans="1:6" x14ac:dyDescent="0.25">
      <c r="A255" s="3" t="s">
        <v>256</v>
      </c>
      <c r="B255" s="3" t="s">
        <v>234</v>
      </c>
      <c r="C255" s="3" t="s">
        <v>513</v>
      </c>
      <c r="D255" s="3" t="s">
        <v>257</v>
      </c>
      <c r="E255" s="3"/>
      <c r="F255" s="3" t="s">
        <v>521</v>
      </c>
    </row>
    <row r="256" spans="1:6" x14ac:dyDescent="0.25">
      <c r="A256" s="3" t="s">
        <v>237</v>
      </c>
      <c r="B256" s="3" t="s">
        <v>238</v>
      </c>
      <c r="C256" s="3" t="s">
        <v>513</v>
      </c>
      <c r="D256" s="3" t="s">
        <v>257</v>
      </c>
      <c r="E256" s="3" t="s">
        <v>239</v>
      </c>
      <c r="F256" s="3" t="s">
        <v>522</v>
      </c>
    </row>
    <row r="257" spans="1:6" x14ac:dyDescent="0.25">
      <c r="A257" s="3" t="s">
        <v>241</v>
      </c>
      <c r="B257" s="3" t="s">
        <v>238</v>
      </c>
      <c r="C257" s="3" t="s">
        <v>513</v>
      </c>
      <c r="D257" s="3" t="s">
        <v>257</v>
      </c>
      <c r="E257" s="3" t="s">
        <v>242</v>
      </c>
      <c r="F257" s="3" t="s">
        <v>523</v>
      </c>
    </row>
    <row r="258" spans="1:6" x14ac:dyDescent="0.25">
      <c r="A258" s="3" t="s">
        <v>244</v>
      </c>
      <c r="B258" s="3" t="s">
        <v>238</v>
      </c>
      <c r="C258" s="3" t="s">
        <v>513</v>
      </c>
      <c r="D258" s="3" t="s">
        <v>257</v>
      </c>
      <c r="E258" s="3" t="s">
        <v>245</v>
      </c>
      <c r="F258" s="3" t="s">
        <v>524</v>
      </c>
    </row>
    <row r="259" spans="1:6" x14ac:dyDescent="0.25">
      <c r="A259" s="3" t="s">
        <v>247</v>
      </c>
      <c r="B259" s="3" t="s">
        <v>238</v>
      </c>
      <c r="C259" s="3" t="s">
        <v>513</v>
      </c>
      <c r="D259" s="3" t="s">
        <v>257</v>
      </c>
      <c r="E259" s="3" t="s">
        <v>248</v>
      </c>
      <c r="F259" s="3" t="s">
        <v>525</v>
      </c>
    </row>
    <row r="260" spans="1:6" x14ac:dyDescent="0.25">
      <c r="A260" s="3" t="s">
        <v>250</v>
      </c>
      <c r="B260" s="3" t="s">
        <v>238</v>
      </c>
      <c r="C260" s="3" t="s">
        <v>513</v>
      </c>
      <c r="D260" s="3" t="s">
        <v>257</v>
      </c>
      <c r="E260" s="3" t="s">
        <v>251</v>
      </c>
      <c r="F260" s="3" t="s">
        <v>526</v>
      </c>
    </row>
    <row r="261" spans="1:6" x14ac:dyDescent="0.25">
      <c r="A261" s="3" t="s">
        <v>253</v>
      </c>
      <c r="B261" s="3" t="s">
        <v>238</v>
      </c>
      <c r="C261" s="3" t="s">
        <v>513</v>
      </c>
      <c r="D261" s="3" t="s">
        <v>257</v>
      </c>
      <c r="E261" s="3" t="s">
        <v>254</v>
      </c>
      <c r="F261" s="3" t="s">
        <v>527</v>
      </c>
    </row>
    <row r="262" spans="1:6" x14ac:dyDescent="0.25">
      <c r="A262" s="3" t="s">
        <v>39</v>
      </c>
      <c r="B262" s="3" t="s">
        <v>234</v>
      </c>
      <c r="C262" s="3" t="s">
        <v>513</v>
      </c>
      <c r="D262" s="3" t="s">
        <v>265</v>
      </c>
      <c r="E262" s="3"/>
      <c r="F262" s="3" t="s">
        <v>528</v>
      </c>
    </row>
    <row r="263" spans="1:6" x14ac:dyDescent="0.25">
      <c r="A263" s="3" t="s">
        <v>237</v>
      </c>
      <c r="B263" s="3" t="s">
        <v>238</v>
      </c>
      <c r="C263" s="3" t="s">
        <v>513</v>
      </c>
      <c r="D263" s="3" t="s">
        <v>265</v>
      </c>
      <c r="E263" s="3" t="s">
        <v>239</v>
      </c>
      <c r="F263" s="3" t="s">
        <v>529</v>
      </c>
    </row>
    <row r="264" spans="1:6" x14ac:dyDescent="0.25">
      <c r="A264" s="3" t="s">
        <v>241</v>
      </c>
      <c r="B264" s="3" t="s">
        <v>238</v>
      </c>
      <c r="C264" s="3" t="s">
        <v>513</v>
      </c>
      <c r="D264" s="3" t="s">
        <v>265</v>
      </c>
      <c r="E264" s="3" t="s">
        <v>242</v>
      </c>
      <c r="F264" s="3" t="s">
        <v>530</v>
      </c>
    </row>
    <row r="265" spans="1:6" x14ac:dyDescent="0.25">
      <c r="A265" s="3" t="s">
        <v>244</v>
      </c>
      <c r="B265" s="3" t="s">
        <v>238</v>
      </c>
      <c r="C265" s="3" t="s">
        <v>513</v>
      </c>
      <c r="D265" s="3" t="s">
        <v>265</v>
      </c>
      <c r="E265" s="3" t="s">
        <v>245</v>
      </c>
      <c r="F265" s="3" t="s">
        <v>531</v>
      </c>
    </row>
    <row r="266" spans="1:6" x14ac:dyDescent="0.25">
      <c r="A266" s="3" t="s">
        <v>247</v>
      </c>
      <c r="B266" s="3" t="s">
        <v>238</v>
      </c>
      <c r="C266" s="3" t="s">
        <v>513</v>
      </c>
      <c r="D266" s="3" t="s">
        <v>265</v>
      </c>
      <c r="E266" s="3" t="s">
        <v>248</v>
      </c>
      <c r="F266" s="3" t="s">
        <v>532</v>
      </c>
    </row>
    <row r="267" spans="1:6" x14ac:dyDescent="0.25">
      <c r="A267" s="3" t="s">
        <v>250</v>
      </c>
      <c r="B267" s="3" t="s">
        <v>238</v>
      </c>
      <c r="C267" s="3" t="s">
        <v>513</v>
      </c>
      <c r="D267" s="3" t="s">
        <v>265</v>
      </c>
      <c r="E267" s="3" t="s">
        <v>251</v>
      </c>
      <c r="F267" s="3" t="s">
        <v>533</v>
      </c>
    </row>
    <row r="268" spans="1:6" x14ac:dyDescent="0.25">
      <c r="A268" s="3" t="s">
        <v>253</v>
      </c>
      <c r="B268" s="3" t="s">
        <v>238</v>
      </c>
      <c r="C268" s="3" t="s">
        <v>513</v>
      </c>
      <c r="D268" s="3" t="s">
        <v>265</v>
      </c>
      <c r="E268" s="3" t="s">
        <v>254</v>
      </c>
      <c r="F268" s="3" t="s">
        <v>534</v>
      </c>
    </row>
    <row r="269" spans="1:6" x14ac:dyDescent="0.25">
      <c r="A269" s="3" t="s">
        <v>273</v>
      </c>
      <c r="B269" s="3" t="s">
        <v>234</v>
      </c>
      <c r="C269" s="3" t="s">
        <v>513</v>
      </c>
      <c r="D269" s="3" t="s">
        <v>274</v>
      </c>
      <c r="E269" s="3"/>
      <c r="F269" s="3" t="s">
        <v>535</v>
      </c>
    </row>
    <row r="270" spans="1:6" x14ac:dyDescent="0.25">
      <c r="A270" s="3" t="s">
        <v>237</v>
      </c>
      <c r="B270" s="3" t="s">
        <v>238</v>
      </c>
      <c r="C270" s="3" t="s">
        <v>513</v>
      </c>
      <c r="D270" s="3" t="s">
        <v>274</v>
      </c>
      <c r="E270" s="3" t="s">
        <v>239</v>
      </c>
      <c r="F270" s="3" t="s">
        <v>536</v>
      </c>
    </row>
    <row r="271" spans="1:6" x14ac:dyDescent="0.25">
      <c r="A271" s="3" t="s">
        <v>244</v>
      </c>
      <c r="B271" s="3" t="s">
        <v>238</v>
      </c>
      <c r="C271" s="3" t="s">
        <v>513</v>
      </c>
      <c r="D271" s="3" t="s">
        <v>274</v>
      </c>
      <c r="E271" s="3" t="s">
        <v>245</v>
      </c>
      <c r="F271" s="3" t="s">
        <v>537</v>
      </c>
    </row>
    <row r="272" spans="1:6" x14ac:dyDescent="0.25">
      <c r="A272" s="3" t="s">
        <v>247</v>
      </c>
      <c r="B272" s="3" t="s">
        <v>238</v>
      </c>
      <c r="C272" s="3" t="s">
        <v>513</v>
      </c>
      <c r="D272" s="3" t="s">
        <v>274</v>
      </c>
      <c r="E272" s="3" t="s">
        <v>248</v>
      </c>
      <c r="F272" s="3" t="s">
        <v>538</v>
      </c>
    </row>
    <row r="273" spans="1:6" x14ac:dyDescent="0.25">
      <c r="A273" s="3" t="s">
        <v>250</v>
      </c>
      <c r="B273" s="3" t="s">
        <v>238</v>
      </c>
      <c r="C273" s="3" t="s">
        <v>513</v>
      </c>
      <c r="D273" s="3" t="s">
        <v>274</v>
      </c>
      <c r="E273" s="3" t="s">
        <v>242</v>
      </c>
      <c r="F273" s="3" t="s">
        <v>539</v>
      </c>
    </row>
    <row r="274" spans="1:6" x14ac:dyDescent="0.25">
      <c r="A274" s="3" t="s">
        <v>253</v>
      </c>
      <c r="B274" s="3" t="s">
        <v>238</v>
      </c>
      <c r="C274" s="3" t="s">
        <v>513</v>
      </c>
      <c r="D274" s="3" t="s">
        <v>274</v>
      </c>
      <c r="E274" s="3" t="s">
        <v>254</v>
      </c>
      <c r="F274" s="3" t="s">
        <v>540</v>
      </c>
    </row>
  </sheetData>
  <autoFilter ref="A1:F274" xr:uid="{00000000-0009-0000-0000-000002000000}">
    <sortState xmlns:xlrd2="http://schemas.microsoft.com/office/spreadsheetml/2017/richdata2" ref="A2:F274">
      <sortCondition ref="F1:F274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17.140625" customWidth="1"/>
    <col min="2" max="2" width="23.140625" customWidth="1"/>
    <col min="3" max="3" width="57.42578125" customWidth="1"/>
  </cols>
  <sheetData>
    <row r="1" spans="1:3" ht="18.75" customHeight="1" x14ac:dyDescent="0.3">
      <c r="A1" s="1" t="s">
        <v>541</v>
      </c>
      <c r="B1" s="1" t="s">
        <v>542</v>
      </c>
      <c r="C1" s="1" t="s">
        <v>543</v>
      </c>
    </row>
    <row r="2" spans="1:3" x14ac:dyDescent="0.25">
      <c r="A2" s="6" t="s">
        <v>544</v>
      </c>
      <c r="B2" s="6" t="s">
        <v>545</v>
      </c>
      <c r="C2" s="6" t="s">
        <v>546</v>
      </c>
    </row>
    <row r="3" spans="1:3" x14ac:dyDescent="0.25">
      <c r="A3" s="6" t="s">
        <v>547</v>
      </c>
      <c r="B3" s="6" t="s">
        <v>65</v>
      </c>
      <c r="C3" s="6" t="s">
        <v>548</v>
      </c>
    </row>
    <row r="4" spans="1:3" x14ac:dyDescent="0.25">
      <c r="A4" s="6" t="s">
        <v>549</v>
      </c>
      <c r="B4" s="6" t="s">
        <v>550</v>
      </c>
      <c r="C4" s="6" t="s">
        <v>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A2" sqref="A2:B5"/>
    </sheetView>
  </sheetViews>
  <sheetFormatPr baseColWidth="10" defaultColWidth="9.140625" defaultRowHeight="15" x14ac:dyDescent="0.25"/>
  <cols>
    <col min="1" max="1" width="15.140625" customWidth="1"/>
    <col min="2" max="2" width="42.28515625" customWidth="1"/>
  </cols>
  <sheetData>
    <row r="1" spans="1:2" ht="18.75" customHeight="1" x14ac:dyDescent="0.3">
      <c r="A1" s="5" t="s">
        <v>555</v>
      </c>
      <c r="B1" s="5" t="s">
        <v>556</v>
      </c>
    </row>
    <row r="2" spans="1:2" x14ac:dyDescent="0.25">
      <c r="A2" s="6" t="s">
        <v>557</v>
      </c>
      <c r="B2" s="6" t="s">
        <v>558</v>
      </c>
    </row>
    <row r="3" spans="1:2" x14ac:dyDescent="0.25">
      <c r="A3" s="6" t="s">
        <v>559</v>
      </c>
      <c r="B3" s="6" t="s">
        <v>560</v>
      </c>
    </row>
    <row r="4" spans="1:2" x14ac:dyDescent="0.25">
      <c r="A4" s="6" t="s">
        <v>561</v>
      </c>
      <c r="B4" s="6" t="s">
        <v>562</v>
      </c>
    </row>
    <row r="5" spans="1:2" x14ac:dyDescent="0.25">
      <c r="A5" s="6" t="s">
        <v>563</v>
      </c>
      <c r="B5" s="6" t="s">
        <v>564</v>
      </c>
    </row>
    <row r="6" spans="1:2" x14ac:dyDescent="0.25">
      <c r="A6" s="6" t="s">
        <v>565</v>
      </c>
      <c r="B6" s="6" t="s">
        <v>566</v>
      </c>
    </row>
    <row r="7" spans="1:2" x14ac:dyDescent="0.25">
      <c r="A7" s="6" t="s">
        <v>567</v>
      </c>
      <c r="B7" s="6" t="s">
        <v>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9"/>
  <sheetViews>
    <sheetView topLeftCell="B1" workbookViewId="0">
      <selection activeCell="F18" sqref="F18"/>
    </sheetView>
  </sheetViews>
  <sheetFormatPr baseColWidth="10" defaultColWidth="9.140625" defaultRowHeight="15" x14ac:dyDescent="0.25"/>
  <cols>
    <col min="1" max="1" width="13.140625" customWidth="1"/>
    <col min="2" max="2" width="42.28515625" customWidth="1"/>
    <col min="3" max="3" width="23.140625" customWidth="1"/>
  </cols>
  <sheetData>
    <row r="1" spans="1:3" ht="18.75" customHeight="1" x14ac:dyDescent="0.3">
      <c r="A1" s="5" t="s">
        <v>569</v>
      </c>
      <c r="B1" s="5" t="s">
        <v>570</v>
      </c>
      <c r="C1" s="5" t="s">
        <v>571</v>
      </c>
    </row>
    <row r="2" spans="1:3" x14ac:dyDescent="0.25">
      <c r="A2" s="6" t="s">
        <v>572</v>
      </c>
      <c r="B2" s="6" t="s">
        <v>573</v>
      </c>
      <c r="C2" s="6" t="s">
        <v>574</v>
      </c>
    </row>
    <row r="3" spans="1:3" x14ac:dyDescent="0.25">
      <c r="A3" s="6" t="s">
        <v>575</v>
      </c>
      <c r="B3" s="6" t="s">
        <v>576</v>
      </c>
      <c r="C3" s="6" t="s">
        <v>577</v>
      </c>
    </row>
    <row r="4" spans="1:3" x14ac:dyDescent="0.25">
      <c r="A4" s="6" t="s">
        <v>578</v>
      </c>
      <c r="B4" s="6" t="s">
        <v>579</v>
      </c>
      <c r="C4" s="6" t="s">
        <v>580</v>
      </c>
    </row>
    <row r="5" spans="1:3" x14ac:dyDescent="0.25">
      <c r="A5" s="6" t="s">
        <v>581</v>
      </c>
      <c r="B5" s="6" t="s">
        <v>582</v>
      </c>
      <c r="C5" s="6" t="s">
        <v>583</v>
      </c>
    </row>
    <row r="6" spans="1:3" x14ac:dyDescent="0.25">
      <c r="A6" s="6" t="s">
        <v>584</v>
      </c>
      <c r="B6" s="6" t="s">
        <v>585</v>
      </c>
      <c r="C6" s="6" t="s">
        <v>585</v>
      </c>
    </row>
    <row r="7" spans="1:3" x14ac:dyDescent="0.25">
      <c r="A7" s="6" t="s">
        <v>586</v>
      </c>
      <c r="B7" s="6" t="s">
        <v>587</v>
      </c>
      <c r="C7" s="6" t="s">
        <v>588</v>
      </c>
    </row>
    <row r="8" spans="1:3" x14ac:dyDescent="0.25">
      <c r="A8" s="6" t="s">
        <v>589</v>
      </c>
      <c r="B8" s="6" t="s">
        <v>590</v>
      </c>
      <c r="C8" s="6" t="s">
        <v>591</v>
      </c>
    </row>
    <row r="9" spans="1:3" x14ac:dyDescent="0.25">
      <c r="A9" s="6" t="s">
        <v>592</v>
      </c>
      <c r="B9" s="6" t="s">
        <v>593</v>
      </c>
      <c r="C9" s="6" t="s">
        <v>594</v>
      </c>
    </row>
    <row r="10" spans="1:3" x14ac:dyDescent="0.25">
      <c r="A10" s="6" t="s">
        <v>595</v>
      </c>
      <c r="B10" s="6" t="s">
        <v>596</v>
      </c>
      <c r="C10" s="6" t="s">
        <v>597</v>
      </c>
    </row>
    <row r="11" spans="1:3" x14ac:dyDescent="0.25">
      <c r="A11" s="6" t="s">
        <v>598</v>
      </c>
      <c r="B11" s="6" t="s">
        <v>599</v>
      </c>
      <c r="C11" s="6" t="s">
        <v>600</v>
      </c>
    </row>
    <row r="12" spans="1:3" x14ac:dyDescent="0.25">
      <c r="A12" s="6" t="s">
        <v>601</v>
      </c>
      <c r="B12" s="6" t="s">
        <v>602</v>
      </c>
      <c r="C12" s="6" t="s">
        <v>603</v>
      </c>
    </row>
    <row r="13" spans="1:3" x14ac:dyDescent="0.25">
      <c r="A13" s="6" t="s">
        <v>604</v>
      </c>
      <c r="B13" s="6" t="s">
        <v>605</v>
      </c>
      <c r="C13" s="6" t="s">
        <v>606</v>
      </c>
    </row>
    <row r="14" spans="1:3" x14ac:dyDescent="0.25">
      <c r="A14" s="6" t="s">
        <v>607</v>
      </c>
      <c r="B14" s="6" t="s">
        <v>605</v>
      </c>
      <c r="C14" s="6" t="s">
        <v>608</v>
      </c>
    </row>
    <row r="15" spans="1:3" x14ac:dyDescent="0.25">
      <c r="A15" s="6" t="s">
        <v>609</v>
      </c>
      <c r="B15" s="6" t="s">
        <v>610</v>
      </c>
      <c r="C15" s="6" t="s">
        <v>611</v>
      </c>
    </row>
    <row r="16" spans="1:3" x14ac:dyDescent="0.25">
      <c r="A16" s="6" t="s">
        <v>612</v>
      </c>
      <c r="B16" s="6" t="s">
        <v>613</v>
      </c>
      <c r="C16" s="6" t="s">
        <v>614</v>
      </c>
    </row>
    <row r="17" spans="1:3" x14ac:dyDescent="0.25">
      <c r="A17" s="6" t="s">
        <v>615</v>
      </c>
      <c r="B17" s="6" t="s">
        <v>616</v>
      </c>
      <c r="C17" s="6" t="s">
        <v>617</v>
      </c>
    </row>
    <row r="18" spans="1:3" x14ac:dyDescent="0.25">
      <c r="A18" s="6" t="s">
        <v>618</v>
      </c>
      <c r="B18" s="6" t="s">
        <v>616</v>
      </c>
      <c r="C18" s="6" t="s">
        <v>619</v>
      </c>
    </row>
    <row r="19" spans="1:3" x14ac:dyDescent="0.25">
      <c r="A19" s="6" t="s">
        <v>620</v>
      </c>
      <c r="B19" s="6" t="s">
        <v>621</v>
      </c>
      <c r="C19" s="6" t="s">
        <v>622</v>
      </c>
    </row>
    <row r="20" spans="1:3" x14ac:dyDescent="0.25">
      <c r="A20" s="6" t="s">
        <v>623</v>
      </c>
      <c r="B20" s="6" t="s">
        <v>624</v>
      </c>
      <c r="C20" s="6" t="s">
        <v>91</v>
      </c>
    </row>
    <row r="21" spans="1:3" x14ac:dyDescent="0.25">
      <c r="A21" s="6" t="s">
        <v>625</v>
      </c>
      <c r="B21" s="6" t="s">
        <v>626</v>
      </c>
      <c r="C21" s="6" t="s">
        <v>627</v>
      </c>
    </row>
    <row r="22" spans="1:3" x14ac:dyDescent="0.25">
      <c r="A22" s="6" t="s">
        <v>628</v>
      </c>
      <c r="B22" s="6" t="s">
        <v>629</v>
      </c>
      <c r="C22" s="6" t="s">
        <v>630</v>
      </c>
    </row>
    <row r="23" spans="1:3" x14ac:dyDescent="0.25">
      <c r="A23" s="6" t="s">
        <v>631</v>
      </c>
      <c r="B23" s="6" t="s">
        <v>632</v>
      </c>
      <c r="C23" s="6" t="s">
        <v>633</v>
      </c>
    </row>
    <row r="24" spans="1:3" x14ac:dyDescent="0.25">
      <c r="A24" s="6" t="s">
        <v>634</v>
      </c>
      <c r="B24" s="6" t="s">
        <v>635</v>
      </c>
      <c r="C24" s="6" t="s">
        <v>636</v>
      </c>
    </row>
    <row r="25" spans="1:3" x14ac:dyDescent="0.25">
      <c r="A25" s="6" t="s">
        <v>637</v>
      </c>
      <c r="B25" s="6" t="s">
        <v>638</v>
      </c>
      <c r="C25" s="6" t="s">
        <v>639</v>
      </c>
    </row>
    <row r="26" spans="1:3" x14ac:dyDescent="0.25">
      <c r="A26" s="6" t="s">
        <v>640</v>
      </c>
      <c r="B26" s="6" t="s">
        <v>641</v>
      </c>
      <c r="C26" s="6" t="s">
        <v>642</v>
      </c>
    </row>
    <row r="27" spans="1:3" x14ac:dyDescent="0.25">
      <c r="A27" s="6" t="s">
        <v>643</v>
      </c>
      <c r="B27" s="6" t="s">
        <v>644</v>
      </c>
      <c r="C27" s="6" t="s">
        <v>645</v>
      </c>
    </row>
    <row r="28" spans="1:3" x14ac:dyDescent="0.25">
      <c r="A28" s="6" t="s">
        <v>646</v>
      </c>
      <c r="B28" s="6" t="s">
        <v>647</v>
      </c>
      <c r="C28" s="6" t="s">
        <v>183</v>
      </c>
    </row>
    <row r="29" spans="1:3" x14ac:dyDescent="0.25">
      <c r="A29" s="6" t="s">
        <v>648</v>
      </c>
      <c r="B29" s="6" t="s">
        <v>649</v>
      </c>
      <c r="C29" s="6" t="s">
        <v>74</v>
      </c>
    </row>
    <row r="30" spans="1:3" x14ac:dyDescent="0.25">
      <c r="A30" s="6" t="s">
        <v>650</v>
      </c>
      <c r="B30" s="6" t="s">
        <v>651</v>
      </c>
      <c r="C30" s="6" t="s">
        <v>652</v>
      </c>
    </row>
    <row r="31" spans="1:3" x14ac:dyDescent="0.25">
      <c r="A31" s="6" t="s">
        <v>653</v>
      </c>
      <c r="B31" s="6" t="s">
        <v>654</v>
      </c>
      <c r="C31" s="6" t="s">
        <v>655</v>
      </c>
    </row>
    <row r="32" spans="1:3" x14ac:dyDescent="0.25">
      <c r="A32" s="6" t="s">
        <v>656</v>
      </c>
      <c r="B32" s="6" t="s">
        <v>657</v>
      </c>
      <c r="C32" s="6" t="s">
        <v>658</v>
      </c>
    </row>
    <row r="33" spans="1:3" x14ac:dyDescent="0.25">
      <c r="A33" s="6" t="s">
        <v>659</v>
      </c>
      <c r="B33" s="6" t="s">
        <v>660</v>
      </c>
      <c r="C33" s="6" t="s">
        <v>660</v>
      </c>
    </row>
    <row r="34" spans="1:3" x14ac:dyDescent="0.25">
      <c r="A34" s="6" t="s">
        <v>661</v>
      </c>
      <c r="B34" s="6" t="s">
        <v>662</v>
      </c>
      <c r="C34" s="6" t="s">
        <v>663</v>
      </c>
    </row>
    <row r="35" spans="1:3" x14ac:dyDescent="0.25">
      <c r="A35" s="6" t="s">
        <v>664</v>
      </c>
      <c r="B35" s="6" t="s">
        <v>665</v>
      </c>
      <c r="C35" s="6" t="s">
        <v>666</v>
      </c>
    </row>
    <row r="36" spans="1:3" x14ac:dyDescent="0.25">
      <c r="A36" s="6" t="s">
        <v>667</v>
      </c>
      <c r="B36" s="6" t="s">
        <v>668</v>
      </c>
      <c r="C36" s="6" t="s">
        <v>669</v>
      </c>
    </row>
    <row r="37" spans="1:3" x14ac:dyDescent="0.25">
      <c r="A37" s="6" t="s">
        <v>670</v>
      </c>
      <c r="B37" s="6" t="s">
        <v>671</v>
      </c>
      <c r="C37" s="6" t="s">
        <v>672</v>
      </c>
    </row>
    <row r="38" spans="1:3" x14ac:dyDescent="0.25">
      <c r="A38" s="6" t="s">
        <v>673</v>
      </c>
      <c r="B38" s="6" t="s">
        <v>674</v>
      </c>
      <c r="C38" s="6" t="s">
        <v>675</v>
      </c>
    </row>
    <row r="39" spans="1:3" x14ac:dyDescent="0.25">
      <c r="A39" s="6" t="s">
        <v>676</v>
      </c>
      <c r="B39" s="6" t="s">
        <v>677</v>
      </c>
      <c r="C39" s="6" t="s">
        <v>678</v>
      </c>
    </row>
    <row r="40" spans="1:3" x14ac:dyDescent="0.25">
      <c r="A40" s="6" t="s">
        <v>679</v>
      </c>
      <c r="B40" s="6" t="s">
        <v>680</v>
      </c>
      <c r="C40" s="6" t="s">
        <v>681</v>
      </c>
    </row>
    <row r="41" spans="1:3" x14ac:dyDescent="0.25">
      <c r="A41" s="6" t="s">
        <v>682</v>
      </c>
      <c r="B41" s="6" t="s">
        <v>683</v>
      </c>
      <c r="C41" s="6" t="s">
        <v>684</v>
      </c>
    </row>
    <row r="42" spans="1:3" x14ac:dyDescent="0.25">
      <c r="A42" s="6" t="s">
        <v>685</v>
      </c>
      <c r="B42" s="6" t="s">
        <v>686</v>
      </c>
      <c r="C42" s="6" t="s">
        <v>687</v>
      </c>
    </row>
    <row r="43" spans="1:3" x14ac:dyDescent="0.25">
      <c r="A43" s="6" t="s">
        <v>688</v>
      </c>
      <c r="B43" s="6" t="s">
        <v>689</v>
      </c>
      <c r="C43" s="6" t="s">
        <v>690</v>
      </c>
    </row>
    <row r="44" spans="1:3" x14ac:dyDescent="0.25">
      <c r="A44" s="6" t="s">
        <v>691</v>
      </c>
      <c r="B44" s="6" t="s">
        <v>692</v>
      </c>
      <c r="C44" s="6" t="s">
        <v>693</v>
      </c>
    </row>
    <row r="45" spans="1:3" x14ac:dyDescent="0.25">
      <c r="A45" s="6" t="s">
        <v>694</v>
      </c>
      <c r="B45" s="6" t="s">
        <v>695</v>
      </c>
      <c r="C45" s="6" t="s">
        <v>696</v>
      </c>
    </row>
    <row r="46" spans="1:3" x14ac:dyDescent="0.25">
      <c r="A46" s="6" t="s">
        <v>697</v>
      </c>
      <c r="B46" s="6" t="s">
        <v>698</v>
      </c>
      <c r="C46" s="6" t="s">
        <v>699</v>
      </c>
    </row>
    <row r="47" spans="1:3" x14ac:dyDescent="0.25">
      <c r="A47" s="6" t="s">
        <v>700</v>
      </c>
      <c r="B47" s="6" t="s">
        <v>701</v>
      </c>
      <c r="C47" s="6" t="s">
        <v>702</v>
      </c>
    </row>
    <row r="48" spans="1:3" x14ac:dyDescent="0.25">
      <c r="A48" s="6" t="s">
        <v>703</v>
      </c>
      <c r="B48" s="6" t="s">
        <v>704</v>
      </c>
      <c r="C48" s="6" t="s">
        <v>705</v>
      </c>
    </row>
    <row r="49" spans="1:3" x14ac:dyDescent="0.25">
      <c r="A49" s="6" t="s">
        <v>706</v>
      </c>
      <c r="B49" s="6" t="s">
        <v>707</v>
      </c>
      <c r="C49" s="6" t="s">
        <v>708</v>
      </c>
    </row>
    <row r="50" spans="1:3" x14ac:dyDescent="0.25">
      <c r="A50" s="6" t="s">
        <v>709</v>
      </c>
      <c r="B50" s="6" t="s">
        <v>710</v>
      </c>
      <c r="C50" s="6" t="s">
        <v>711</v>
      </c>
    </row>
    <row r="51" spans="1:3" x14ac:dyDescent="0.25">
      <c r="A51" s="6" t="s">
        <v>712</v>
      </c>
      <c r="B51" s="6" t="s">
        <v>713</v>
      </c>
      <c r="C51" s="6" t="s">
        <v>714</v>
      </c>
    </row>
    <row r="52" spans="1:3" x14ac:dyDescent="0.25">
      <c r="A52" s="6" t="s">
        <v>715</v>
      </c>
      <c r="B52" s="6" t="s">
        <v>716</v>
      </c>
      <c r="C52" s="6" t="s">
        <v>717</v>
      </c>
    </row>
    <row r="53" spans="1:3" x14ac:dyDescent="0.25">
      <c r="A53" s="6" t="s">
        <v>718</v>
      </c>
      <c r="B53" s="6" t="s">
        <v>719</v>
      </c>
      <c r="C53" s="6" t="s">
        <v>720</v>
      </c>
    </row>
    <row r="54" spans="1:3" x14ac:dyDescent="0.25">
      <c r="A54" s="6" t="s">
        <v>721</v>
      </c>
      <c r="B54" s="6" t="s">
        <v>722</v>
      </c>
      <c r="C54" s="6" t="s">
        <v>723</v>
      </c>
    </row>
    <row r="55" spans="1:3" x14ac:dyDescent="0.25">
      <c r="A55" s="6" t="s">
        <v>724</v>
      </c>
      <c r="B55" s="6" t="s">
        <v>725</v>
      </c>
      <c r="C55" s="6" t="s">
        <v>726</v>
      </c>
    </row>
    <row r="56" spans="1:3" x14ac:dyDescent="0.25">
      <c r="A56" s="6" t="s">
        <v>727</v>
      </c>
      <c r="B56" s="6" t="s">
        <v>728</v>
      </c>
      <c r="C56" s="6" t="s">
        <v>729</v>
      </c>
    </row>
    <row r="57" spans="1:3" x14ac:dyDescent="0.25">
      <c r="A57" s="6" t="s">
        <v>730</v>
      </c>
      <c r="B57" s="6" t="s">
        <v>731</v>
      </c>
      <c r="C57" s="6" t="s">
        <v>731</v>
      </c>
    </row>
    <row r="58" spans="1:3" x14ac:dyDescent="0.25">
      <c r="A58" s="6" t="s">
        <v>732</v>
      </c>
      <c r="B58" s="6" t="s">
        <v>733</v>
      </c>
      <c r="C58" s="6" t="s">
        <v>734</v>
      </c>
    </row>
    <row r="59" spans="1:3" x14ac:dyDescent="0.25">
      <c r="A59" s="6" t="s">
        <v>735</v>
      </c>
      <c r="B59" s="6" t="s">
        <v>736</v>
      </c>
      <c r="C59" s="6" t="s">
        <v>737</v>
      </c>
    </row>
    <row r="60" spans="1:3" x14ac:dyDescent="0.25">
      <c r="A60" s="6" t="s">
        <v>738</v>
      </c>
      <c r="B60" s="6" t="s">
        <v>739</v>
      </c>
      <c r="C60" s="6" t="s">
        <v>740</v>
      </c>
    </row>
    <row r="61" spans="1:3" x14ac:dyDescent="0.25">
      <c r="A61" s="6" t="s">
        <v>741</v>
      </c>
      <c r="B61" s="6" t="s">
        <v>742</v>
      </c>
      <c r="C61" s="6" t="s">
        <v>742</v>
      </c>
    </row>
    <row r="62" spans="1:3" x14ac:dyDescent="0.25">
      <c r="A62" s="6" t="s">
        <v>743</v>
      </c>
      <c r="B62" s="6" t="s">
        <v>744</v>
      </c>
      <c r="C62" s="6" t="s">
        <v>745</v>
      </c>
    </row>
    <row r="63" spans="1:3" x14ac:dyDescent="0.25">
      <c r="A63" s="6" t="s">
        <v>746</v>
      </c>
      <c r="B63" s="6" t="s">
        <v>747</v>
      </c>
      <c r="C63" s="6" t="s">
        <v>747</v>
      </c>
    </row>
    <row r="64" spans="1:3" x14ac:dyDescent="0.25">
      <c r="A64" s="6" t="s">
        <v>748</v>
      </c>
      <c r="B64" s="6" t="s">
        <v>749</v>
      </c>
      <c r="C64" s="6" t="s">
        <v>750</v>
      </c>
    </row>
    <row r="65" spans="1:3" x14ac:dyDescent="0.25">
      <c r="A65" s="6" t="s">
        <v>751</v>
      </c>
      <c r="B65" s="6" t="s">
        <v>752</v>
      </c>
      <c r="C65" s="6" t="s">
        <v>753</v>
      </c>
    </row>
    <row r="66" spans="1:3" x14ac:dyDescent="0.25">
      <c r="A66" s="6" t="s">
        <v>754</v>
      </c>
      <c r="B66" s="6" t="s">
        <v>755</v>
      </c>
      <c r="C66" s="6" t="s">
        <v>755</v>
      </c>
    </row>
    <row r="67" spans="1:3" x14ac:dyDescent="0.25">
      <c r="A67" s="6" t="s">
        <v>756</v>
      </c>
      <c r="B67" s="6" t="s">
        <v>757</v>
      </c>
      <c r="C67" s="6" t="s">
        <v>758</v>
      </c>
    </row>
    <row r="68" spans="1:3" x14ac:dyDescent="0.25">
      <c r="A68" s="6" t="s">
        <v>759</v>
      </c>
      <c r="B68" s="6" t="s">
        <v>760</v>
      </c>
      <c r="C68" s="6" t="s">
        <v>761</v>
      </c>
    </row>
    <row r="69" spans="1:3" x14ac:dyDescent="0.25">
      <c r="A69" s="6" t="s">
        <v>762</v>
      </c>
      <c r="B69" s="6" t="s">
        <v>763</v>
      </c>
      <c r="C69" s="6" t="s">
        <v>764</v>
      </c>
    </row>
    <row r="70" spans="1:3" x14ac:dyDescent="0.25">
      <c r="A70" s="6" t="s">
        <v>765</v>
      </c>
      <c r="B70" s="6" t="s">
        <v>766</v>
      </c>
      <c r="C70" s="6" t="s">
        <v>767</v>
      </c>
    </row>
    <row r="71" spans="1:3" x14ac:dyDescent="0.25">
      <c r="A71" s="6" t="s">
        <v>768</v>
      </c>
      <c r="B71" s="6" t="s">
        <v>769</v>
      </c>
      <c r="C71" s="6" t="s">
        <v>770</v>
      </c>
    </row>
    <row r="72" spans="1:3" x14ac:dyDescent="0.25">
      <c r="A72" s="6" t="s">
        <v>771</v>
      </c>
      <c r="B72" s="6" t="s">
        <v>772</v>
      </c>
      <c r="C72" s="6" t="s">
        <v>773</v>
      </c>
    </row>
    <row r="73" spans="1:3" x14ac:dyDescent="0.25">
      <c r="A73" s="6" t="s">
        <v>774</v>
      </c>
      <c r="B73" s="6" t="s">
        <v>775</v>
      </c>
      <c r="C73" s="6" t="s">
        <v>776</v>
      </c>
    </row>
    <row r="74" spans="1:3" x14ac:dyDescent="0.25">
      <c r="A74" s="6" t="s">
        <v>777</v>
      </c>
      <c r="B74" s="6" t="s">
        <v>778</v>
      </c>
      <c r="C74" s="6" t="s">
        <v>779</v>
      </c>
    </row>
    <row r="75" spans="1:3" x14ac:dyDescent="0.25">
      <c r="A75" s="6" t="s">
        <v>780</v>
      </c>
      <c r="B75" s="6" t="s">
        <v>198</v>
      </c>
      <c r="C75" s="6" t="s">
        <v>781</v>
      </c>
    </row>
    <row r="76" spans="1:3" x14ac:dyDescent="0.25">
      <c r="A76" s="2"/>
      <c r="B76" s="4"/>
      <c r="C76" s="4"/>
    </row>
    <row r="77" spans="1:3" x14ac:dyDescent="0.25">
      <c r="A77" s="2"/>
      <c r="B77" s="4"/>
      <c r="C77" s="7"/>
    </row>
    <row r="78" spans="1:3" x14ac:dyDescent="0.25">
      <c r="A78" s="2"/>
      <c r="B78" s="4"/>
      <c r="C78" s="7"/>
    </row>
    <row r="79" spans="1:3" x14ac:dyDescent="0.25">
      <c r="A79" s="2"/>
      <c r="B79" s="4"/>
      <c r="C79" s="7"/>
    </row>
    <row r="80" spans="1:3" x14ac:dyDescent="0.25">
      <c r="A80" s="2"/>
      <c r="B80" s="4"/>
      <c r="C80" s="4"/>
    </row>
    <row r="81" spans="1:3" x14ac:dyDescent="0.25">
      <c r="A81" s="2"/>
      <c r="B81" s="4"/>
      <c r="C81" s="7"/>
    </row>
    <row r="82" spans="1:3" x14ac:dyDescent="0.25">
      <c r="A82" s="2"/>
      <c r="B82" s="4"/>
      <c r="C82" s="7"/>
    </row>
    <row r="83" spans="1:3" x14ac:dyDescent="0.25">
      <c r="A83" s="2"/>
      <c r="B83" s="2"/>
      <c r="C83" s="2"/>
    </row>
    <row r="84" spans="1:3" x14ac:dyDescent="0.25">
      <c r="A84" s="2"/>
      <c r="B84" s="4"/>
      <c r="C84" s="4"/>
    </row>
    <row r="85" spans="1:3" x14ac:dyDescent="0.25">
      <c r="A85" s="2"/>
      <c r="B85" s="4"/>
      <c r="C85" s="7"/>
    </row>
    <row r="86" spans="1:3" x14ac:dyDescent="0.25">
      <c r="A86" s="2"/>
      <c r="B86" s="4"/>
      <c r="C86" s="7"/>
    </row>
    <row r="87" spans="1:3" x14ac:dyDescent="0.25">
      <c r="A87" s="2"/>
      <c r="B87" s="2"/>
      <c r="C87" s="2"/>
    </row>
    <row r="88" spans="1:3" x14ac:dyDescent="0.25">
      <c r="A88" s="2"/>
      <c r="B88" s="4"/>
      <c r="C88" s="7"/>
    </row>
    <row r="89" spans="1:3" x14ac:dyDescent="0.25">
      <c r="A89" s="2"/>
      <c r="B89" s="4"/>
      <c r="C89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2"/>
  <sheetViews>
    <sheetView workbookViewId="0">
      <selection activeCell="C23" sqref="C23"/>
    </sheetView>
  </sheetViews>
  <sheetFormatPr baseColWidth="10" defaultColWidth="9.140625" defaultRowHeight="15" x14ac:dyDescent="0.25"/>
  <cols>
    <col min="1" max="1" width="10.5703125" customWidth="1"/>
    <col min="2" max="2" width="22.28515625" customWidth="1"/>
  </cols>
  <sheetData>
    <row r="1" spans="1:2" ht="18.75" customHeight="1" x14ac:dyDescent="0.3">
      <c r="A1" s="8" t="s">
        <v>782</v>
      </c>
      <c r="B1" s="9" t="s">
        <v>783</v>
      </c>
    </row>
    <row r="2" spans="1:2" x14ac:dyDescent="0.25">
      <c r="A2" s="10" t="s">
        <v>784</v>
      </c>
      <c r="B2" s="6" t="s">
        <v>150</v>
      </c>
    </row>
    <row r="3" spans="1:2" x14ac:dyDescent="0.25">
      <c r="A3" s="11" t="s">
        <v>785</v>
      </c>
      <c r="B3" s="6" t="s">
        <v>665</v>
      </c>
    </row>
    <row r="4" spans="1:2" x14ac:dyDescent="0.25">
      <c r="A4" s="11" t="s">
        <v>786</v>
      </c>
      <c r="B4" s="6" t="s">
        <v>787</v>
      </c>
    </row>
    <row r="5" spans="1:2" x14ac:dyDescent="0.25">
      <c r="A5" s="11" t="s">
        <v>788</v>
      </c>
      <c r="B5" s="12" t="s">
        <v>55</v>
      </c>
    </row>
    <row r="6" spans="1:2" x14ac:dyDescent="0.25">
      <c r="A6" s="11" t="s">
        <v>789</v>
      </c>
      <c r="B6" s="6" t="s">
        <v>790</v>
      </c>
    </row>
    <row r="7" spans="1:2" x14ac:dyDescent="0.25">
      <c r="A7" s="11" t="s">
        <v>791</v>
      </c>
      <c r="B7" s="6" t="s">
        <v>74</v>
      </c>
    </row>
    <row r="8" spans="1:2" x14ac:dyDescent="0.25">
      <c r="A8" s="11" t="s">
        <v>792</v>
      </c>
      <c r="B8" s="6" t="s">
        <v>160</v>
      </c>
    </row>
    <row r="9" spans="1:2" x14ac:dyDescent="0.25">
      <c r="A9" s="11" t="s">
        <v>793</v>
      </c>
      <c r="B9" s="6" t="s">
        <v>794</v>
      </c>
    </row>
    <row r="10" spans="1:2" x14ac:dyDescent="0.25">
      <c r="A10" s="11" t="s">
        <v>795</v>
      </c>
      <c r="B10" s="6" t="s">
        <v>91</v>
      </c>
    </row>
    <row r="11" spans="1:2" x14ac:dyDescent="0.25">
      <c r="A11" s="11" t="s">
        <v>796</v>
      </c>
      <c r="B11" s="6" t="s">
        <v>109</v>
      </c>
    </row>
    <row r="12" spans="1:2" x14ac:dyDescent="0.25">
      <c r="A12" s="11" t="s">
        <v>797</v>
      </c>
      <c r="B12" s="6" t="s">
        <v>171</v>
      </c>
    </row>
    <row r="13" spans="1:2" x14ac:dyDescent="0.25">
      <c r="A13" s="11" t="s">
        <v>798</v>
      </c>
      <c r="B13" s="6" t="s">
        <v>182</v>
      </c>
    </row>
    <row r="14" spans="1:2" x14ac:dyDescent="0.25">
      <c r="A14" s="11" t="s">
        <v>799</v>
      </c>
      <c r="B14" s="6" t="s">
        <v>800</v>
      </c>
    </row>
    <row r="15" spans="1:2" x14ac:dyDescent="0.25">
      <c r="A15" s="11" t="s">
        <v>801</v>
      </c>
      <c r="B15" s="6" t="s">
        <v>802</v>
      </c>
    </row>
    <row r="16" spans="1:2" x14ac:dyDescent="0.25">
      <c r="A16" s="11" t="s">
        <v>803</v>
      </c>
      <c r="B16" s="6" t="s">
        <v>804</v>
      </c>
    </row>
    <row r="17" spans="1:2" x14ac:dyDescent="0.25">
      <c r="A17" s="11" t="s">
        <v>805</v>
      </c>
      <c r="B17" s="6" t="s">
        <v>189</v>
      </c>
    </row>
    <row r="18" spans="1:2" x14ac:dyDescent="0.25">
      <c r="A18" s="11" t="s">
        <v>806</v>
      </c>
      <c r="B18" s="6" t="s">
        <v>807</v>
      </c>
    </row>
    <row r="19" spans="1:2" x14ac:dyDescent="0.25">
      <c r="A19" s="11" t="s">
        <v>808</v>
      </c>
      <c r="B19" s="6" t="s">
        <v>809</v>
      </c>
    </row>
    <row r="20" spans="1:2" x14ac:dyDescent="0.25">
      <c r="A20" s="11" t="s">
        <v>810</v>
      </c>
      <c r="B20" s="6" t="s">
        <v>194</v>
      </c>
    </row>
    <row r="21" spans="1:2" x14ac:dyDescent="0.25">
      <c r="A21" s="11" t="s">
        <v>811</v>
      </c>
      <c r="B21" s="6" t="s">
        <v>137</v>
      </c>
    </row>
    <row r="22" spans="1:2" x14ac:dyDescent="0.25">
      <c r="A22" s="11" t="s">
        <v>812</v>
      </c>
      <c r="B22" s="6" t="s">
        <v>198</v>
      </c>
    </row>
    <row r="23" spans="1:2" x14ac:dyDescent="0.25">
      <c r="A23" s="13" t="s">
        <v>813</v>
      </c>
      <c r="B23" s="14" t="s">
        <v>123</v>
      </c>
    </row>
    <row r="24" spans="1:2" x14ac:dyDescent="0.25">
      <c r="A24" s="15"/>
      <c r="B24" s="2"/>
    </row>
    <row r="25" spans="1:2" x14ac:dyDescent="0.25">
      <c r="A25" s="15"/>
      <c r="B25" s="7"/>
    </row>
    <row r="26" spans="1:2" x14ac:dyDescent="0.25">
      <c r="A26" s="15"/>
      <c r="B26" s="7"/>
    </row>
    <row r="27" spans="1:2" x14ac:dyDescent="0.25">
      <c r="A27" s="15"/>
      <c r="B27" s="7"/>
    </row>
    <row r="28" spans="1:2" x14ac:dyDescent="0.25">
      <c r="A28" s="15"/>
      <c r="B28" s="7"/>
    </row>
    <row r="29" spans="1:2" x14ac:dyDescent="0.25">
      <c r="A29" s="15"/>
      <c r="B29" s="7"/>
    </row>
    <row r="30" spans="1:2" x14ac:dyDescent="0.25">
      <c r="A30" s="15"/>
      <c r="B30" s="2"/>
    </row>
    <row r="31" spans="1:2" x14ac:dyDescent="0.25">
      <c r="A31" s="15"/>
      <c r="B31" s="2"/>
    </row>
    <row r="32" spans="1:2" x14ac:dyDescent="0.25">
      <c r="A32" s="15"/>
      <c r="B32" s="2"/>
    </row>
    <row r="33" spans="1:2" x14ac:dyDescent="0.25">
      <c r="A33" s="15"/>
      <c r="B33" s="2"/>
    </row>
    <row r="34" spans="1:2" x14ac:dyDescent="0.25">
      <c r="A34" s="15"/>
      <c r="B34" s="2"/>
    </row>
    <row r="35" spans="1:2" x14ac:dyDescent="0.25">
      <c r="A35" s="15"/>
      <c r="B35" s="2"/>
    </row>
    <row r="36" spans="1:2" x14ac:dyDescent="0.25">
      <c r="A36" s="15"/>
      <c r="B36" s="2"/>
    </row>
    <row r="37" spans="1:2" x14ac:dyDescent="0.25">
      <c r="A37" s="15"/>
      <c r="B37" s="2"/>
    </row>
    <row r="38" spans="1:2" x14ac:dyDescent="0.25">
      <c r="A38" s="15"/>
      <c r="B38" s="2"/>
    </row>
    <row r="39" spans="1:2" x14ac:dyDescent="0.25">
      <c r="A39" s="15"/>
      <c r="B39" s="2"/>
    </row>
    <row r="40" spans="1:2" x14ac:dyDescent="0.25">
      <c r="A40" s="15"/>
      <c r="B40" s="2"/>
    </row>
    <row r="41" spans="1:2" x14ac:dyDescent="0.25">
      <c r="A41" s="15"/>
      <c r="B41" s="2"/>
    </row>
    <row r="42" spans="1:2" x14ac:dyDescent="0.25">
      <c r="A42" s="15"/>
      <c r="B42" s="2"/>
    </row>
    <row r="43" spans="1:2" x14ac:dyDescent="0.25">
      <c r="A43" s="15"/>
      <c r="B43" s="2"/>
    </row>
    <row r="44" spans="1:2" x14ac:dyDescent="0.25">
      <c r="A44" s="15"/>
      <c r="B44" s="2"/>
    </row>
    <row r="45" spans="1:2" x14ac:dyDescent="0.25">
      <c r="A45" s="15"/>
      <c r="B45" s="2"/>
    </row>
    <row r="46" spans="1:2" x14ac:dyDescent="0.25">
      <c r="A46" s="15"/>
      <c r="B46" s="2"/>
    </row>
    <row r="47" spans="1:2" x14ac:dyDescent="0.25">
      <c r="A47" s="15"/>
      <c r="B47" s="2"/>
    </row>
    <row r="48" spans="1:2" x14ac:dyDescent="0.25">
      <c r="A48" s="15"/>
      <c r="B48" s="2"/>
    </row>
    <row r="49" spans="1:2" x14ac:dyDescent="0.25">
      <c r="A49" s="15"/>
      <c r="B49" s="2"/>
    </row>
    <row r="50" spans="1:2" x14ac:dyDescent="0.25">
      <c r="A50" s="15"/>
      <c r="B50" s="2"/>
    </row>
    <row r="51" spans="1:2" x14ac:dyDescent="0.25">
      <c r="A51" s="15"/>
      <c r="B51" s="2"/>
    </row>
    <row r="52" spans="1:2" x14ac:dyDescent="0.25">
      <c r="A52" s="15"/>
      <c r="B52" s="2"/>
    </row>
    <row r="53" spans="1:2" x14ac:dyDescent="0.25">
      <c r="A53" s="15"/>
      <c r="B53" s="2"/>
    </row>
    <row r="54" spans="1:2" x14ac:dyDescent="0.25">
      <c r="A54" s="15"/>
      <c r="B54" s="2"/>
    </row>
    <row r="55" spans="1:2" x14ac:dyDescent="0.25">
      <c r="A55" s="15"/>
      <c r="B55" s="2"/>
    </row>
    <row r="56" spans="1:2" x14ac:dyDescent="0.25">
      <c r="A56" s="15"/>
      <c r="B56" s="2"/>
    </row>
    <row r="57" spans="1:2" x14ac:dyDescent="0.25">
      <c r="A57" s="15"/>
      <c r="B57" s="2"/>
    </row>
    <row r="58" spans="1:2" x14ac:dyDescent="0.25">
      <c r="A58" s="15"/>
      <c r="B58" s="2"/>
    </row>
    <row r="59" spans="1:2" x14ac:dyDescent="0.25">
      <c r="A59" s="15"/>
      <c r="B59" s="2"/>
    </row>
    <row r="60" spans="1:2" x14ac:dyDescent="0.25">
      <c r="A60" s="15"/>
      <c r="B60" s="2"/>
    </row>
    <row r="61" spans="1:2" x14ac:dyDescent="0.25">
      <c r="A61" s="15"/>
      <c r="B61" s="2"/>
    </row>
    <row r="62" spans="1:2" x14ac:dyDescent="0.25">
      <c r="A62" s="15"/>
      <c r="B62" s="2"/>
    </row>
    <row r="63" spans="1:2" x14ac:dyDescent="0.25">
      <c r="A63" s="15"/>
      <c r="B63" s="2"/>
    </row>
    <row r="64" spans="1:2" x14ac:dyDescent="0.25">
      <c r="A64" s="15"/>
      <c r="B64" s="2"/>
    </row>
    <row r="65" spans="1:2" x14ac:dyDescent="0.25">
      <c r="A65" s="15"/>
      <c r="B65" s="2"/>
    </row>
    <row r="66" spans="1:2" x14ac:dyDescent="0.25">
      <c r="A66" s="15"/>
      <c r="B66" s="2"/>
    </row>
    <row r="67" spans="1:2" x14ac:dyDescent="0.25">
      <c r="A67" s="15"/>
      <c r="B67" s="2"/>
    </row>
    <row r="68" spans="1:2" x14ac:dyDescent="0.25">
      <c r="A68" s="15"/>
      <c r="B68" s="2"/>
    </row>
    <row r="69" spans="1:2" x14ac:dyDescent="0.25">
      <c r="A69" s="16"/>
      <c r="B69" s="4"/>
    </row>
    <row r="70" spans="1:2" x14ac:dyDescent="0.25">
      <c r="A70" s="16"/>
      <c r="B70" s="4"/>
    </row>
    <row r="71" spans="1:2" x14ac:dyDescent="0.25">
      <c r="A71" s="16"/>
      <c r="B71" s="4"/>
    </row>
    <row r="72" spans="1:2" x14ac:dyDescent="0.25">
      <c r="A72" s="16"/>
      <c r="B72" s="4"/>
    </row>
    <row r="73" spans="1:2" x14ac:dyDescent="0.25">
      <c r="A73" s="16"/>
      <c r="B73" s="4"/>
    </row>
    <row r="74" spans="1:2" x14ac:dyDescent="0.25">
      <c r="A74" s="16"/>
      <c r="B74" s="4"/>
    </row>
    <row r="75" spans="1:2" x14ac:dyDescent="0.25">
      <c r="A75" s="16"/>
      <c r="B75" s="4"/>
    </row>
    <row r="76" spans="1:2" x14ac:dyDescent="0.25">
      <c r="A76" s="16"/>
      <c r="B76" s="4"/>
    </row>
    <row r="77" spans="1:2" x14ac:dyDescent="0.25">
      <c r="A77" s="16"/>
      <c r="B77" s="4"/>
    </row>
    <row r="78" spans="1:2" x14ac:dyDescent="0.25">
      <c r="A78" s="16"/>
      <c r="B78" s="4"/>
    </row>
    <row r="79" spans="1:2" x14ac:dyDescent="0.25">
      <c r="A79" s="16"/>
      <c r="B79" s="4"/>
    </row>
    <row r="80" spans="1:2" x14ac:dyDescent="0.25">
      <c r="A80" s="16"/>
      <c r="B80" s="4"/>
    </row>
    <row r="81" spans="1:2" x14ac:dyDescent="0.25">
      <c r="A81" s="16"/>
      <c r="B81" s="4"/>
    </row>
    <row r="82" spans="1:2" x14ac:dyDescent="0.25">
      <c r="A82" s="16"/>
      <c r="B82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B5" sqref="A5:XFD5"/>
    </sheetView>
  </sheetViews>
  <sheetFormatPr baseColWidth="10" defaultRowHeight="15" x14ac:dyDescent="0.25"/>
  <cols>
    <col min="1" max="2" width="11.42578125" style="17" customWidth="1"/>
  </cols>
  <sheetData>
    <row r="1" spans="1:2" x14ac:dyDescent="0.25">
      <c r="A1" s="17" t="s">
        <v>814</v>
      </c>
      <c r="B1" s="17" t="s">
        <v>815</v>
      </c>
    </row>
    <row r="2" spans="1:2" x14ac:dyDescent="0.25">
      <c r="A2" s="17" t="s">
        <v>816</v>
      </c>
      <c r="B2" s="17" t="s">
        <v>817</v>
      </c>
    </row>
    <row r="3" spans="1:2" x14ac:dyDescent="0.25">
      <c r="A3" s="17" t="s">
        <v>818</v>
      </c>
      <c r="B3" s="17" t="s">
        <v>819</v>
      </c>
    </row>
    <row r="4" spans="1:2" x14ac:dyDescent="0.25">
      <c r="A4" s="17" t="s">
        <v>820</v>
      </c>
      <c r="B4" s="17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INPUT</vt:lpstr>
      <vt:lpstr>NPF</vt:lpstr>
      <vt:lpstr>Diccionario Jerarquías</vt:lpstr>
      <vt:lpstr>Grupo de Articulos</vt:lpstr>
      <vt:lpstr>Diccionario Filiales</vt:lpstr>
      <vt:lpstr>Diccionario Fabricantes</vt:lpstr>
      <vt:lpstr>Diccionario Marcas</vt:lpstr>
      <vt:lpstr>Diccionario GrupoImputacion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Herrera Naipan</cp:lastModifiedBy>
  <dcterms:created xsi:type="dcterms:W3CDTF">2026-09-17T12:45:17Z</dcterms:created>
  <dcterms:modified xsi:type="dcterms:W3CDTF">2026-10-07T14:19:41Z</dcterms:modified>
</cp:coreProperties>
</file>