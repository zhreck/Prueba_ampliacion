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tattersall-my.sharepoint.com/personal/sherrera_tattersall_cl/Documents/Documentos/GitHub/Prueba_ampliacion/data/reference/Unidades/"/>
    </mc:Choice>
  </mc:AlternateContent>
  <xr:revisionPtr revIDLastSave="1689" documentId="11_AD4D2F04E46CFB4ACB3E20B23550F91C693EDF24" xr6:coauthVersionLast="47" xr6:coauthVersionMax="47" xr10:uidLastSave="{6B998748-6F69-47B7-BC75-D7180D570F22}"/>
  <bookViews>
    <workbookView xWindow="-120" yWindow="-120" windowWidth="29040" windowHeight="15720" activeTab="7" xr2:uid="{00000000-000D-0000-FFFF-FFFF00000000}"/>
  </bookViews>
  <sheets>
    <sheet name="Hoja1" sheetId="5" r:id="rId1"/>
    <sheet name="cebe" sheetId="1" r:id="rId2"/>
    <sheet name="Unidades" sheetId="6" r:id="rId3"/>
    <sheet name="centros" sheetId="2" r:id="rId4"/>
    <sheet name="MARCAS" sheetId="3" r:id="rId5"/>
    <sheet name="Hoja3" sheetId="8" r:id="rId6"/>
    <sheet name="Resumen" sheetId="4" r:id="rId7"/>
    <sheet name="repuestos" sheetId="7" r:id="rId8"/>
    <sheet name="MACO" sheetId="11" r:id="rId9"/>
    <sheet name="UNIDADES_cebe" sheetId="10" r:id="rId10"/>
    <sheet name="REPUESTOS_CEBE" sheetId="12" r:id="rId11"/>
  </sheets>
  <definedNames>
    <definedName name="_xlnm._FilterDatabase" localSheetId="3" hidden="1">centros!$A$1:$B$1</definedName>
    <definedName name="_xlnm._FilterDatabase" localSheetId="8" hidden="1">MACO!$A$1:$B$1</definedName>
    <definedName name="_xlnm._FilterDatabase" localSheetId="10" hidden="1">REPUESTOS_CEBE!$A$1:$K$106</definedName>
    <definedName name="_xlnm._FilterDatabase" localSheetId="2" hidden="1">Unidades!$A$1:$T$1</definedName>
    <definedName name="_xlnm._FilterDatabase" localSheetId="9" hidden="1">UNIDADES_cebe!$A$1:$L$1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6" l="1" a="1"/>
  <c r="S2" i="6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2" i="10"/>
  <c r="T2" i="7"/>
  <c r="L2" i="7"/>
  <c r="M2" i="7"/>
  <c r="N2" i="7"/>
  <c r="O2" i="7"/>
  <c r="P2" i="7"/>
  <c r="Q2" i="7"/>
  <c r="R2" i="7"/>
  <c r="S2" i="7"/>
  <c r="U2" i="7"/>
  <c r="V2" i="7"/>
  <c r="W2" i="7"/>
  <c r="X2" i="7"/>
  <c r="AC2" i="7"/>
  <c r="AA2" i="7"/>
  <c r="Z2" i="7"/>
  <c r="Y2" i="7"/>
  <c r="E2" i="7"/>
  <c r="D2" i="7"/>
  <c r="F2" i="7"/>
  <c r="G2" i="7"/>
  <c r="H2" i="7"/>
  <c r="I2" i="7"/>
  <c r="J2" i="7"/>
  <c r="K2" i="7"/>
  <c r="AB2" i="7"/>
  <c r="AD2" i="7"/>
  <c r="AE2" i="7"/>
  <c r="AF2" i="7"/>
  <c r="C2" i="7"/>
  <c r="B633" i="1"/>
  <c r="C36" i="6" a="1"/>
  <c r="T36" i="6" a="1"/>
  <c r="R36" i="6" a="1"/>
  <c r="L14" i="10" s="1"/>
  <c r="Q36" i="6" a="1"/>
  <c r="P36" i="6" a="1"/>
  <c r="O36" i="6" a="1"/>
  <c r="N36" i="6" a="1"/>
  <c r="M36" i="6" a="1"/>
  <c r="L36" i="6" a="1"/>
  <c r="K36" i="6" a="1"/>
  <c r="J36" i="6" a="1"/>
  <c r="I36" i="6" a="1"/>
  <c r="H36" i="6" a="1"/>
  <c r="G36" i="6" a="1"/>
  <c r="F36" i="6" a="1"/>
  <c r="E36" i="6" a="1"/>
  <c r="D36" i="6" a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T2" i="6"/>
  <c r="C2" i="6"/>
  <c r="A5" i="4" a="1"/>
  <c r="H2" i="1"/>
  <c r="H3" i="1"/>
  <c r="H4" i="1"/>
  <c r="H5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1" i="1"/>
  <c r="H42" i="1"/>
  <c r="H44" i="1"/>
  <c r="H45" i="1"/>
  <c r="H47" i="1"/>
  <c r="H48" i="1"/>
  <c r="H50" i="1"/>
  <c r="H51" i="1"/>
  <c r="H52" i="1"/>
  <c r="H53" i="1"/>
  <c r="H54" i="1"/>
  <c r="H56" i="1"/>
  <c r="H57" i="1"/>
  <c r="H58" i="1"/>
  <c r="H59" i="1"/>
  <c r="H61" i="1"/>
  <c r="H62" i="1"/>
  <c r="H63" i="1"/>
  <c r="H64" i="1"/>
  <c r="H65" i="1"/>
  <c r="H66" i="1"/>
  <c r="H67" i="1"/>
  <c r="H68" i="1"/>
  <c r="H69" i="1"/>
  <c r="H70" i="1"/>
  <c r="H72" i="1"/>
  <c r="H73" i="1"/>
  <c r="H74" i="1"/>
  <c r="H75" i="1"/>
  <c r="H77" i="1"/>
  <c r="H78" i="1"/>
  <c r="H79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4" i="1"/>
  <c r="B635" i="1"/>
  <c r="B636" i="1"/>
  <c r="B637" i="1"/>
  <c r="B638" i="1"/>
  <c r="B639" i="1"/>
  <c r="B640" i="1"/>
  <c r="B641" i="1"/>
  <c r="B64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4" i="1"/>
  <c r="E635" i="1"/>
  <c r="E636" i="1"/>
  <c r="E637" i="1"/>
  <c r="E638" i="1"/>
  <c r="E639" i="1"/>
  <c r="E640" i="1"/>
  <c r="E641" i="1"/>
  <c r="E642" i="1"/>
  <c r="L124" i="10" l="1"/>
  <c r="L39" i="10"/>
  <c r="L43" i="10"/>
  <c r="L47" i="10"/>
  <c r="L51" i="10"/>
  <c r="L55" i="10"/>
  <c r="L59" i="10"/>
  <c r="L63" i="10"/>
  <c r="L89" i="10"/>
  <c r="L90" i="10"/>
  <c r="L91" i="10"/>
  <c r="L92" i="10"/>
  <c r="L93" i="10"/>
  <c r="L94" i="10"/>
  <c r="L95" i="10"/>
  <c r="L96" i="10"/>
  <c r="L121" i="10"/>
  <c r="L122" i="10"/>
  <c r="L127" i="10"/>
  <c r="L65" i="10"/>
  <c r="L66" i="10"/>
  <c r="L67" i="10"/>
  <c r="L68" i="10"/>
  <c r="L69" i="10"/>
  <c r="L70" i="10"/>
  <c r="L71" i="10"/>
  <c r="L72" i="10"/>
  <c r="L128" i="10"/>
  <c r="L73" i="10"/>
  <c r="L74" i="10"/>
  <c r="L75" i="10"/>
  <c r="L76" i="10"/>
  <c r="L77" i="10"/>
  <c r="L78" i="10"/>
  <c r="L79" i="10"/>
  <c r="L80" i="10"/>
  <c r="L129" i="10"/>
  <c r="L81" i="10"/>
  <c r="L82" i="10"/>
  <c r="L83" i="10"/>
  <c r="L84" i="10"/>
  <c r="L85" i="10"/>
  <c r="L86" i="10"/>
  <c r="L87" i="10"/>
  <c r="L88" i="10"/>
  <c r="L131" i="10"/>
  <c r="L97" i="10"/>
  <c r="L98" i="10"/>
  <c r="L99" i="10"/>
  <c r="L100" i="10"/>
  <c r="L101" i="10"/>
  <c r="L102" i="10"/>
  <c r="L103" i="10"/>
  <c r="L104" i="10"/>
  <c r="L113" i="10"/>
  <c r="L114" i="10"/>
  <c r="L115" i="10"/>
  <c r="L116" i="10"/>
  <c r="L117" i="10"/>
  <c r="L118" i="10"/>
  <c r="L119" i="10"/>
  <c r="L120" i="10"/>
  <c r="L137" i="10"/>
  <c r="L5" i="10"/>
  <c r="L18" i="10"/>
  <c r="L25" i="10"/>
  <c r="L33" i="10"/>
  <c r="L36" i="10"/>
  <c r="L2" i="10"/>
  <c r="L123" i="10"/>
  <c r="L37" i="10"/>
  <c r="L41" i="10"/>
  <c r="L45" i="10"/>
  <c r="L49" i="10"/>
  <c r="L53" i="10"/>
  <c r="L57" i="10"/>
  <c r="L61" i="10"/>
  <c r="L126" i="10"/>
  <c r="L7" i="10"/>
  <c r="L13" i="10"/>
  <c r="L22" i="10"/>
  <c r="L29" i="10"/>
  <c r="L38" i="10"/>
  <c r="L42" i="10"/>
  <c r="L46" i="10"/>
  <c r="L50" i="10"/>
  <c r="L54" i="10"/>
  <c r="L58" i="10"/>
  <c r="L62" i="10"/>
  <c r="L136" i="10"/>
  <c r="L9" i="10"/>
  <c r="L17" i="10"/>
  <c r="L24" i="10"/>
  <c r="L32" i="10"/>
  <c r="L125" i="10"/>
  <c r="L135" i="10"/>
  <c r="L6" i="10"/>
  <c r="L12" i="10"/>
  <c r="L21" i="10"/>
  <c r="L28" i="10"/>
  <c r="L40" i="10"/>
  <c r="L44" i="10"/>
  <c r="L48" i="10"/>
  <c r="L52" i="10"/>
  <c r="L56" i="10"/>
  <c r="L60" i="10"/>
  <c r="L64" i="10"/>
  <c r="L134" i="10"/>
  <c r="L3" i="10"/>
  <c r="L16" i="10"/>
  <c r="L31" i="10"/>
  <c r="L130" i="10"/>
  <c r="L138" i="10"/>
  <c r="L4" i="10"/>
  <c r="L10" i="10"/>
  <c r="L19" i="10"/>
  <c r="L26" i="10"/>
  <c r="L34" i="10"/>
  <c r="L105" i="10"/>
  <c r="L106" i="10"/>
  <c r="L107" i="10"/>
  <c r="L108" i="10"/>
  <c r="L109" i="10"/>
  <c r="L110" i="10"/>
  <c r="L111" i="10"/>
  <c r="L112" i="10"/>
  <c r="L133" i="10"/>
  <c r="L11" i="10"/>
  <c r="L20" i="10"/>
  <c r="L27" i="10"/>
  <c r="L35" i="10"/>
  <c r="L132" i="10"/>
  <c r="L8" i="10"/>
  <c r="L15" i="10"/>
  <c r="L23" i="10"/>
  <c r="L30" i="10"/>
  <c r="A2" i="4" a="1"/>
  <c r="C7" i="4" a="1"/>
  <c r="B12" i="4"/>
  <c r="B10" i="4"/>
  <c r="B6" i="4"/>
  <c r="C17" i="4" a="1"/>
  <c r="D19" i="4"/>
  <c r="C19" i="4" a="1"/>
  <c r="B16" i="4"/>
  <c r="D20" i="4"/>
  <c r="C20" i="4" a="1"/>
  <c r="B18" i="4"/>
  <c r="D17" i="4"/>
  <c r="B17" i="4"/>
  <c r="B15" i="4"/>
  <c r="B11" i="4"/>
  <c r="D8" i="4"/>
  <c r="B8" i="4"/>
  <c r="D7" i="4"/>
  <c r="D13" i="4"/>
  <c r="C13" i="4" a="1"/>
  <c r="D10" i="4"/>
  <c r="C10" i="4" a="1"/>
  <c r="B13" i="4"/>
  <c r="D18" i="4"/>
  <c r="C18" i="4" a="1"/>
  <c r="B14" i="4"/>
  <c r="D9" i="4"/>
  <c r="C9" i="4" a="1"/>
  <c r="D12" i="4"/>
  <c r="D21" i="4"/>
  <c r="B21" i="4"/>
  <c r="D16" i="4"/>
  <c r="C16" i="4" a="1"/>
  <c r="D11" i="4"/>
  <c r="C11" i="4" a="1"/>
  <c r="D6" i="4"/>
  <c r="C6" i="4" a="1"/>
  <c r="C12" i="4" a="1"/>
  <c r="B7" i="4"/>
  <c r="B20" i="4"/>
  <c r="D14" i="4"/>
  <c r="C14" i="4" a="1"/>
  <c r="B9" i="4"/>
  <c r="C8" i="4" a="1"/>
  <c r="C21" i="4" a="1"/>
  <c r="B19" i="4"/>
  <c r="D15" i="4"/>
  <c r="C15" i="4" a="1"/>
  <c r="A25" i="4" a="1"/>
  <c r="B40" i="4" l="1"/>
  <c r="D41" i="4" a="1"/>
  <c r="F40" i="4" a="1"/>
  <c r="C40" i="4" a="1"/>
  <c r="F41" i="4" a="1"/>
  <c r="C41" i="4" a="1"/>
  <c r="B41" i="4"/>
  <c r="D40" i="4" a="1"/>
  <c r="B27" i="4"/>
  <c r="B30" i="4"/>
  <c r="B37" i="4"/>
  <c r="B32" i="4"/>
  <c r="B36" i="4"/>
  <c r="B26" i="4"/>
  <c r="B33" i="4"/>
  <c r="B29" i="4"/>
  <c r="B34" i="4"/>
  <c r="B35" i="4"/>
  <c r="B38" i="4"/>
  <c r="B39" i="4"/>
  <c r="B28" i="4"/>
  <c r="B31" i="4"/>
  <c r="D39" i="4" a="1"/>
  <c r="D37" i="4" a="1"/>
  <c r="C33" i="4" a="1"/>
  <c r="D28" i="4" a="1"/>
  <c r="D35" i="4" a="1"/>
  <c r="C27" i="4" a="1"/>
  <c r="C30" i="4" a="1"/>
  <c r="F31" i="4" a="1"/>
  <c r="F39" i="4" a="1"/>
  <c r="D36" i="4" a="1"/>
  <c r="F27" i="4" a="1"/>
  <c r="F26" i="4" a="1"/>
  <c r="C39" i="4" a="1"/>
  <c r="C38" i="4" a="1"/>
  <c r="F33" i="4" a="1"/>
  <c r="D26" i="4" a="1"/>
  <c r="F32" i="4" a="1"/>
  <c r="C29" i="4" a="1"/>
  <c r="C28" i="4" a="1"/>
  <c r="C35" i="4" a="1"/>
  <c r="D33" i="4" a="1"/>
  <c r="C36" i="4" a="1"/>
  <c r="D38" i="4" a="1"/>
  <c r="C34" i="4" a="1"/>
  <c r="D30" i="4" a="1"/>
  <c r="C37" i="4" a="1"/>
  <c r="D29" i="4" a="1"/>
  <c r="F36" i="4" a="1"/>
  <c r="F37" i="4" a="1"/>
  <c r="C26" i="4" a="1"/>
  <c r="D34" i="4" a="1"/>
  <c r="F30" i="4" a="1"/>
  <c r="F28" i="4" a="1"/>
  <c r="F38" i="4" a="1"/>
  <c r="F34" i="4" a="1"/>
  <c r="C32" i="4" a="1"/>
  <c r="C31" i="4" a="1"/>
  <c r="F35" i="4" a="1"/>
  <c r="D27" i="4" a="1"/>
  <c r="D31" i="4" a="1"/>
  <c r="D32" i="4" a="1"/>
  <c r="F29" i="4" a="1"/>
  <c r="F25" i="4" s="1" a="1"/>
  <c r="B25" i="4" l="1"/>
  <c r="C25" i="4" a="1"/>
  <c r="D25" i="4" a="1"/>
  <c r="C5" i="4" a="1"/>
  <c r="D5" i="4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tc={10D64BE0-3DC9-408F-A4A7-436C9F99E42C}</author>
    <author>tc={BEC9B4B9-7E73-47C5-97C1-E41EF72517D2}</author>
    <author>tc={54B96DE1-97D1-49BE-89D7-8EAFB1A2F808}</author>
  </authors>
  <commentList>
    <comment ref="J4" authorId="0" shapeId="0" xr:uid="{10D64BE0-3DC9-408F-A4A7-436C9F99E4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Joaco</t>
      </text>
    </comment>
    <comment ref="O4" authorId="1" shapeId="0" xr:uid="{BEC9B4B9-7E73-47C5-97C1-E41EF72517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Joaco</t>
      </text>
    </comment>
    <comment ref="I11" authorId="2" shapeId="0" xr:uid="{54B96DE1-97D1-49BE-89D7-8EAFB1A2F8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Fran Madariaga si se debe ampliar LG a TTM (pensando en rental, entendiendo que la importación y venta de lo de stock será x TTMQ)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Herrera Naipan</author>
  </authors>
  <commentList>
    <comment ref="G38" authorId="0" shapeId="0" xr:uid="{4B529ECA-CBC1-4125-8293-6DEE925EC169}">
      <text>
        <r>
          <rPr>
            <b/>
            <sz val="9"/>
            <color indexed="81"/>
            <rFont val="Tahoma"/>
            <family val="2"/>
          </rPr>
          <t>Sebastian Herrera Naipan:</t>
        </r>
        <r>
          <rPr>
            <sz val="9"/>
            <color indexed="81"/>
            <rFont val="Tahoma"/>
            <family val="2"/>
          </rPr>
          <t xml:space="preserve">
Backoffice sin localidad → sede base</t>
        </r>
      </text>
    </comment>
    <comment ref="G39" authorId="0" shapeId="0" xr:uid="{4437C198-44CE-4AD0-8D98-2BCB6A0E2872}">
      <text>
        <r>
          <rPr>
            <b/>
            <sz val="9"/>
            <color indexed="81"/>
            <rFont val="Tahoma"/>
            <family val="2"/>
          </rPr>
          <t>Sebastian Herrera Naipan:</t>
        </r>
        <r>
          <rPr>
            <sz val="9"/>
            <color indexed="81"/>
            <rFont val="Tahoma"/>
            <family val="2"/>
          </rPr>
          <t xml:space="preserve">
El diccionario solo tiene VE00 (Quilicura) y VE01 (Pto Importaciones) para Industrial; regiones asignadas a VE00 - confirmar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<sst xmlns="http://schemas.openxmlformats.org/spreadsheetml/2006/main" count="8351" uniqueCount="2269">
  <si>
    <t>COD_FABRICANTE</t>
  </si>
  <si>
    <t>COD_MARCA</t>
  </si>
  <si>
    <t>MARCA</t>
  </si>
  <si>
    <t>SOCIEDAD</t>
  </si>
  <si>
    <t>CENTRO</t>
  </si>
  <si>
    <t>LOCALIDAD</t>
  </si>
  <si>
    <t>F0001</t>
  </si>
  <si>
    <t>060</t>
  </si>
  <si>
    <t>DONG FENG (DFCV)</t>
  </si>
  <si>
    <t>MACO Tattersall</t>
  </si>
  <si>
    <t>VA00</t>
  </si>
  <si>
    <t>Quilicura</t>
  </si>
  <si>
    <t>VA01</t>
  </si>
  <si>
    <t>Calama</t>
  </si>
  <si>
    <t>VA02</t>
  </si>
  <si>
    <t>Antofagasta</t>
  </si>
  <si>
    <t>VA03</t>
  </si>
  <si>
    <t>Curico</t>
  </si>
  <si>
    <t>VA04</t>
  </si>
  <si>
    <t>Talcahuano</t>
  </si>
  <si>
    <t>VA05</t>
  </si>
  <si>
    <t>Temuco</t>
  </si>
  <si>
    <t>VA06</t>
  </si>
  <si>
    <t>Puerto Montt</t>
  </si>
  <si>
    <t>F0006</t>
  </si>
  <si>
    <t>110</t>
  </si>
  <si>
    <t>INTERNATIONAL</t>
  </si>
  <si>
    <t>F0010</t>
  </si>
  <si>
    <t>180</t>
  </si>
  <si>
    <t>MAXIMAL</t>
  </si>
  <si>
    <t>Tattersall Industrial</t>
  </si>
  <si>
    <t>VE00</t>
  </si>
  <si>
    <t>Coquimbo</t>
  </si>
  <si>
    <t>Osorno</t>
  </si>
  <si>
    <t>Tattersall Maquinarias</t>
  </si>
  <si>
    <t>VC00</t>
  </si>
  <si>
    <t>VC01</t>
  </si>
  <si>
    <t>VC02</t>
  </si>
  <si>
    <t>VC03</t>
  </si>
  <si>
    <t>VC04</t>
  </si>
  <si>
    <t>VC05</t>
  </si>
  <si>
    <t>VC06</t>
  </si>
  <si>
    <t>VC07</t>
  </si>
  <si>
    <t>F0012</t>
  </si>
  <si>
    <t>100</t>
  </si>
  <si>
    <t>HYSTER</t>
  </si>
  <si>
    <t>F0014</t>
  </si>
  <si>
    <t>090</t>
  </si>
  <si>
    <t>HMK</t>
  </si>
  <si>
    <t>F0015</t>
  </si>
  <si>
    <t>230</t>
  </si>
  <si>
    <t>TERBERG</t>
  </si>
  <si>
    <t>F0016</t>
  </si>
  <si>
    <t>150</t>
  </si>
  <si>
    <t>LIUGONG</t>
  </si>
  <si>
    <t>Tattersall Multimaq</t>
  </si>
  <si>
    <t>VD00</t>
  </si>
  <si>
    <t>VD01</t>
  </si>
  <si>
    <t>VD02</t>
  </si>
  <si>
    <t>VD03</t>
  </si>
  <si>
    <t>VD04</t>
  </si>
  <si>
    <t>VD05</t>
  </si>
  <si>
    <t>VD06</t>
  </si>
  <si>
    <t>VD07</t>
  </si>
  <si>
    <t>F0019</t>
  </si>
  <si>
    <t>130</t>
  </si>
  <si>
    <t>KYC</t>
  </si>
  <si>
    <t>Tattersall Automotriz</t>
  </si>
  <si>
    <t>VF00</t>
  </si>
  <si>
    <t>VF01</t>
  </si>
  <si>
    <t>Movicenter Multimarca</t>
  </si>
  <si>
    <t>VF04</t>
  </si>
  <si>
    <t>Operador Logístico</t>
  </si>
  <si>
    <t>VF06</t>
  </si>
  <si>
    <t>Plaza Oeste</t>
  </si>
  <si>
    <t>F0020</t>
  </si>
  <si>
    <t>260</t>
  </si>
  <si>
    <t>ZXAUTO</t>
  </si>
  <si>
    <t>F0021</t>
  </si>
  <si>
    <t>140</t>
  </si>
  <si>
    <t>LIFAN</t>
  </si>
  <si>
    <t>VF03</t>
  </si>
  <si>
    <t>Lira (motos)</t>
  </si>
  <si>
    <t>F0022</t>
  </si>
  <si>
    <t>DONG FENG (DFAC)</t>
  </si>
  <si>
    <t>F0023</t>
  </si>
  <si>
    <t>160</t>
  </si>
  <si>
    <t>LIVAN</t>
  </si>
  <si>
    <t>F0027</t>
  </si>
  <si>
    <t>170</t>
  </si>
  <si>
    <t>LYNK CO</t>
  </si>
  <si>
    <t>Movicenter LynkCo</t>
  </si>
  <si>
    <t>VF05</t>
  </si>
  <si>
    <t>Vitacura</t>
  </si>
  <si>
    <t>VF07</t>
  </si>
  <si>
    <t>La Dehesa</t>
  </si>
  <si>
    <t>F0028</t>
  </si>
  <si>
    <t>080</t>
  </si>
  <si>
    <t>FAW</t>
  </si>
  <si>
    <t>F9999</t>
  </si>
  <si>
    <t>120</t>
  </si>
  <si>
    <t>JETOUR</t>
  </si>
  <si>
    <t>220</t>
  </si>
  <si>
    <t>RIDDARA</t>
  </si>
  <si>
    <t>280</t>
  </si>
  <si>
    <t>TODAS/OTRAS MARCAS</t>
  </si>
  <si>
    <t>(en blanco)</t>
  </si>
  <si>
    <t>COD_SOCIEDAD</t>
  </si>
  <si>
    <t>AREA_LINEA_NEGOCIO</t>
  </si>
  <si>
    <t>COD_CEBE</t>
  </si>
  <si>
    <t>NOM_CODIGO_CEBE</t>
  </si>
  <si>
    <t>NOM_CORTO_CEBE</t>
  </si>
  <si>
    <t>Vta. Unidades Nuevas</t>
  </si>
  <si>
    <t>VFLN01DHLC</t>
  </si>
  <si>
    <t>Vta.Un/La Dehesa/LYNK CO</t>
  </si>
  <si>
    <t>VTAUND/DEHSA/LYNKO</t>
  </si>
  <si>
    <t>VFLN01LILF</t>
  </si>
  <si>
    <t>Vta.Un/Lira (motos)/LIFAN</t>
  </si>
  <si>
    <t>VTAUND/LIRA/LIFAN</t>
  </si>
  <si>
    <t>VFLN01LIOO</t>
  </si>
  <si>
    <t>Vta.Un/Lira (motos)/TODAS/OTRAS MARCAS</t>
  </si>
  <si>
    <t>VTAUND/LIRA/TODAS</t>
  </si>
  <si>
    <t>VFLN01M1LC</t>
  </si>
  <si>
    <t>Vta.Un/Movicenter LynkCo/LYNK CO</t>
  </si>
  <si>
    <t>VTAUND/MOV.L&amp;C/LYNKO</t>
  </si>
  <si>
    <t>VFLN01M0DC</t>
  </si>
  <si>
    <t>Vta.Un/Movictr Multimrc/DONG FENG (DFAC)</t>
  </si>
  <si>
    <t>VTAUND/MOV.MM/DFAC</t>
  </si>
  <si>
    <t>VFLN01M0FW</t>
  </si>
  <si>
    <t>Vta.Un/Movicenter Multimarca/FAW</t>
  </si>
  <si>
    <t>VTAUND/MOV.MM/FAW</t>
  </si>
  <si>
    <t>VFLN01M0KC</t>
  </si>
  <si>
    <t>Vta.Un/Movicenter Multimarca/KYC</t>
  </si>
  <si>
    <t>VTAUND/MOV.MM/KYC</t>
  </si>
  <si>
    <t>VFLN01M0LV</t>
  </si>
  <si>
    <t>Vta.Un/Movicenter Multimarca/LIVAN</t>
  </si>
  <si>
    <t>VTAUND/MOV.MM/LIVAN</t>
  </si>
  <si>
    <t>VFLN01M0OO</t>
  </si>
  <si>
    <t>Vta.Un/Movictr Multimrc/TODASOTRAS MRCAS</t>
  </si>
  <si>
    <t>VTAUND/MOV.MM/TODAS</t>
  </si>
  <si>
    <t>VFLN01M0ZX</t>
  </si>
  <si>
    <t>Vta.Un/Movicenter Multimarca/ZXAUTO</t>
  </si>
  <si>
    <t>VTAUND/MOV.MM/ZXAUTO</t>
  </si>
  <si>
    <t>VFLN01OLDC</t>
  </si>
  <si>
    <t>Vta.Un/Op. Logístico/DONG FENG (DFAC)</t>
  </si>
  <si>
    <t>VTAUND/OP.LOG/DFAC</t>
  </si>
  <si>
    <t>VFLN01OLFW</t>
  </si>
  <si>
    <t>Vta.Un/Operador Logístico/FAW</t>
  </si>
  <si>
    <t>VTAUND/OP.LOG/FAW</t>
  </si>
  <si>
    <t>F0029</t>
  </si>
  <si>
    <t>VFLN01OLJT</t>
  </si>
  <si>
    <t>Vta.Un/Operador Logístico/JETOUR</t>
  </si>
  <si>
    <t>VTAUND/OP.LOG/JETOUR</t>
  </si>
  <si>
    <t>VFLN01OLKC</t>
  </si>
  <si>
    <t>Vta.Un/Operador Logístico/KYC</t>
  </si>
  <si>
    <t>VTAUND/OP.LOG/KYC</t>
  </si>
  <si>
    <t>VFLN01OLLF</t>
  </si>
  <si>
    <t>Vta.Un/Operador Logístico/LIFAN</t>
  </si>
  <si>
    <t>VTAUND/OP.LOG/LIFAN</t>
  </si>
  <si>
    <t>VFLN01OLLV</t>
  </si>
  <si>
    <t>Vta.Un/Operador Logístico/LIVAN</t>
  </si>
  <si>
    <t>VTAUND/OP.LOG/LIVAN</t>
  </si>
  <si>
    <t>VFLN01OLLC</t>
  </si>
  <si>
    <t>Vta.Un/Operador Logístico/LYNK CO</t>
  </si>
  <si>
    <t>VTAUND/OP.LOG/LYNKO</t>
  </si>
  <si>
    <t>VFLN01OLOO</t>
  </si>
  <si>
    <t>Vta.Un/Op. Logístico/TODAS/OTRAS MARCAS</t>
  </si>
  <si>
    <t>VTAUND/OP.LOG/TODAS</t>
  </si>
  <si>
    <t>VFLN01OLZX</t>
  </si>
  <si>
    <t>Vta.Un/Operador Logístico/ZXAUTO</t>
  </si>
  <si>
    <t>VTAUND/OP.LOG/ZXAUTO</t>
  </si>
  <si>
    <t>VFLN01PODC</t>
  </si>
  <si>
    <t>Vta.Un/Plaza Oeste/DONG FENG (DFAC)</t>
  </si>
  <si>
    <t>VTAUND/POESTE/DFAC</t>
  </si>
  <si>
    <t>VFLN01POFW</t>
  </si>
  <si>
    <t>Vta.Un/Plaza Oeste/FAW</t>
  </si>
  <si>
    <t>VTAUND/POESTE/FAW</t>
  </si>
  <si>
    <t>VFLN01POKC</t>
  </si>
  <si>
    <t>Vta.Un/Plaza Oeste/KYC</t>
  </si>
  <si>
    <t>VTAUND/POESTE/KYC</t>
  </si>
  <si>
    <t>VFLN01POLV</t>
  </si>
  <si>
    <t>Vta.Un/Plaza Oeste/LIVAN</t>
  </si>
  <si>
    <t>VTAUND/POESTE/LIVAN</t>
  </si>
  <si>
    <t>VFLN01POLC</t>
  </si>
  <si>
    <t>Vta.Un/Plaza Oeste/LYNK CO</t>
  </si>
  <si>
    <t>VTAUND/POESTE/LYNKO</t>
  </si>
  <si>
    <t>VFLN01POOO</t>
  </si>
  <si>
    <t>Vta.Un/Plaza Oeste/TODAS/OTRAS MARCAS</t>
  </si>
  <si>
    <t>VTAUND/POESTE/TODAS</t>
  </si>
  <si>
    <t>VFLN01POZX</t>
  </si>
  <si>
    <t>Vta.Un/Plaza Oeste/ZXAUTO</t>
  </si>
  <si>
    <t>VTAUND/POESTE/ZXAUTO</t>
  </si>
  <si>
    <t>VFLN01QCDC</t>
  </si>
  <si>
    <t>Vta.Un/Quilicura/DONG FENG (DFAC)</t>
  </si>
  <si>
    <t>VTAUND/QUILI/DFAC</t>
  </si>
  <si>
    <t>VFLN01QCFW</t>
  </si>
  <si>
    <t>Vta.Un/Quilicura/FAW</t>
  </si>
  <si>
    <t>VTAUND/QUILI/FAW</t>
  </si>
  <si>
    <t>VFLN01QCKC</t>
  </si>
  <si>
    <t>Vta.Un/Quilicura/KYC</t>
  </si>
  <si>
    <t>VTAUND/QUILI/KYC</t>
  </si>
  <si>
    <t>VFLN01QCLF</t>
  </si>
  <si>
    <t>Vta.Un/Quilicura/LIFAN</t>
  </si>
  <si>
    <t>VTAUND/QUILI/LIFAN</t>
  </si>
  <si>
    <t>VFLN01QCLV</t>
  </si>
  <si>
    <t>Vta.Un/Quilicura/LIVAN</t>
  </si>
  <si>
    <t>VTAUND/QUILI/LIVAN</t>
  </si>
  <si>
    <t>VFLN01QCLC</t>
  </si>
  <si>
    <t>Vta.Un/Quilicura/LYNK CO</t>
  </si>
  <si>
    <t>VTAUND/QUILI/LYNKO</t>
  </si>
  <si>
    <t>VFLN01QCOO</t>
  </si>
  <si>
    <t>Vta.Un/Quilicura/TODAS/OTRAS MARCAS</t>
  </si>
  <si>
    <t>VTAUND/QUILI/TODAS</t>
  </si>
  <si>
    <t>VFLN01QCZX</t>
  </si>
  <si>
    <t>Vta.Un/Quilicura/ZXAUTO</t>
  </si>
  <si>
    <t>VTAUND/QUILI/ZXAUTO</t>
  </si>
  <si>
    <t>VFLN01VILC</t>
  </si>
  <si>
    <t>Vta.Un/Vitacura/LYNK CO</t>
  </si>
  <si>
    <t>VTAUND/VITAC/LYNKO</t>
  </si>
  <si>
    <t>Vta. Electromovilidad Unidades Nuevas</t>
  </si>
  <si>
    <t>VFLN02DHLC</t>
  </si>
  <si>
    <t>Electromovilidad/La Dehesa/LYNK CO</t>
  </si>
  <si>
    <t>ELECTM/DEHSA/LYNKO</t>
  </si>
  <si>
    <t>VFLN02M1LC</t>
  </si>
  <si>
    <t>Electromov/Movicenter LynkCo/LYNK CO</t>
  </si>
  <si>
    <t>ELECTM/MOV.L&amp;C/LYNKO</t>
  </si>
  <si>
    <t>VFLN02M0LV</t>
  </si>
  <si>
    <t>Electromov/Movicenter Multimarca/LIVAN</t>
  </si>
  <si>
    <t>ELECTM/MOV.MM/LIVAN</t>
  </si>
  <si>
    <t>F0025</t>
  </si>
  <si>
    <t>VFLN02M0RD</t>
  </si>
  <si>
    <t>Electromov/Movicenter Multimarca/RIDDARA</t>
  </si>
  <si>
    <t>ELECTM/MOV.MM/RIDDA</t>
  </si>
  <si>
    <t>VFLN02OLLV</t>
  </si>
  <si>
    <t>Electromov/Operador Logístico/LIVAN</t>
  </si>
  <si>
    <t>ELECTM/OP.LOG/LIVAN</t>
  </si>
  <si>
    <t>VFLN02OLLC</t>
  </si>
  <si>
    <t>Electromov/Operador Logístico/LYNK CO</t>
  </si>
  <si>
    <t>ELECTM/OP.LOG/LYNKO</t>
  </si>
  <si>
    <t>VFLN02OLRD</t>
  </si>
  <si>
    <t>Electromov/Operador Logístico/RIDDARA</t>
  </si>
  <si>
    <t>ELECTM/OP.LOG/RIDDA</t>
  </si>
  <si>
    <t>VFLN02POLV</t>
  </si>
  <si>
    <t>Electromovilidad/Plaza Oeste/LIVAN</t>
  </si>
  <si>
    <t>ELECTM/POESTE/LIVAN</t>
  </si>
  <si>
    <t>VFLN02POLC</t>
  </si>
  <si>
    <t>Electromovilidad/Plaza Oeste/LYNK CO</t>
  </si>
  <si>
    <t>ELECTM/POESTE/LYNKO</t>
  </si>
  <si>
    <t>VFLN02PORD</t>
  </si>
  <si>
    <t>Electromovilidad/Plaza Oeste/RIDDARA</t>
  </si>
  <si>
    <t>ELECTM/POESTE/RIDDA</t>
  </si>
  <si>
    <t>VFLN02QCLV</t>
  </si>
  <si>
    <t>Electromovilidad/Quilicura/LIVAN</t>
  </si>
  <si>
    <t>ELECTM/QUILI/LIVAN</t>
  </si>
  <si>
    <t>VFLN02QCLC</t>
  </si>
  <si>
    <t>Electromovilidad/Quilicura/LYNK CO</t>
  </si>
  <si>
    <t>ELECTM/QUILI/LYNKO</t>
  </si>
  <si>
    <t>VFLN02QCRD</t>
  </si>
  <si>
    <t>Electromovilidad/Quilicura/RIDDARA</t>
  </si>
  <si>
    <t>ELECTM/QUILI/RIDDA</t>
  </si>
  <si>
    <t>VFLN02VILC</t>
  </si>
  <si>
    <t>Electromovilidad/Vitacura/LYNK CO</t>
  </si>
  <si>
    <t>ELECTM/VITAC/LYNKO</t>
  </si>
  <si>
    <t>Venta Repuesto</t>
  </si>
  <si>
    <t>VFLN03LILF</t>
  </si>
  <si>
    <t>Rpto./Lira (motos)/LIFAN</t>
  </si>
  <si>
    <t>RPTO/LIRA/LIFAN</t>
  </si>
  <si>
    <t>VFLN03LIOO</t>
  </si>
  <si>
    <t>Rpto./Lira (motos)/TODAS/OTRAS MARCAS</t>
  </si>
  <si>
    <t>RPTO/LIRA/TODAS</t>
  </si>
  <si>
    <t>VFLN03QCDC</t>
  </si>
  <si>
    <t>Rpto./Quilicura/DONG FENG (DFAC)</t>
  </si>
  <si>
    <t>RPTO/QUILI/DFAC</t>
  </si>
  <si>
    <t>VFLN03QCFW</t>
  </si>
  <si>
    <t>Rpto./Quilicura/FAW</t>
  </si>
  <si>
    <t>RPTO/QUILI/FAW</t>
  </si>
  <si>
    <t>VFLN03QCJT</t>
  </si>
  <si>
    <t>Rpto./Quilicura/JETOUR</t>
  </si>
  <si>
    <t>RPTO/QUILI/JETOUR</t>
  </si>
  <si>
    <t>VFLN03QCKC</t>
  </si>
  <si>
    <t>Rpto./Quilicura/KYC</t>
  </si>
  <si>
    <t>RPTO/QUILI/KYC</t>
  </si>
  <si>
    <t>VFLN03QCLF</t>
  </si>
  <si>
    <t>Rpto./Quilicura/LIFAN</t>
  </si>
  <si>
    <t>RPTO/QUILI/LIFAN</t>
  </si>
  <si>
    <t>VFLN03QCLV</t>
  </si>
  <si>
    <t>Rpto./Quilicura/LIVAN</t>
  </si>
  <si>
    <t>RPTO/QUILI/LIVAN</t>
  </si>
  <si>
    <t>VFLN03QCLC</t>
  </si>
  <si>
    <t>Rpto./Quilicura/LYNK CO</t>
  </si>
  <si>
    <t>RPTO/QUILI/LYNKO</t>
  </si>
  <si>
    <t>VFLN03QCRD</t>
  </si>
  <si>
    <t>Rpto./Quilicura/RIDDARA</t>
  </si>
  <si>
    <t>RPTO/QUILI/RIDDA</t>
  </si>
  <si>
    <t>VFLN03QCOO</t>
  </si>
  <si>
    <t>Rpto./Quilicura/TODAS/OTRAS MARCAS</t>
  </si>
  <si>
    <t>RPTO/QUILI/TODAS</t>
  </si>
  <si>
    <t>VFLN03QCZX</t>
  </si>
  <si>
    <t>Rpto./Quilicura/ZXAUTO</t>
  </si>
  <si>
    <t>RPTO/QUILI/ZXAUTO</t>
  </si>
  <si>
    <t>Usados, Retoma, y AF</t>
  </si>
  <si>
    <t>VFLN05DHLC</t>
  </si>
  <si>
    <t>Usados, Retoma, y AF/La Dehesa/LYNK CO</t>
  </si>
  <si>
    <t>USADOS/DEHSA/LYNKO</t>
  </si>
  <si>
    <t>VFLN05LILF</t>
  </si>
  <si>
    <t>Usado/Lira (motos)/LIFAN</t>
  </si>
  <si>
    <t>USADOS/LIRA/LIFAN</t>
  </si>
  <si>
    <t>VFLN05LIOO</t>
  </si>
  <si>
    <t>Usado/Lira (motos)/TODAS/OTRAS MARCAS</t>
  </si>
  <si>
    <t>USADOS/LIRA/TODAS</t>
  </si>
  <si>
    <t>VFLN05M1LC</t>
  </si>
  <si>
    <t>Usado/Movicenter LynkCo/LYNK CO</t>
  </si>
  <si>
    <t>USADOS/MOV.L&amp;C/LYNKO</t>
  </si>
  <si>
    <t>VFLN05M0DC</t>
  </si>
  <si>
    <t>Usado/Movictr Multimrc/DONG FENG (DFAC)</t>
  </si>
  <si>
    <t>USADOS/MOV.MM/DFAC</t>
  </si>
  <si>
    <t>VFLN05M0FW</t>
  </si>
  <si>
    <t>Usado/Movicenter Multimarca/FAW</t>
  </si>
  <si>
    <t>USADOS/MOV.MM/FAW</t>
  </si>
  <si>
    <t>VFLN05M0KC</t>
  </si>
  <si>
    <t>Usado/Movicenter Multimarca/KYC</t>
  </si>
  <si>
    <t>USADOS/MOV.MM/KYC</t>
  </si>
  <si>
    <t>VFLN05M0LV</t>
  </si>
  <si>
    <t>Usado/Movicenter Multimarca/LIVAN</t>
  </si>
  <si>
    <t>USADOS/MOV.MM/LIVAN</t>
  </si>
  <si>
    <t>VFLN05M0RD</t>
  </si>
  <si>
    <t>Usado/Movicenter Multimarca/RIDDARA</t>
  </si>
  <si>
    <t>USADOS/MOV.MM/RIDDA</t>
  </si>
  <si>
    <t>VFLN05M0OO</t>
  </si>
  <si>
    <t>Usado/Movictr Multimrc/TODASOTRAS MARCAS</t>
  </si>
  <si>
    <t>USADOS/MOV.MM/TODAS</t>
  </si>
  <si>
    <t>VFLN05M0ZX</t>
  </si>
  <si>
    <t>Usado/Movicenter Multimarca/ZXAUTO</t>
  </si>
  <si>
    <t>USADOS/MOV.MM/ZXAUTO</t>
  </si>
  <si>
    <t>VFLN05QCDC</t>
  </si>
  <si>
    <t>Usado/Quilicura/DONG FENG (DFAC)</t>
  </si>
  <si>
    <t>USADOS/QUILI/DFAC</t>
  </si>
  <si>
    <t>VFLN05QCFW</t>
  </si>
  <si>
    <t>Usados, Retoma, y AF/Quilicura/FAW</t>
  </si>
  <si>
    <t>USADOS/QUILI/FAW</t>
  </si>
  <si>
    <t>VFLN05QCJT</t>
  </si>
  <si>
    <t>Usados, Retoma, y AF/Quilicura/JETOUR</t>
  </si>
  <si>
    <t>USADOS/QUILI/JETOUR</t>
  </si>
  <si>
    <t>VFLN05QCKC</t>
  </si>
  <si>
    <t>Usados, Retoma, y AF/Quilicura/KYC</t>
  </si>
  <si>
    <t>USADOS/QUILI/KYC</t>
  </si>
  <si>
    <t>VFLN05QCLV</t>
  </si>
  <si>
    <t>Usados, Retoma, y AF/Quilicura/LIVAN</t>
  </si>
  <si>
    <t>USADOS/QUILI/LIVAN</t>
  </si>
  <si>
    <t>VFLN05QCLC</t>
  </si>
  <si>
    <t>Usados, Retoma, y AF/Quilicura/LYNK CO</t>
  </si>
  <si>
    <t>USADOS/QUILI/LYNKO</t>
  </si>
  <si>
    <t>VFLN05QCRD</t>
  </si>
  <si>
    <t>Usados, Retoma, y AF/Quilicura/RIDDARA</t>
  </si>
  <si>
    <t>USADOS/QUILI/RIDDA</t>
  </si>
  <si>
    <t>VFLN05QCOO</t>
  </si>
  <si>
    <t>Usado/Quilicura/TODAS/OTRAS MARCAS</t>
  </si>
  <si>
    <t>USADOS/QUILI/TODAS</t>
  </si>
  <si>
    <t>VFLN05QCZX</t>
  </si>
  <si>
    <t>Usados, Retoma, y AF/Quilicura/ZXAUTO</t>
  </si>
  <si>
    <t>USADOS/QUILI/ZXAUTO</t>
  </si>
  <si>
    <t>VFLN05VILC</t>
  </si>
  <si>
    <t>Usados, Retoma, y AF/Vitacura/LYNK CO</t>
  </si>
  <si>
    <t>USADOS/VITAC/LYNKO</t>
  </si>
  <si>
    <t>Consignaciones</t>
  </si>
  <si>
    <t>VALN06ANDV</t>
  </si>
  <si>
    <t>Consig./Antofagasta/DONG FENG (DFCV)</t>
  </si>
  <si>
    <t>CONSIG/ANTOF/DFCV</t>
  </si>
  <si>
    <t>VALN06ANFW</t>
  </si>
  <si>
    <t>Consig./Antofagasta/FAW</t>
  </si>
  <si>
    <t>CONSIG/ANTOF/FAW</t>
  </si>
  <si>
    <t>VALN06ANIN</t>
  </si>
  <si>
    <t>Consig./Antofagasta/INTERNATIONAL</t>
  </si>
  <si>
    <t>CONSIG/ANTOF/INT</t>
  </si>
  <si>
    <t>VALN06ANOO</t>
  </si>
  <si>
    <t>Consig./Antofagasta/TODAS/OTRAS MARCAS</t>
  </si>
  <si>
    <t>CONSIG/ANTOF/TODAS</t>
  </si>
  <si>
    <t>VALN06ANDC</t>
  </si>
  <si>
    <t>Consig./Antofagasta/DONG FENG (DFAC)</t>
  </si>
  <si>
    <t>CONSIG/ANTOF/DFAC</t>
  </si>
  <si>
    <t>VALN06CADV</t>
  </si>
  <si>
    <t>Consig./Calama/DONG FENG (DFCV)</t>
  </si>
  <si>
    <t>CONSIG/CALAM/DFCV</t>
  </si>
  <si>
    <t>VALN06CAFW</t>
  </si>
  <si>
    <t>Consig./Calama/FAW</t>
  </si>
  <si>
    <t>CONSIG/CALAM/FAW</t>
  </si>
  <si>
    <t>VALN06CAIN</t>
  </si>
  <si>
    <t>Consig./Calama/INTERNATIONAL</t>
  </si>
  <si>
    <t>CONSIG/CALAM/INT</t>
  </si>
  <si>
    <t>VALN06CAOO</t>
  </si>
  <si>
    <t>Consig./Calama/TODAS/OTRAS MARCAS</t>
  </si>
  <si>
    <t>CONSIG/CALAM/TODAS</t>
  </si>
  <si>
    <t>VALN06CADC</t>
  </si>
  <si>
    <t>Consig./Calama/DONG FENG (DFAC)</t>
  </si>
  <si>
    <t>CONSIG/CALAM/DFAC</t>
  </si>
  <si>
    <t>VALN06CUDV</t>
  </si>
  <si>
    <t>Consig./Curico/DONG FENG (DFCV)</t>
  </si>
  <si>
    <t>CONSIG/CURIC/DFCV</t>
  </si>
  <si>
    <t>VALN06CUFW</t>
  </si>
  <si>
    <t>Consig./Curico/FAW</t>
  </si>
  <si>
    <t>CONSIG/CURIC/FAW</t>
  </si>
  <si>
    <t>VALN06CUIN</t>
  </si>
  <si>
    <t>Consig./Curico/INTERNATIONAL</t>
  </si>
  <si>
    <t>CONSIG/CURIC/INT</t>
  </si>
  <si>
    <t>VALN06CUOO</t>
  </si>
  <si>
    <t>Consig./Curico/TODAS/OTRAS MARCAS</t>
  </si>
  <si>
    <t>CONSIG/CURIC/TODAS</t>
  </si>
  <si>
    <t>VALN06CUDC</t>
  </si>
  <si>
    <t>Consig./Curico/DONG FENG (DFAC)</t>
  </si>
  <si>
    <t>CONSIG/CURIC/DFAC</t>
  </si>
  <si>
    <t>VALN06PMDV</t>
  </si>
  <si>
    <t>Consig./Puerto Montt/DONG FENG (DFCV)</t>
  </si>
  <si>
    <t>CONSIG/PTMONT/DFCV</t>
  </si>
  <si>
    <t>VALN06PMFW</t>
  </si>
  <si>
    <t>Consig./Puerto Montt/FAW</t>
  </si>
  <si>
    <t>CONSIG/PTMONT/FAW</t>
  </si>
  <si>
    <t>VALN06PMIN</t>
  </si>
  <si>
    <t>Consig./Puerto Montt/INTERNATIONAL</t>
  </si>
  <si>
    <t>CONSIG/PTMONT/INT</t>
  </si>
  <si>
    <t>VALN06PMOO</t>
  </si>
  <si>
    <t>Consig./Puerto Montt/TODAS/OTRAS MARCAS</t>
  </si>
  <si>
    <t>CONSIG/PTMONT/TODAS</t>
  </si>
  <si>
    <t>VALN06PMDC</t>
  </si>
  <si>
    <t>Consig./Puerto Montt/DONG FENG (DFAC)</t>
  </si>
  <si>
    <t>CONSIG/PTMONT/DFAC</t>
  </si>
  <si>
    <t>VALN06QCDV</t>
  </si>
  <si>
    <t>Consig./Quilicura/DONG FENG (DFCV)</t>
  </si>
  <si>
    <t>CONSIG/QUILI/DFCV</t>
  </si>
  <si>
    <t>VALN06QCFW</t>
  </si>
  <si>
    <t>Consig./Quilicura/FAW</t>
  </si>
  <si>
    <t>CONSIG/QUILI/FAW</t>
  </si>
  <si>
    <t>VALN06QCIN</t>
  </si>
  <si>
    <t>Consig./Quilicura/INTERNATIONAL</t>
  </si>
  <si>
    <t>CONSIG/QUILI/INT</t>
  </si>
  <si>
    <t>VALN06QCOO</t>
  </si>
  <si>
    <t>Consig./Quilicura/TODAS/OTRAS MARCAS</t>
  </si>
  <si>
    <t>CONSIG/QUILI/TODAS</t>
  </si>
  <si>
    <t>VALN06QCDC</t>
  </si>
  <si>
    <t>Consig./Quilicura/DONG FENG (DFAC)</t>
  </si>
  <si>
    <t>CONSIG/QUILI/DFAC</t>
  </si>
  <si>
    <t>VALN06TADV</t>
  </si>
  <si>
    <t>Consig./Talcahuano/DONG FENG (DFCV)</t>
  </si>
  <si>
    <t>CONSIG/TALCHU/DFCV</t>
  </si>
  <si>
    <t>VALN06TAFW</t>
  </si>
  <si>
    <t>Consig./Talcahuano/FAW</t>
  </si>
  <si>
    <t>CONSIG/TALCHU/FAW</t>
  </si>
  <si>
    <t>VALN06TAIN</t>
  </si>
  <si>
    <t>Consig./Talcahuano/INTERNATIONAL</t>
  </si>
  <si>
    <t>CONSIG/TALCHU/INT</t>
  </si>
  <si>
    <t>VALN06TAOO</t>
  </si>
  <si>
    <t>Consig./Talcahuano/TODAS/OTRAS MARCAS</t>
  </si>
  <si>
    <t>CONSIG/TALCHU/TODAS</t>
  </si>
  <si>
    <t>VALN06TADC</t>
  </si>
  <si>
    <t>Consig./Talcahuano/DONG FENG (DFAC)</t>
  </si>
  <si>
    <t>CONSIG/TALCHU/DFAC</t>
  </si>
  <si>
    <t>VALN06TEDV</t>
  </si>
  <si>
    <t>Consig./Temuco/DONG FENG (DFCV)</t>
  </si>
  <si>
    <t>CONSIG/TEMU/DFCV</t>
  </si>
  <si>
    <t>VALN06TEFW</t>
  </si>
  <si>
    <t>Consig./Temuco/FAW</t>
  </si>
  <si>
    <t>CONSIG/TEMU/FAW</t>
  </si>
  <si>
    <t>VALN06TEIN</t>
  </si>
  <si>
    <t>Consig./Temuco/INTERNATIONAL</t>
  </si>
  <si>
    <t>CONSIG/TEMU/INT</t>
  </si>
  <si>
    <t>VALN06TEOO</t>
  </si>
  <si>
    <t>Consig./Temuco/TODAS/OTRAS MARCAS</t>
  </si>
  <si>
    <t>CONSIG/TEMU/TODAS</t>
  </si>
  <si>
    <t>VALN06TEDC</t>
  </si>
  <si>
    <t>Consig./Temuco/DONG FENG (DFAC)</t>
  </si>
  <si>
    <t>CONSIG/TEMU/DFAC</t>
  </si>
  <si>
    <t>VALN05ANDV</t>
  </si>
  <si>
    <t>Usado,AF./Antofagasta/DONG FENG (DFCV)</t>
  </si>
  <si>
    <t>USADOS/ANTOF/DFCV</t>
  </si>
  <si>
    <t>VALN05ANFW</t>
  </si>
  <si>
    <t>Usado,AF./Antofagasta/FAW</t>
  </si>
  <si>
    <t>USADOS/ANTOF/FAW</t>
  </si>
  <si>
    <t>VALN05ANIN</t>
  </si>
  <si>
    <t>Usado,AF./Antofagasta/INTERNATIONAL</t>
  </si>
  <si>
    <t>USADOS/ANTOF/INT</t>
  </si>
  <si>
    <t>VALN05ANOO</t>
  </si>
  <si>
    <t>Usado,AF./Antofagasta/TODAS/OTRAS MARCAS</t>
  </si>
  <si>
    <t>USADOS/ANTOF/TODAS</t>
  </si>
  <si>
    <t>VALN05ANDC</t>
  </si>
  <si>
    <t>Usado,AF./Antofagasta/DONG FENG (DFAC)</t>
  </si>
  <si>
    <t>USADOS/ANTOF/DFAC</t>
  </si>
  <si>
    <t>VALN05CADV</t>
  </si>
  <si>
    <t>Usado,AF./Calama/DONG FENG (DFCV)</t>
  </si>
  <si>
    <t>USADOS/CALAM/DFCV</t>
  </si>
  <si>
    <t>VALN05CAFW</t>
  </si>
  <si>
    <t>Usado,AF./Calama/FAW</t>
  </si>
  <si>
    <t>USADOS/CALAM/FAW</t>
  </si>
  <si>
    <t>VALN05CAIN</t>
  </si>
  <si>
    <t>Usado,AF./Calama/INTERNATIONAL</t>
  </si>
  <si>
    <t>USADOS/CALAM/INT</t>
  </si>
  <si>
    <t>VALN05CAOO</t>
  </si>
  <si>
    <t>Usado,AF./Calama/TODAS/OTRAS MARCAS</t>
  </si>
  <si>
    <t>USADOS/CALAM/TODAS</t>
  </si>
  <si>
    <t>VALN05CADC</t>
  </si>
  <si>
    <t>Usado,AF./Calama/DONG FENG (DFAC)</t>
  </si>
  <si>
    <t>USADOS/CALAM/DFAC</t>
  </si>
  <si>
    <t>VALN05CUDV</t>
  </si>
  <si>
    <t>Usado,AF./Curico/DONG FENG (DFCV)</t>
  </si>
  <si>
    <t>USADOS/CURIC/DFCV</t>
  </si>
  <si>
    <t>VALN05CUFW</t>
  </si>
  <si>
    <t>Usado,AF./Curico/FAW</t>
  </si>
  <si>
    <t>USADOS/CURIC/FAW</t>
  </si>
  <si>
    <t>VALN05CUIN</t>
  </si>
  <si>
    <t>Usado,AF./Curico/INTERNATIONAL</t>
  </si>
  <si>
    <t>USADOS/CURIC/INT</t>
  </si>
  <si>
    <t>VALN05CUOO</t>
  </si>
  <si>
    <t>Usado,AF./Curico/TODAS/OTRAS MARCAS</t>
  </si>
  <si>
    <t>USADOS/CURIC/TODAS</t>
  </si>
  <si>
    <t>VALN05CUDC</t>
  </si>
  <si>
    <t>Usado,AF./Curico/DONG FENG (DFAC)</t>
  </si>
  <si>
    <t>USADOS/CURIC/DFAC</t>
  </si>
  <si>
    <t>VALN05PMDV</t>
  </si>
  <si>
    <t>Usado,AF./Puerto Montt/DONG FENG (DFCV)</t>
  </si>
  <si>
    <t>USADOS/PTMONT/DFCV</t>
  </si>
  <si>
    <t>VALN05PMFW</t>
  </si>
  <si>
    <t>Usado,AF./Puerto Montt/FAW</t>
  </si>
  <si>
    <t>USADOS/PTMONT/FAW</t>
  </si>
  <si>
    <t>VALN05PMIN</t>
  </si>
  <si>
    <t>Usado,AF./Puerto Montt/INTERNATIONAL</t>
  </si>
  <si>
    <t>USADOS/PTMONT/INT</t>
  </si>
  <si>
    <t>VALN05PMOO</t>
  </si>
  <si>
    <t>Usado,AF/Puerto Montt/TODAS/OTRAS MARCAS</t>
  </si>
  <si>
    <t>USADOS/PTMONT/TODAS</t>
  </si>
  <si>
    <t>VALN05PMDC</t>
  </si>
  <si>
    <t>Usado,AF./Puerto Montt/DONG FENG (DFAC)</t>
  </si>
  <si>
    <t>USADOS/PTMONT/DFAC</t>
  </si>
  <si>
    <t>VALN05QCDV</t>
  </si>
  <si>
    <t>Usado,AF./Quilicura/DONG FENG (DFCV)</t>
  </si>
  <si>
    <t>USADOS/QUILI/DFCV</t>
  </si>
  <si>
    <t>VALN05QCFW</t>
  </si>
  <si>
    <t>Usado,AF./Quilicura/FAW</t>
  </si>
  <si>
    <t>VALN05QCIN</t>
  </si>
  <si>
    <t>Usado,AF./Quilicura/INTERNATIONAL</t>
  </si>
  <si>
    <t>USADOS/QUILI/INT</t>
  </si>
  <si>
    <t>VALN05QCOO</t>
  </si>
  <si>
    <t>Usado,AF./Quilicura/TODAS/OTRAS MARCAS</t>
  </si>
  <si>
    <t>VALN05QCDC</t>
  </si>
  <si>
    <t>Usado,AF./Quilicura/DONG FENG (DFAC)</t>
  </si>
  <si>
    <t>VALN05TADV</t>
  </si>
  <si>
    <t>Usado,AF./Talcahuano/DONG FENG (DFCV)</t>
  </si>
  <si>
    <t>USADOS/TALCHU/DFCV</t>
  </si>
  <si>
    <t>VALN05TAFW</t>
  </si>
  <si>
    <t>Usado,AF./Talcahuano/FAW</t>
  </si>
  <si>
    <t>USADOS/TALCHU/FAW</t>
  </si>
  <si>
    <t>VALN05TAIN</t>
  </si>
  <si>
    <t>Usado,AF./Talcahuano/INTERNATIONAL</t>
  </si>
  <si>
    <t>USADOS/TALCHU/INT</t>
  </si>
  <si>
    <t>VALN05TAOO</t>
  </si>
  <si>
    <t>Usado,AF./Talcahuano/TODAS/OTRAS MARCAS</t>
  </si>
  <si>
    <t>USADOS/TALCHU/TODAS</t>
  </si>
  <si>
    <t>VALN05TADC</t>
  </si>
  <si>
    <t>Usado,AF./Talcahuano/DONG FENG (DFAC)</t>
  </si>
  <si>
    <t>USADOS/TALCHU/DFAC</t>
  </si>
  <si>
    <t>VALN05TEDV</t>
  </si>
  <si>
    <t>Usado,AF./Temuco/DONG FENG (DFCV)</t>
  </si>
  <si>
    <t>USADOS/TEMU/DFCV</t>
  </si>
  <si>
    <t>VALN05TEFW</t>
  </si>
  <si>
    <t>Usado,AF./Temuco/FAW</t>
  </si>
  <si>
    <t>USADOS/TEMU/FAW</t>
  </si>
  <si>
    <t>VALN05TEIN</t>
  </si>
  <si>
    <t>Usado,AF./Temuco/INTERNATIONAL</t>
  </si>
  <si>
    <t>USADOS/TEMU/INT</t>
  </si>
  <si>
    <t>VALN05TEOO</t>
  </si>
  <si>
    <t>Usado,AF./Temuco/TODAS/OTRAS MARCAS</t>
  </si>
  <si>
    <t>USADOS/TEMU/TODAS</t>
  </si>
  <si>
    <t>VALN05TEDC</t>
  </si>
  <si>
    <t>Usado,AF./Temuco/DONG FENG (DFAC)</t>
  </si>
  <si>
    <t>USADOS/TEMU/DFAC</t>
  </si>
  <si>
    <t>VALN03ANDV</t>
  </si>
  <si>
    <t>Rpto./Antofagasta/DONG FENG (DFCV)</t>
  </si>
  <si>
    <t>RPTO/ANTOF/DFCV</t>
  </si>
  <si>
    <t>VALN03ANFW</t>
  </si>
  <si>
    <t>Rpto./Antofagasta/FAW</t>
  </si>
  <si>
    <t>RPTO/ANTOF/FAW</t>
  </si>
  <si>
    <t>VALN03ANIN</t>
  </si>
  <si>
    <t>Rpto./Antofagasta/INTERNATIONAL</t>
  </si>
  <si>
    <t>RPTO/ANTOF/INT</t>
  </si>
  <si>
    <t>VALN03ANOO</t>
  </si>
  <si>
    <t>Rpto./Antofagasta/TODAS/OTRAS MARCAS</t>
  </si>
  <si>
    <t>RPTO/ANTOF/TODAS</t>
  </si>
  <si>
    <t>VALN03ANDC</t>
  </si>
  <si>
    <t>Rpto./Antofagasta/DONG FENG (DFAC)</t>
  </si>
  <si>
    <t>RPTO/ANTOF/DFAC</t>
  </si>
  <si>
    <t>VALN03CADV</t>
  </si>
  <si>
    <t>Rpto./Calama/DONG FENG (DFCV)</t>
  </si>
  <si>
    <t>RPTO/CALAM/DFCV</t>
  </si>
  <si>
    <t>VALN03CAFW</t>
  </si>
  <si>
    <t>Rpto./Calama/FAW</t>
  </si>
  <si>
    <t>RPTO/CALAM/FAW</t>
  </si>
  <si>
    <t>VALN03CAIN</t>
  </si>
  <si>
    <t>Rpto./Calama/INTERNATIONAL</t>
  </si>
  <si>
    <t>RPTO/CALAM/INT</t>
  </si>
  <si>
    <t>VALN03CAOO</t>
  </si>
  <si>
    <t>Rpto./Calama/TODAS/OTRAS MARCAS</t>
  </si>
  <si>
    <t>RPTO/CALAM/TODAS</t>
  </si>
  <si>
    <t>VALN03CADC</t>
  </si>
  <si>
    <t>Rpto./Calama/DONG FENG (DFAC)</t>
  </si>
  <si>
    <t>RPTO/CALAM/DFAC</t>
  </si>
  <si>
    <t>VALN03CUDV</t>
  </si>
  <si>
    <t>Rpto./Curico/DONG FENG (DFCV)</t>
  </si>
  <si>
    <t>RPTO/CURIC/DFCV</t>
  </si>
  <si>
    <t>VALN03CUFW</t>
  </si>
  <si>
    <t>Rpto./Curico/FAW</t>
  </si>
  <si>
    <t>RPTO/CURIC/FAW</t>
  </si>
  <si>
    <t>VALN03CUIN</t>
  </si>
  <si>
    <t>Rpto./Curico/INTERNATIONAL</t>
  </si>
  <si>
    <t>RPTO/CURIC/INT</t>
  </si>
  <si>
    <t>VALN03CUOO</t>
  </si>
  <si>
    <t>Rpto./Curico/TODAS/OTRAS MARCAS</t>
  </si>
  <si>
    <t>RPTO/CURIC/TODAS</t>
  </si>
  <si>
    <t>VALN03CUDC</t>
  </si>
  <si>
    <t>Rpto./Curico/DONG FENG (DFAC)</t>
  </si>
  <si>
    <t>RPTO/CURIC/DFAC</t>
  </si>
  <si>
    <t>VALN03PMDV</t>
  </si>
  <si>
    <t>Rpto./Puerto Montt/DONG FENG (DFCV)</t>
  </si>
  <si>
    <t>RPTO/PTMONT/DFCV</t>
  </si>
  <si>
    <t>VALN03PMFW</t>
  </si>
  <si>
    <t>Rpto./Puerto Montt/FAW</t>
  </si>
  <si>
    <t>RPTO/PTMONT/FAW</t>
  </si>
  <si>
    <t>VALN03PMIN</t>
  </si>
  <si>
    <t>Rpto./Puerto Montt/INTERNATIONAL</t>
  </si>
  <si>
    <t>RPTO/PTMONT/INT</t>
  </si>
  <si>
    <t>VALN03PMOO</t>
  </si>
  <si>
    <t>Rpto./Puerto Montt/TODAS/OTRAS MARCAS</t>
  </si>
  <si>
    <t>RPTO/PTMONT/TODAS</t>
  </si>
  <si>
    <t>VALN03PMDC</t>
  </si>
  <si>
    <t>Rpto./Puerto Montt/DONG FENG (DFAC)</t>
  </si>
  <si>
    <t>RPTO/PTMONT/DFAC</t>
  </si>
  <si>
    <t>VALN03QCDV</t>
  </si>
  <si>
    <t>Rpto./Quilicura/DONG FENG (DFCV)</t>
  </si>
  <si>
    <t>RPTO/QUILI/DFCV</t>
  </si>
  <si>
    <t>VALN03QCFW</t>
  </si>
  <si>
    <t>VALN03QCIN</t>
  </si>
  <si>
    <t>Rpto./Quilicura/INTERNATIONAL</t>
  </si>
  <si>
    <t>RPTO/QUILI/INT</t>
  </si>
  <si>
    <t>VALN03QCOO</t>
  </si>
  <si>
    <t>VALN03QCDC</t>
  </si>
  <si>
    <t>VALN03TADV</t>
  </si>
  <si>
    <t>Rpto./Talcahuano/DONG FENG (DFCV)</t>
  </si>
  <si>
    <t>RPTO/TALCHU/DFCV</t>
  </si>
  <si>
    <t>VALN03TAFW</t>
  </si>
  <si>
    <t>Rpto./Talcahuano/FAW</t>
  </si>
  <si>
    <t>RPTO/TALCHU/FAW</t>
  </si>
  <si>
    <t>VALN03TAIN</t>
  </si>
  <si>
    <t>Rpto./Talcahuano/INTERNATIONAL</t>
  </si>
  <si>
    <t>RPTO/TALCHU/INT</t>
  </si>
  <si>
    <t>VALN03TAOO</t>
  </si>
  <si>
    <t>Rpto./Talcahuano/TODAS/OTRAS MARCAS</t>
  </si>
  <si>
    <t>RPTO/TALCHU/TODAS</t>
  </si>
  <si>
    <t>VALN03TADC</t>
  </si>
  <si>
    <t>Rpto./Talcahuano/DONG FENG (DFAC)</t>
  </si>
  <si>
    <t>RPTO/TALCHU/DFAC</t>
  </si>
  <si>
    <t>VALN03TEDV</t>
  </si>
  <si>
    <t>Rpto./Temuco/DONG FENG (DFCV)</t>
  </si>
  <si>
    <t>RPTO/TEMU/DFCV</t>
  </si>
  <si>
    <t>VALN03TEFW</t>
  </si>
  <si>
    <t>Rpto./Temuco/FAW</t>
  </si>
  <si>
    <t>RPTO/TEMU/FAW</t>
  </si>
  <si>
    <t>VALN03TEIN</t>
  </si>
  <si>
    <t>Rpto./Temuco/INTERNATIONAL</t>
  </si>
  <si>
    <t>RPTO/TEMU/INT</t>
  </si>
  <si>
    <t>VALN03TEOO</t>
  </si>
  <si>
    <t>Rpto./Temuco/TODAS/OTRAS MARCAS</t>
  </si>
  <si>
    <t>RPTO/TEMU/TODAS</t>
  </si>
  <si>
    <t>VALN03TEDC</t>
  </si>
  <si>
    <t>Rpto./Temuco/DONG FENG (DFAC)</t>
  </si>
  <si>
    <t>RPTO/TEMU/DFAC</t>
  </si>
  <si>
    <t>Venta Servicio</t>
  </si>
  <si>
    <t>VALN04ANDV</t>
  </si>
  <si>
    <t>Servicio/Antofagasta/DONG FENG (DFCV)</t>
  </si>
  <si>
    <t>SERV/ANTOF/DFCV</t>
  </si>
  <si>
    <t>VALN04ANFW</t>
  </si>
  <si>
    <t>Servicio/Antofagasta/FAW</t>
  </si>
  <si>
    <t>SERV/ANTOF/FAW</t>
  </si>
  <si>
    <t>VALN04ANIN</t>
  </si>
  <si>
    <t>Servicio/Antofagasta/INTERNATIONAL</t>
  </si>
  <si>
    <t>SERV/ANTOF/INT</t>
  </si>
  <si>
    <t>VALN04ANOO</t>
  </si>
  <si>
    <t>Servicio/Antofagasta/TODAS/OTRAS MARCAS</t>
  </si>
  <si>
    <t>SERV/ANTOF/TODAS</t>
  </si>
  <si>
    <t>VALN04ANDC</t>
  </si>
  <si>
    <t>Servicio/Antofagasta/DONG FENG (DFAC)</t>
  </si>
  <si>
    <t>SERV/ANTOF/DFAC</t>
  </si>
  <si>
    <t>VALN04CADV</t>
  </si>
  <si>
    <t>Servicio/Calama/DONG FENG (DFCV)</t>
  </si>
  <si>
    <t>SERV/CALAM/DFCV</t>
  </si>
  <si>
    <t>VALN04CAFW</t>
  </si>
  <si>
    <t>Servicio/Calama/FAW</t>
  </si>
  <si>
    <t>SERV/CALAM/FAW</t>
  </si>
  <si>
    <t>VALN04CAIN</t>
  </si>
  <si>
    <t>Servicio/Calama/INTERNATIONAL</t>
  </si>
  <si>
    <t>SERV/CALAM/INT</t>
  </si>
  <si>
    <t>VALN04CAOO</t>
  </si>
  <si>
    <t>Servicio/Calama/TODAS/OTRAS MARCAS</t>
  </si>
  <si>
    <t>SERV/CALAM/TODAS</t>
  </si>
  <si>
    <t>VALN04CADC</t>
  </si>
  <si>
    <t>Servicio/Calama/DONG FENG (DFAC)</t>
  </si>
  <si>
    <t>SERV/CALAM/DFAC</t>
  </si>
  <si>
    <t>VALN04CUDV</t>
  </si>
  <si>
    <t>Servicio/Curico/DONG FENG (DFCV)</t>
  </si>
  <si>
    <t>SERV/CURIC/DFCV</t>
  </si>
  <si>
    <t>VALN04CUFW</t>
  </si>
  <si>
    <t>Servicio/Curico/FAW</t>
  </si>
  <si>
    <t>SERV/CURIC/FAW</t>
  </si>
  <si>
    <t>VALN04CUIN</t>
  </si>
  <si>
    <t>Servicio/Curico/INTERNATIONAL</t>
  </si>
  <si>
    <t>SERV/CURIC/INT</t>
  </si>
  <si>
    <t>VALN04CUOO</t>
  </si>
  <si>
    <t>Servicio/Curico/TODAS/OTRAS MARCAS</t>
  </si>
  <si>
    <t>SERV/CURIC/TODAS</t>
  </si>
  <si>
    <t>VALN04CUDC</t>
  </si>
  <si>
    <t>Servicio/Curico/DONG FENG (DFAC)</t>
  </si>
  <si>
    <t>SERV/CURIC/DFAC</t>
  </si>
  <si>
    <t>VALN04PMDV</t>
  </si>
  <si>
    <t>Servicio/Puerto Montt/DONG FENG (DFCV)</t>
  </si>
  <si>
    <t>SERV/PTMONT/DFCV</t>
  </si>
  <si>
    <t>VALN04PMFW</t>
  </si>
  <si>
    <t>Servicio/Puerto Montt/FAW</t>
  </si>
  <si>
    <t>SERV/PTMONT/FAW</t>
  </si>
  <si>
    <t>VALN04PMIN</t>
  </si>
  <si>
    <t>Servicio/Puerto Montt/INTERNATIONAL</t>
  </si>
  <si>
    <t>SERV/PTMONT/INT</t>
  </si>
  <si>
    <t>VALN04PMOO</t>
  </si>
  <si>
    <t>Servicio/Puerto Montt/TODAS/OTRAS MARCAS</t>
  </si>
  <si>
    <t>SERV/PTMONT/TODAS</t>
  </si>
  <si>
    <t>VALN04PMDC</t>
  </si>
  <si>
    <t>Servicio/Puerto Montt/DONG FENG (DFAC)</t>
  </si>
  <si>
    <t>SERV/PTMONT/DFAC</t>
  </si>
  <si>
    <t>VALN04QCDV</t>
  </si>
  <si>
    <t>Servicio/Quilicura/DONG FENG (DFCV)</t>
  </si>
  <si>
    <t>SERV/QUILI/DFCV</t>
  </si>
  <si>
    <t>VALN04QCFW</t>
  </si>
  <si>
    <t>Servicio/Quilicura/FAW</t>
  </si>
  <si>
    <t>SERV/QUILI/FAW</t>
  </si>
  <si>
    <t>VALN04QCIN</t>
  </si>
  <si>
    <t>Servicio/Quilicura/INTERNATIONAL</t>
  </si>
  <si>
    <t>SERV/QUILI/INT</t>
  </si>
  <si>
    <t>VALN04QCOO</t>
  </si>
  <si>
    <t>Servicio/Quilicura/TODAS/OTRAS MARCAS</t>
  </si>
  <si>
    <t>SERV/QUILI/TODAS</t>
  </si>
  <si>
    <t>VALN04QCDC</t>
  </si>
  <si>
    <t>Servicio/Quilicura/DONG FENG (DFAC)</t>
  </si>
  <si>
    <t>SERV/QUILI/DFAC</t>
  </si>
  <si>
    <t>VALN04TADV</t>
  </si>
  <si>
    <t>Servicio/Talcahuano/DONG FENG (DFCV)</t>
  </si>
  <si>
    <t>SERV/TALCHU/DFCV</t>
  </si>
  <si>
    <t>VALN04TAFW</t>
  </si>
  <si>
    <t>Servicio/Talcahuano/FAW</t>
  </si>
  <si>
    <t>SERV/TALCHU/FAW</t>
  </si>
  <si>
    <t>VALN04TAIN</t>
  </si>
  <si>
    <t>Servicio/Talcahuano/INTERNATIONAL</t>
  </si>
  <si>
    <t>SERV/TALCHU/INT</t>
  </si>
  <si>
    <t>VALN04TAOO</t>
  </si>
  <si>
    <t>Servicio/Talcahuano/TODAS/OTRAS MARCAS</t>
  </si>
  <si>
    <t>SERV/TALCHU/TODAS</t>
  </si>
  <si>
    <t>VALN04TADC</t>
  </si>
  <si>
    <t>Servicio/Talcahuano/DONG FENG (DFAC)</t>
  </si>
  <si>
    <t>SERV/TALCHU/DFAC</t>
  </si>
  <si>
    <t>VALN04TEDV</t>
  </si>
  <si>
    <t>Servicio/Temuco/DONG FENG (DFCV)</t>
  </si>
  <si>
    <t>SERV/TEMU/DFCV</t>
  </si>
  <si>
    <t>VALN04TEFW</t>
  </si>
  <si>
    <t>Servicio/Temuco/FAW</t>
  </si>
  <si>
    <t>SERV/TEMU/FAW</t>
  </si>
  <si>
    <t>VALN04TEIN</t>
  </si>
  <si>
    <t>Servicio/Temuco/INTERNATIONAL</t>
  </si>
  <si>
    <t>SERV/TEMU/INT</t>
  </si>
  <si>
    <t>VALN04TEOO</t>
  </si>
  <si>
    <t>Servicio/Temuco/TODAS/OTRAS MARCAS</t>
  </si>
  <si>
    <t>SERV/TEMU/TODAS</t>
  </si>
  <si>
    <t>VALN04TEDC</t>
  </si>
  <si>
    <t>Servicio/Temuco/DONG FENG (DFAC)</t>
  </si>
  <si>
    <t>SERV/TEMU/DFAC</t>
  </si>
  <si>
    <t>VALN02ANDV</t>
  </si>
  <si>
    <t>Electromovilidad/Antofa/DONG FENG (DFCV)</t>
  </si>
  <si>
    <t>ELECTM/ANTOF/DFCV</t>
  </si>
  <si>
    <t>VALN02ANFW</t>
  </si>
  <si>
    <t>Electromovilidad/Antofagasta/FAW</t>
  </si>
  <si>
    <t>ELECTM/ANTOF/FAW</t>
  </si>
  <si>
    <t>VALN02ANDC</t>
  </si>
  <si>
    <t>Electromov/Antofagasta/DONG FENG (DFAC)</t>
  </si>
  <si>
    <t>ELECTM/ANTOF/DFAC</t>
  </si>
  <si>
    <t>VALN02CADV</t>
  </si>
  <si>
    <t>Electromovilidad/Calama/DONG FENG (DFCV)</t>
  </si>
  <si>
    <t>ELECTM/CALAM/DFCV</t>
  </si>
  <si>
    <t>VALN02CAFW</t>
  </si>
  <si>
    <t>Electromovilidad/Calama/FAW</t>
  </si>
  <si>
    <t>ELECTM/CALAM/FAW</t>
  </si>
  <si>
    <t>VALN02CADC</t>
  </si>
  <si>
    <t>Electromovilidad/Calama/DONG FENG (DFAC)</t>
  </si>
  <si>
    <t>ELECTM/CALAM/DFAC</t>
  </si>
  <si>
    <t>VALN02CUDV</t>
  </si>
  <si>
    <t>Electromovilidad/Curico/DONG FENG (DFCV)</t>
  </si>
  <si>
    <t>ELECTM/CURIC/DFCV</t>
  </si>
  <si>
    <t>VALN02CUFW</t>
  </si>
  <si>
    <t>Electromovilidad/Curico/FAW</t>
  </si>
  <si>
    <t>ELECTM/CURIC/FAW</t>
  </si>
  <si>
    <t>VALN02CUDC</t>
  </si>
  <si>
    <t>Electromovilidad/Curico/DONG FENG (DFAC)</t>
  </si>
  <si>
    <t>ELECTM/CURIC/DFAC</t>
  </si>
  <si>
    <t>VALN02PMDV</t>
  </si>
  <si>
    <t>Electromov/Puerto Montt/DONG FENG (DFCV)</t>
  </si>
  <si>
    <t>ELECTM/PTMONT/DFCV</t>
  </si>
  <si>
    <t>VALN02PMFW</t>
  </si>
  <si>
    <t>Electromovilidad/Puerto Montt/FAW</t>
  </si>
  <si>
    <t>ELECTM/PTMONT/FAW</t>
  </si>
  <si>
    <t>VALN02PMDC</t>
  </si>
  <si>
    <t>Electromov/Puerto Montt/DONG FENG (DFAC)</t>
  </si>
  <si>
    <t>ELECTM/PTMONT/DFAC</t>
  </si>
  <si>
    <t>VALN02QCDV</t>
  </si>
  <si>
    <t>Electromov/Quilicura/DONG FENG (DFCV)</t>
  </si>
  <si>
    <t>ELECTM/QUILI/DFCV</t>
  </si>
  <si>
    <t>VALN02QCFW</t>
  </si>
  <si>
    <t>Electromovilidad/Quilicura/FAW</t>
  </si>
  <si>
    <t>ELECTM/QUILI/FAW</t>
  </si>
  <si>
    <t>VALN02QCDC</t>
  </si>
  <si>
    <t>Electromov/Quilicura/DONG FENG (DFAC)</t>
  </si>
  <si>
    <t>ELECTM/QUILI/DFAC</t>
  </si>
  <si>
    <t>VALN02TADV</t>
  </si>
  <si>
    <t>Electromov/Talcahuano/DONG FENG (DFCV)</t>
  </si>
  <si>
    <t>ELECTM/TALCHU/DFCV</t>
  </si>
  <si>
    <t>VALN02TAFW</t>
  </si>
  <si>
    <t>Electromovilidad/Talcahuano/FAW</t>
  </si>
  <si>
    <t>ELECTM/TALCHU/FAW</t>
  </si>
  <si>
    <t>VALN02TADC</t>
  </si>
  <si>
    <t>Electromov/Talcahuano/DONG FENG (DFAC)</t>
  </si>
  <si>
    <t>ELECTM/TALCHU/DFAC</t>
  </si>
  <si>
    <t>VALN02TEDV</t>
  </si>
  <si>
    <t>Electromovilidad/Temuco/DONG FENG (DFCV)</t>
  </si>
  <si>
    <t>ELECTM/TEMU/DFCV</t>
  </si>
  <si>
    <t>VALN02TEFW</t>
  </si>
  <si>
    <t>Electromovilidad/Temuco/FAW</t>
  </si>
  <si>
    <t>ELECTM/TEMU/FAW</t>
  </si>
  <si>
    <t>VALN02TEDC</t>
  </si>
  <si>
    <t>Electromovilidad/Temuco/DONG FENG (DFAC)</t>
  </si>
  <si>
    <t>ELECTM/TEMU/DFAC</t>
  </si>
  <si>
    <t>VALN01ANDV</t>
  </si>
  <si>
    <t>Vta.Uni./Antofagasta/DONG FENG (DFCV)</t>
  </si>
  <si>
    <t>VTA.UNID/ANTOF/DFCV</t>
  </si>
  <si>
    <t>VALN01ANFW</t>
  </si>
  <si>
    <t>Vta.Uni./Antofagasta/FAW</t>
  </si>
  <si>
    <t>VTA.UNID/ANTOF/FAW</t>
  </si>
  <si>
    <t>VALN01ANIN</t>
  </si>
  <si>
    <t>Vta.Uni./Antofagasta/INTERNATIONAL</t>
  </si>
  <si>
    <t>VTA.UNID/ANTOF/INT</t>
  </si>
  <si>
    <t>VALN01ANDC</t>
  </si>
  <si>
    <t>Vta.Uni./Antofagasta/DONG FENG (DFAC)</t>
  </si>
  <si>
    <t>VTA.UNID/ANTOF/DFAC</t>
  </si>
  <si>
    <t>VALN01CADV</t>
  </si>
  <si>
    <t>Vta.Uni./Calama/DONG FENG (DFCV)</t>
  </si>
  <si>
    <t>VTA.UNID/CALAM/DFCV</t>
  </si>
  <si>
    <t>VALN01CAFW</t>
  </si>
  <si>
    <t>Vta.Uni./Calama/FAW</t>
  </si>
  <si>
    <t>VTA.UNID/CALAM/FAW</t>
  </si>
  <si>
    <t>VALN01CAIN</t>
  </si>
  <si>
    <t>Vta.Uni./Calama/INTERNATIONAL</t>
  </si>
  <si>
    <t>VTA.UNID/CALAM/INT</t>
  </si>
  <si>
    <t>VALN01CADC</t>
  </si>
  <si>
    <t>Vta.Uni./Calama/DONG FENG (DFAC)</t>
  </si>
  <si>
    <t>VTA.UNID/CALAM/DFAC</t>
  </si>
  <si>
    <t>VALN01CUDV</t>
  </si>
  <si>
    <t>Vta.Uni./Curico/DONG FENG (DFCV)</t>
  </si>
  <si>
    <t>VTA.UNID/CURIC/DFCV</t>
  </si>
  <si>
    <t>VALN01CUFW</t>
  </si>
  <si>
    <t>Vta.Uni./Curico/FAW</t>
  </si>
  <si>
    <t>VTA.UNID/CURIC/FAW</t>
  </si>
  <si>
    <t>VALN01CUIN</t>
  </si>
  <si>
    <t>Vta.Uni./Curico/INTERNATIONAL</t>
  </si>
  <si>
    <t>VTA.UNID/CURIC/INT</t>
  </si>
  <si>
    <t>VALN01CUDC</t>
  </si>
  <si>
    <t>Vta.Uni./Curico/DONG FENG (DFAC)</t>
  </si>
  <si>
    <t>VTA.UNID/CURIC/DFAC</t>
  </si>
  <si>
    <t>VALN01PMDV</t>
  </si>
  <si>
    <t>Vta.Uni./Puerto Montt/DONG FENG (DFCV)</t>
  </si>
  <si>
    <t>VTA.UNID/PTMONT/DFCV</t>
  </si>
  <si>
    <t>VALN01PMFW</t>
  </si>
  <si>
    <t>Vta.Uni./Puerto Montt/FAW</t>
  </si>
  <si>
    <t>VTA.UNID/PTMONT/FAW</t>
  </si>
  <si>
    <t>VALN01PMIN</t>
  </si>
  <si>
    <t>Vta.Uni./Puerto Montt/INTERNATIONAL</t>
  </si>
  <si>
    <t>VTA.UNID/PTMONT/INT</t>
  </si>
  <si>
    <t>VALN01PMDC</t>
  </si>
  <si>
    <t>Vta.Uni./Puerto Montt/DONG FENG (DFAC)</t>
  </si>
  <si>
    <t>VTA.UNID/PTMONT/DFAC</t>
  </si>
  <si>
    <t>VALN01QCDV</t>
  </si>
  <si>
    <t>Vta.Uni./Quilicura/DONG FENG (DFCV)</t>
  </si>
  <si>
    <t>VTA.UNID/QUILI/DFCV</t>
  </si>
  <si>
    <t>VALN01QCFW</t>
  </si>
  <si>
    <t>Vta.Uni./Quilicura/FAW</t>
  </si>
  <si>
    <t>VTA.UNID/QUILI/FAW</t>
  </si>
  <si>
    <t>VALN01QCIN</t>
  </si>
  <si>
    <t>Vta.Uni./Quilicura/INTERNATIONAL</t>
  </si>
  <si>
    <t>VTA.UNID/QUILI/INT</t>
  </si>
  <si>
    <t>VALN01QCDC</t>
  </si>
  <si>
    <t>Vta.Uni./Quilicura/DONG FENG (DFAC)</t>
  </si>
  <si>
    <t>VTA.UNID/QUILI/DFAC</t>
  </si>
  <si>
    <t>VALN01TADV</t>
  </si>
  <si>
    <t>Vta.Uni./Talcahuano/DONG FENG (DFCV)</t>
  </si>
  <si>
    <t>VTA.UNID/TALCHU/DFCV</t>
  </si>
  <si>
    <t>VALN01TAFW</t>
  </si>
  <si>
    <t>Vta.Uni./Talcahuano/FAW</t>
  </si>
  <si>
    <t>VTA.UNID/TALCHU/FAW</t>
  </si>
  <si>
    <t>VALN01TAIN</t>
  </si>
  <si>
    <t>Vta.Uni./Talcahuano/INTERNATIONAL</t>
  </si>
  <si>
    <t>VTA.UNID/TALCHU/INT</t>
  </si>
  <si>
    <t>VALN01TADC</t>
  </si>
  <si>
    <t>Vta.Uni./Talcahuano/DONG FENG (DFAC)</t>
  </si>
  <si>
    <t>VTA.UNID/TALCHU/DFAC</t>
  </si>
  <si>
    <t>VALN01TEDV</t>
  </si>
  <si>
    <t>Vta.Uni./Temuco/DONG FENG (DFCV)</t>
  </si>
  <si>
    <t>VTA.UNID/TEMU/DFCV</t>
  </si>
  <si>
    <t>VALN01TEFW</t>
  </si>
  <si>
    <t>Vta.Uni./Temuco/FAW</t>
  </si>
  <si>
    <t>VTA.UNID/TEMU/FAW</t>
  </si>
  <si>
    <t>VALN01TEIN</t>
  </si>
  <si>
    <t>Vta.Uni./Temuco/INTERNATIONAL</t>
  </si>
  <si>
    <t>VTA.UNID/TEMU/INT</t>
  </si>
  <si>
    <t>VALN01TEDC</t>
  </si>
  <si>
    <t>Vta.Uni./Temuco/DONG FENG (DFAC)</t>
  </si>
  <si>
    <t>VTA.UNID/TEMU/DFAC</t>
  </si>
  <si>
    <t>VCLN03ANHY</t>
  </si>
  <si>
    <t>Venta Repuesto/Antofagasta/HYSTER</t>
  </si>
  <si>
    <t>RPTO/ANTOF/HYSTR</t>
  </si>
  <si>
    <t>VCLN04ANHY</t>
  </si>
  <si>
    <t>Venta Servicio/Antofagasta/HYSTER</t>
  </si>
  <si>
    <t>SERV/ANTOF/HYSTR</t>
  </si>
  <si>
    <t>Rental Gruas</t>
  </si>
  <si>
    <t>VCLN72ANHY</t>
  </si>
  <si>
    <t>Rental Gruas/Antofagasta/HYSTER</t>
  </si>
  <si>
    <t>RNTGRUA/ANTOF/HYSTR</t>
  </si>
  <si>
    <t>VCLN05ANHY</t>
  </si>
  <si>
    <t>Usados, Retoma, y AF/Antofagasta/HYSTER</t>
  </si>
  <si>
    <t>USADOS/ANTOF/HYSTR</t>
  </si>
  <si>
    <t>VCLN03QCHY</t>
  </si>
  <si>
    <t>Venta Repuesto/Quilicura/HYSTER</t>
  </si>
  <si>
    <t>RPTO/QUILI/HYSTR</t>
  </si>
  <si>
    <t>VCLN04QCHY</t>
  </si>
  <si>
    <t>Venta Servicio/Quilicura/HYSTER</t>
  </si>
  <si>
    <t>SERV/QUILI/HYSTR</t>
  </si>
  <si>
    <t>VCLN72QCHY</t>
  </si>
  <si>
    <t>Rental Gruas/Quilicura/HYSTER</t>
  </si>
  <si>
    <t>RNTGRUA/QUILI/HYSTR</t>
  </si>
  <si>
    <t>VCLN05QCHY</t>
  </si>
  <si>
    <t>Usados, Retoma, y AF/Quilicura/HYSTER</t>
  </si>
  <si>
    <t>USADOS/QUILI/HYSTR</t>
  </si>
  <si>
    <t>VCLN03CUHY</t>
  </si>
  <si>
    <t>Venta Repuesto/Curico/HYSTER</t>
  </si>
  <si>
    <t>RPTO/CURIC/HYSTR</t>
  </si>
  <si>
    <t>VCLN04CUHY</t>
  </si>
  <si>
    <t>Venta Servicio/Curico/HYSTER</t>
  </si>
  <si>
    <t>SERV/CURIC/HYSTR</t>
  </si>
  <si>
    <t>VCLN72CUHY</t>
  </si>
  <si>
    <t>Rental Gruas/Curico/HYSTER</t>
  </si>
  <si>
    <t>RNTGRUA/CURIC/HYSTR</t>
  </si>
  <si>
    <t>VCLN05CUHY</t>
  </si>
  <si>
    <t>Usados, Retoma, y AF/Curico/HYSTER</t>
  </si>
  <si>
    <t>USADOS/CURIC/HYSTR</t>
  </si>
  <si>
    <t>VCLN03TAHY</t>
  </si>
  <si>
    <t>Venta Repuesto/Talcahuano/HYSTER</t>
  </si>
  <si>
    <t>RPTO/TALCHU/HYSTR</t>
  </si>
  <si>
    <t>VCLN04TAHY</t>
  </si>
  <si>
    <t>Venta Servicio/Talcahuano/HYSTER</t>
  </si>
  <si>
    <t>SERV/TALCHU/HYSTR</t>
  </si>
  <si>
    <t>VCLN72TAHY</t>
  </si>
  <si>
    <t>Rental Gruas/Talcahuano/HYSTER</t>
  </si>
  <si>
    <t>RNTGRUA/TALCHU/HYSTR</t>
  </si>
  <si>
    <t>VCLN05TAHY</t>
  </si>
  <si>
    <t>Usados, Retoma, y AF/Talcahuano/HYSTER</t>
  </si>
  <si>
    <t>USADOS/TALCHU/HYSTR</t>
  </si>
  <si>
    <t>VCLN03CAHY</t>
  </si>
  <si>
    <t>Venta Repuesto/Calama/HYSTER</t>
  </si>
  <si>
    <t>RPTO/CALAM/HYSTR</t>
  </si>
  <si>
    <t>VCLN04CAHY</t>
  </si>
  <si>
    <t>Venta Servicio/Calama/HYSTER</t>
  </si>
  <si>
    <t>SERV/CALAM/HYSTR</t>
  </si>
  <si>
    <t>VCLN72CAHY</t>
  </si>
  <si>
    <t>Rental Gruas/Calama/HYSTER</t>
  </si>
  <si>
    <t>RNTGRUA/CALAM/HYSTR</t>
  </si>
  <si>
    <t>VCLN05CAHY</t>
  </si>
  <si>
    <t>Usados, Retoma, y AF/Calama/HYSTER</t>
  </si>
  <si>
    <t>USADOS/CALAM/HYSTR</t>
  </si>
  <si>
    <t>VCLN03PMHY</t>
  </si>
  <si>
    <t>Venta Repuesto/Puerto Montt/HYSTER</t>
  </si>
  <si>
    <t>RPTO/PTMONT/HYSTR</t>
  </si>
  <si>
    <t>VCLN04PMHY</t>
  </si>
  <si>
    <t>Venta Servicio/Puerto Montt/HYSTER</t>
  </si>
  <si>
    <t>SERV/PTMONT/HYSTR</t>
  </si>
  <si>
    <t>VCLN72PMHY</t>
  </si>
  <si>
    <t>Rental Gruas/Puerto Montt/HYSTER</t>
  </si>
  <si>
    <t>RNTGRUA/PTMONT/HYSTR</t>
  </si>
  <si>
    <t>VCLN05PMHY</t>
  </si>
  <si>
    <t>Usados, Retoma, y AF/Puerto Montt/HYSTER</t>
  </si>
  <si>
    <t>USADOS/PTMONT/HYSTR</t>
  </si>
  <si>
    <t>VCLN03COHY</t>
  </si>
  <si>
    <t>Venta Repuesto/Coquimbo/HYSTER</t>
  </si>
  <si>
    <t>RPTO/COQUIM/HYSTR</t>
  </si>
  <si>
    <t>VCLN04COHY</t>
  </si>
  <si>
    <t>Venta Servicio/Coquimbo/HYSTER</t>
  </si>
  <si>
    <t>SERV/COQUIM/HYSTR</t>
  </si>
  <si>
    <t>VCLN72COHY</t>
  </si>
  <si>
    <t>Rental Gruas/Coquimbo/HYSTER</t>
  </si>
  <si>
    <t>RNTGRUA/COQUIM/HYSTR</t>
  </si>
  <si>
    <t>VCLN05COHY</t>
  </si>
  <si>
    <t>Usados, Retoma, y AF/Coquimbo/HYSTER</t>
  </si>
  <si>
    <t>USADOS/COQUIM/HYSTR</t>
  </si>
  <si>
    <t>VCLN03OSHY</t>
  </si>
  <si>
    <t>Venta Repuesto/Osorno/HYSTER</t>
  </si>
  <si>
    <t>RPTO/OSORN/HYSTR</t>
  </si>
  <si>
    <t>VCLN04OSHY</t>
  </si>
  <si>
    <t>Venta Servicio/Osorno/HYSTER</t>
  </si>
  <si>
    <t>SERV/OSORN/HYSTR</t>
  </si>
  <si>
    <t>VCLN72OSHY</t>
  </si>
  <si>
    <t>Rental Gruas/Osorno/HYSTER</t>
  </si>
  <si>
    <t>RNTGRUA/OSORN/HYSTR</t>
  </si>
  <si>
    <t>VCLN05OSHY</t>
  </si>
  <si>
    <t>Usados, Retoma, y AF/Osorno/HYSTER</t>
  </si>
  <si>
    <t>USADOS/OSORN/HYSTR</t>
  </si>
  <si>
    <t>VCLN03ANHK</t>
  </si>
  <si>
    <t>Venta Repuesto/Antofagasta/HMK</t>
  </si>
  <si>
    <t>RPTO/ANTOF/HMK</t>
  </si>
  <si>
    <t>VCLN04ANHK</t>
  </si>
  <si>
    <t>Venta Servicio/Antofagasta/HMK</t>
  </si>
  <si>
    <t>SERV/ANTOF/HMK</t>
  </si>
  <si>
    <t>Rental Construcción</t>
  </si>
  <si>
    <t>VCLN71ANHK</t>
  </si>
  <si>
    <t>Rental Construcción/Antofagasta/HMK</t>
  </si>
  <si>
    <t>RNTCONS/ANTOF/HMK</t>
  </si>
  <si>
    <t>VCLN05ANHK</t>
  </si>
  <si>
    <t>Usados, Retoma, y AF/Antofagasta/HMK</t>
  </si>
  <si>
    <t>USADOS/ANTOF/HMK</t>
  </si>
  <si>
    <t>VCLN03QCHK</t>
  </si>
  <si>
    <t>Venta Repuesto/Quilicura/HMK</t>
  </si>
  <si>
    <t>RPTO/QUILI/HMK</t>
  </si>
  <si>
    <t>VCLN04QCHK</t>
  </si>
  <si>
    <t>Venta Servicio/Quilicura/HMK</t>
  </si>
  <si>
    <t>SERV/QUILI/HMK</t>
  </si>
  <si>
    <t>VCLN71QCHK</t>
  </si>
  <si>
    <t>Rental Construcción/Quilicura/HMK</t>
  </si>
  <si>
    <t>RNTCONS/QUILI/HMK</t>
  </si>
  <si>
    <t>VCLN05QCHK</t>
  </si>
  <si>
    <t>Usados, Retoma, y AF/Quilicura/HMK</t>
  </si>
  <si>
    <t>USADOS/QUILI/HMK</t>
  </si>
  <si>
    <t>VCLN03CUHK</t>
  </si>
  <si>
    <t>Venta Repuesto/Curico/HMK</t>
  </si>
  <si>
    <t>RPTO/CURIC/HMK</t>
  </si>
  <si>
    <t>VCLN04CUHK</t>
  </si>
  <si>
    <t>Venta Servicio/Curico/HMK</t>
  </si>
  <si>
    <t>SERV/CURIC/HMK</t>
  </si>
  <si>
    <t>VCLN71CUHK</t>
  </si>
  <si>
    <t>Rental Construcción/Curico/HMK</t>
  </si>
  <si>
    <t>RNTCONS/CURIC/HMK</t>
  </si>
  <si>
    <t>VCLN05CUHK</t>
  </si>
  <si>
    <t>Usados, Retoma, y AF/Curico/HMK</t>
  </si>
  <si>
    <t>USADOS/CURIC/HMK</t>
  </si>
  <si>
    <t>VCLN03TAHK</t>
  </si>
  <si>
    <t>Venta Repuesto/Talcahuano/HMK</t>
  </si>
  <si>
    <t>RPTO/TALCHU/HMK</t>
  </si>
  <si>
    <t>VCLN04TAHK</t>
  </si>
  <si>
    <t>Venta Servicio/Talcahuano/HMK</t>
  </si>
  <si>
    <t>SERV/TALCHU/HMK</t>
  </si>
  <si>
    <t>VCLN71TAHK</t>
  </si>
  <si>
    <t>Rental Construcción/Talcahuano/HMK</t>
  </si>
  <si>
    <t>RNTCONS/TALCHU/HMK</t>
  </si>
  <si>
    <t>VCLN05TAHK</t>
  </si>
  <si>
    <t>Usados, Retoma, y AF/Talcahuano/HMK</t>
  </si>
  <si>
    <t>USADOS/TALCHU/HMK</t>
  </si>
  <si>
    <t>VCLN03CAHK</t>
  </si>
  <si>
    <t>Venta Repuesto/Calama/HMK</t>
  </si>
  <si>
    <t>RPTO/CALAM/HMK</t>
  </si>
  <si>
    <t>VCLN04CAHK</t>
  </si>
  <si>
    <t>Venta Servicio/Calama/HMK</t>
  </si>
  <si>
    <t>SERV/CALAM/HMK</t>
  </si>
  <si>
    <t>VCLN71CAHK</t>
  </si>
  <si>
    <t>Rental Construcción/Calama/HMK</t>
  </si>
  <si>
    <t>RNTCONS/CALAM/HMK</t>
  </si>
  <si>
    <t>VCLN05CAHK</t>
  </si>
  <si>
    <t>Usados, Retoma, y AF/Calama/HMK</t>
  </si>
  <si>
    <t>USADOS/CALAM/HMK</t>
  </si>
  <si>
    <t>VCLN03PMHK</t>
  </si>
  <si>
    <t>Venta Repuesto/Puerto Montt/HMK</t>
  </si>
  <si>
    <t>RPTO/PTMONT/HMK</t>
  </si>
  <si>
    <t>VCLN04PMHK</t>
  </si>
  <si>
    <t>Venta Servicio/Puerto Montt/HMK</t>
  </si>
  <si>
    <t>SERV/PTMONT/HMK</t>
  </si>
  <si>
    <t>VCLN71PMHK</t>
  </si>
  <si>
    <t>Rental Construcción/Puerto Montt/HMK</t>
  </si>
  <si>
    <t>RNTCONS/PTMONT/HMK</t>
  </si>
  <si>
    <t>VCLN05PMHK</t>
  </si>
  <si>
    <t>Usados, Retoma, y AF/Puerto Montt/HMK</t>
  </si>
  <si>
    <t>USADOS/PTMONT/HMK</t>
  </si>
  <si>
    <t>VCLN03COHK</t>
  </si>
  <si>
    <t>Venta Repuesto/Coquimbo/HMK</t>
  </si>
  <si>
    <t>RPTO/COQUIM/HMK</t>
  </si>
  <si>
    <t>VCLN04COHK</t>
  </si>
  <si>
    <t>Venta Servicio/Coquimbo/HMK</t>
  </si>
  <si>
    <t>SERV/COQUIM/HMK</t>
  </si>
  <si>
    <t>VCLN71COHK</t>
  </si>
  <si>
    <t>Rental Construcción/Coquimbo/HMK</t>
  </si>
  <si>
    <t>RNTCONS/COQUIM/HMK</t>
  </si>
  <si>
    <t>VCLN05COHK</t>
  </si>
  <si>
    <t>Usados, Retoma, y AF/Coquimbo/HMK</t>
  </si>
  <si>
    <t>USADOS/COQUIM/HMK</t>
  </si>
  <si>
    <t>VCLN03OSHK</t>
  </si>
  <si>
    <t>Venta Repuesto/Osorno/HMK</t>
  </si>
  <si>
    <t>RPTO/OSORN/HMK</t>
  </si>
  <si>
    <t>VCLN04OSHK</t>
  </si>
  <si>
    <t>Venta Servicio/Osorno/HMK</t>
  </si>
  <si>
    <t>SERV/OSORN/HMK</t>
  </si>
  <si>
    <t>VCLN71OSHK</t>
  </si>
  <si>
    <t>Rental Construcción/Osorno/HMK</t>
  </si>
  <si>
    <t>RNTCONS/OSORN/HMK</t>
  </si>
  <si>
    <t>VCLN05OSHK</t>
  </si>
  <si>
    <t>Usados, Retoma, y AF/Osorno/HMK</t>
  </si>
  <si>
    <t>USADOS/OSORN/HMK</t>
  </si>
  <si>
    <t>VCLN03ANTB</t>
  </si>
  <si>
    <t>Venta Repuesto/Antofagasta/TERBERG</t>
  </si>
  <si>
    <t>RPTO/ANTOF/TERBG</t>
  </si>
  <si>
    <t>VCLN04ANTB</t>
  </si>
  <si>
    <t>Venta Servicio/Antofagasta/TERBERG</t>
  </si>
  <si>
    <t>SERV/ANTOF/TERBG</t>
  </si>
  <si>
    <t>VCLN72ANTB</t>
  </si>
  <si>
    <t>Rental Gruas/Antofagasta/TERBERG</t>
  </si>
  <si>
    <t>RNTGRUA/ANTOF/TERBG</t>
  </si>
  <si>
    <t>VCLN05ANTB</t>
  </si>
  <si>
    <t>Usados, Retoma, y AF/Antofagasta/TERBERG</t>
  </si>
  <si>
    <t>USADOS/ANTOF/TERBG</t>
  </si>
  <si>
    <t>VCLN03QCTB</t>
  </si>
  <si>
    <t>Venta Repuesto/Quilicura/TERBERG</t>
  </si>
  <si>
    <t>RPTO/QUILI/TERBG</t>
  </si>
  <si>
    <t>VCLN04QCTB</t>
  </si>
  <si>
    <t>Venta Servicio/Quilicura/TERBERG</t>
  </si>
  <si>
    <t>SERV/QUILI/TERBG</t>
  </si>
  <si>
    <t>VCLN72QCTB</t>
  </si>
  <si>
    <t>Rental Gruas/Quilicura/TERBERG</t>
  </si>
  <si>
    <t>RNTGRUA/QUILI/TERBG</t>
  </si>
  <si>
    <t>VCLN05QCTB</t>
  </si>
  <si>
    <t>Usados, Retoma, y AF/Quilicura/TERBERG</t>
  </si>
  <si>
    <t>USADOS/QUILI/TERBG</t>
  </si>
  <si>
    <t>VCLN03CUTB</t>
  </si>
  <si>
    <t>Venta Repuesto/Curico/TERBERG</t>
  </si>
  <si>
    <t>RPTO/CURIC/TERBG</t>
  </si>
  <si>
    <t>VCLN04CUTB</t>
  </si>
  <si>
    <t>Venta Servicio/Curico/TERBERG</t>
  </si>
  <si>
    <t>SERV/CURIC/TERBG</t>
  </si>
  <si>
    <t>VCLN72CUTB</t>
  </si>
  <si>
    <t>Rental Gruas/Curico/TERBERG</t>
  </si>
  <si>
    <t>RNTGRUA/CURIC/TERBG</t>
  </si>
  <si>
    <t>VCLN05CUTB</t>
  </si>
  <si>
    <t>Usados, Retoma, y AF/Curico/TERBERG</t>
  </si>
  <si>
    <t>USADOS/CURIC/TERBG</t>
  </si>
  <si>
    <t>VCLN03TATB</t>
  </si>
  <si>
    <t>Venta Repuesto/Talcahuano/TERBERG</t>
  </si>
  <si>
    <t>RPTO/TALCHU/TERBG</t>
  </si>
  <si>
    <t>VCLN04TATB</t>
  </si>
  <si>
    <t>Venta Servicio/Talcahuano/TERBERG</t>
  </si>
  <si>
    <t>SERV/TALCHU/TERBG</t>
  </si>
  <si>
    <t>VCLN72TATB</t>
  </si>
  <si>
    <t>Rental Gruas/Talcahuano/TERBERG</t>
  </si>
  <si>
    <t>RNTGRUA/TALCHU/TERBG</t>
  </si>
  <si>
    <t>VCLN05TATB</t>
  </si>
  <si>
    <t>Usados, Retoma, y AF/Talcahuano/TERBERG</t>
  </si>
  <si>
    <t>USADOS/TALCHU/TERBG</t>
  </si>
  <si>
    <t>VCLN03CATB</t>
  </si>
  <si>
    <t>Venta Repuesto/Calama/TERBERG</t>
  </si>
  <si>
    <t>RPTO/CALAM/TERBG</t>
  </si>
  <si>
    <t>VCLN04CATB</t>
  </si>
  <si>
    <t>Venta Servicio/Calama/TERBERG</t>
  </si>
  <si>
    <t>SERV/CALAM/TERBG</t>
  </si>
  <si>
    <t>VCLN72CATB</t>
  </si>
  <si>
    <t>Rental Gruas/Calama/TERBERG</t>
  </si>
  <si>
    <t>RNTGRUA/CALAM/TERBG</t>
  </si>
  <si>
    <t>VCLN05CATB</t>
  </si>
  <si>
    <t>Usados, Retoma, y AF/Calama/TERBERG</t>
  </si>
  <si>
    <t>USADOS/CALAM/TERBG</t>
  </si>
  <si>
    <t>VCLN03PMTB</t>
  </si>
  <si>
    <t>Venta Repuesto/Puerto Montt/TERBERG</t>
  </si>
  <si>
    <t>RPTO/PTMONT/TERBG</t>
  </si>
  <si>
    <t>VCLN04PMTB</t>
  </si>
  <si>
    <t>Venta Servicio/Puerto Montt/TERBERG</t>
  </si>
  <si>
    <t>SERV/PTMONT/TERBG</t>
  </si>
  <si>
    <t>VCLN72PMTB</t>
  </si>
  <si>
    <t>Rental Gruas/Puerto Montt/TERBERG</t>
  </si>
  <si>
    <t>RNTGRUA/PTMONT/TERBG</t>
  </si>
  <si>
    <t>VCLN05PMTB</t>
  </si>
  <si>
    <t>Usados, Retoma, y AF/Pto Montt/TERBERG</t>
  </si>
  <si>
    <t>USADOS/PTMONT/TERBG</t>
  </si>
  <si>
    <t>VCLN03COTB</t>
  </si>
  <si>
    <t>Venta Repuesto/Coquimbo/TERBERG</t>
  </si>
  <si>
    <t>RPTO/COQUIM/TERBG</t>
  </si>
  <si>
    <t>VCLN04COTB</t>
  </si>
  <si>
    <t>Venta Servicio/Coquimbo/TERBERG</t>
  </si>
  <si>
    <t>SERV/COQUIM/TERBG</t>
  </si>
  <si>
    <t>VCLN72COTB</t>
  </si>
  <si>
    <t>Rental Gruas/Coquimbo/TERBERG</t>
  </si>
  <si>
    <t>RNTGRUA/COQUIM/TERBG</t>
  </si>
  <si>
    <t>VCLN05COTB</t>
  </si>
  <si>
    <t>Usados, Retoma, y AF/Coquimbo/TERBERG</t>
  </si>
  <si>
    <t>USADOS/COQUIM/TERBG</t>
  </si>
  <si>
    <t>VCLN03OSTB</t>
  </si>
  <si>
    <t>Venta Repuesto/Osorno/TERBERG</t>
  </si>
  <si>
    <t>RPTO/OSORN/TERBG</t>
  </si>
  <si>
    <t>VCLN04OSTB</t>
  </si>
  <si>
    <t>Venta Servicio/Osorno/TERBERG</t>
  </si>
  <si>
    <t>SERV/OSORN/TERBG</t>
  </si>
  <si>
    <t>VCLN72OSTB</t>
  </si>
  <si>
    <t>Rental Gruas/Osorno/TERBERG</t>
  </si>
  <si>
    <t>RNTGRUA/OSORN/TERBG</t>
  </si>
  <si>
    <t>VCLN05OSTB</t>
  </si>
  <si>
    <t>Usados, Retoma, y AF/Osorno/TERBERG</t>
  </si>
  <si>
    <t>USADOS/OSORN/TERBG</t>
  </si>
  <si>
    <t>VCLN03ANMA</t>
  </si>
  <si>
    <t>Venta Repuesto/Antofagasta/MAXIMAL</t>
  </si>
  <si>
    <t>RPTO/ANTOF/MAXML</t>
  </si>
  <si>
    <t>VCLN04ANMA</t>
  </si>
  <si>
    <t>Venta Servicio/Antofagasta/MAXIMAL</t>
  </si>
  <si>
    <t>SERV/ANTOF/MAXML</t>
  </si>
  <si>
    <t>VCLN72ANMA</t>
  </si>
  <si>
    <t>Rental Gruas/Antofagasta/MAXIMAL</t>
  </si>
  <si>
    <t>RNTGRUA/ANTOF/MAXML</t>
  </si>
  <si>
    <t>VCLN05ANMA</t>
  </si>
  <si>
    <t>Usados, Retoma, y AF/Antofagasta/MAXIMAL</t>
  </si>
  <si>
    <t>USADOS/ANTOF/MAXML</t>
  </si>
  <si>
    <t>VCLN03QCMA</t>
  </si>
  <si>
    <t>Venta Repuesto/Quilicura/MAXIMAL</t>
  </si>
  <si>
    <t>RPTO/QUILI/MAXML</t>
  </si>
  <si>
    <t>VCLN04QCMA</t>
  </si>
  <si>
    <t>Venta Servicio/Quilicura/MAXIMAL</t>
  </si>
  <si>
    <t>SERV/QUILI/MAXML</t>
  </si>
  <si>
    <t>VCLN72QCMA</t>
  </si>
  <si>
    <t>Rental Gruas/Quilicura/MAXIMAL</t>
  </si>
  <si>
    <t>RNTGRUA/QUILI/MAXML</t>
  </si>
  <si>
    <t>VCLN05QCMA</t>
  </si>
  <si>
    <t>Usados, Retoma, y AF/Quilicura/MAXIMAL</t>
  </si>
  <si>
    <t>USADOS/QUILI/MAXML</t>
  </si>
  <si>
    <t>VCLN03CUMA</t>
  </si>
  <si>
    <t>Venta Repuesto/Curico/MAXIMAL</t>
  </si>
  <si>
    <t>RPTO/CURIC/MAXML</t>
  </si>
  <si>
    <t>VCLN04CUMA</t>
  </si>
  <si>
    <t>Venta Servicio/Curico/MAXIMAL</t>
  </si>
  <si>
    <t>SERV/CURIC/MAXML</t>
  </si>
  <si>
    <t>VCLN72CUMA</t>
  </si>
  <si>
    <t>Rental Gruas/Curico/MAXIMAL</t>
  </si>
  <si>
    <t>RNTGRUA/CURIC/MAXML</t>
  </si>
  <si>
    <t>VCLN05CUMA</t>
  </si>
  <si>
    <t>Usados, Retoma, y AF/Curico/MAXIMAL</t>
  </si>
  <si>
    <t>USADOS/CURIC/MAXML</t>
  </si>
  <si>
    <t>VCLN03TAMA</t>
  </si>
  <si>
    <t>Venta Repuesto/Talcahuano/MAXIMAL</t>
  </si>
  <si>
    <t>RPTO/TALCHU/MAXML</t>
  </si>
  <si>
    <t>VCLN04TAMA</t>
  </si>
  <si>
    <t>Venta Servicio/Talcahuano/MAXIMAL</t>
  </si>
  <si>
    <t>SERV/TALCHU/MAXML</t>
  </si>
  <si>
    <t>VCLN72TAMA</t>
  </si>
  <si>
    <t>Rental Gruas/Talcahuano/MAXIMAL</t>
  </si>
  <si>
    <t>RNTGRUA/TALCHU/MAXML</t>
  </si>
  <si>
    <t>VCLN05TAMA</t>
  </si>
  <si>
    <t>Usados, Retoma, y AF/Talcahuano/MAXIMAL</t>
  </si>
  <si>
    <t>USADOS/TALCHU/MAXML</t>
  </si>
  <si>
    <t>VCLN03CAMA</t>
  </si>
  <si>
    <t>Venta Repuesto/Calama/MAXIMAL</t>
  </si>
  <si>
    <t>RPTO/CALAM/MAXML</t>
  </si>
  <si>
    <t>VCLN04CAMA</t>
  </si>
  <si>
    <t>Venta Servicio/Calama/MAXIMAL</t>
  </si>
  <si>
    <t>SERV/CALAM/MAXML</t>
  </si>
  <si>
    <t>VCLN72CAMA</t>
  </si>
  <si>
    <t>Rental Gruas/Calama/MAXIMAL</t>
  </si>
  <si>
    <t>RNTGRUA/CALAM/MAXML</t>
  </si>
  <si>
    <t>VCLN05CAMA</t>
  </si>
  <si>
    <t>Usados, Retoma, y AF/Calama/MAXIMAL</t>
  </si>
  <si>
    <t>USADOS/CALAM/MAXML</t>
  </si>
  <si>
    <t>VCLN03PMMA</t>
  </si>
  <si>
    <t>Venta Repuesto/Puerto Montt/MAXIMAL</t>
  </si>
  <si>
    <t>RPTO/PTMONT/MAXML</t>
  </si>
  <si>
    <t>VCLN04PMMA</t>
  </si>
  <si>
    <t>Venta Servicio/Puerto Montt/MAXIMAL</t>
  </si>
  <si>
    <t>SERV/PTMONT/MAXML</t>
  </si>
  <si>
    <t>VCLN72PMMA</t>
  </si>
  <si>
    <t>Rental Gruas/Puerto Montt/MAXIMAL</t>
  </si>
  <si>
    <t>RNTGRUA/PTMONT/MAXML</t>
  </si>
  <si>
    <t>VCLN05PMMA</t>
  </si>
  <si>
    <t>Usados, Retoma, y AF/Pto Montt/MAXIMAL</t>
  </si>
  <si>
    <t>USADOS/PTMONT/MAXML</t>
  </si>
  <si>
    <t>VCLN03COMA</t>
  </si>
  <si>
    <t>Venta Repuesto/Coquimbo/MAXIMAL</t>
  </si>
  <si>
    <t>RPTO/COQUIM/MAXML</t>
  </si>
  <si>
    <t>VCLN04COMA</t>
  </si>
  <si>
    <t>Venta Servicio/Coquimbo/MAXIMAL</t>
  </si>
  <si>
    <t>SERV/COQUIM/MAXML</t>
  </si>
  <si>
    <t>VCLN72COMA</t>
  </si>
  <si>
    <t>Rental Gruas/Coquimbo/MAXIMAL</t>
  </si>
  <si>
    <t>RNTGRUA/COQUIM/MAXML</t>
  </si>
  <si>
    <t>VCLN05COMA</t>
  </si>
  <si>
    <t>Usados, Retoma, y AF/Coquimbo/MAXIMAL</t>
  </si>
  <si>
    <t>USADOS/COQUIM/MAXML</t>
  </si>
  <si>
    <t>VCLN03OSMA</t>
  </si>
  <si>
    <t>Venta Repuesto/Osorno/MAXIMAL</t>
  </si>
  <si>
    <t>RPTO/OSORN/MAXML</t>
  </si>
  <si>
    <t>VCLN04OSMA</t>
  </si>
  <si>
    <t>Venta Servicio/Osorno/MAXIMAL</t>
  </si>
  <si>
    <t>SERV/OSORN/MAXML</t>
  </si>
  <si>
    <t>VCLN72OSMA</t>
  </si>
  <si>
    <t>Rental Gruas/Osorno/MAXIMAL</t>
  </si>
  <si>
    <t>RNTGRUA/OSORN/MAXML</t>
  </si>
  <si>
    <t>VCLN05OSMA</t>
  </si>
  <si>
    <t>Usados, Retoma, y AF/Osorno/MAXIMAL</t>
  </si>
  <si>
    <t>USADOS/OSORN/MAXML</t>
  </si>
  <si>
    <t>VCLN03ANLG</t>
  </si>
  <si>
    <t>Venta Repuesto/Antofagasta/LIUGONG</t>
  </si>
  <si>
    <t>RPTO/ANTOF/LIUGN</t>
  </si>
  <si>
    <t>VCLN04ANLG</t>
  </si>
  <si>
    <t>Venta Servicio/Antofagasta/LIUGONG</t>
  </si>
  <si>
    <t>SERV/ANTOF/LIUGN</t>
  </si>
  <si>
    <t>VCLN71ANLG</t>
  </si>
  <si>
    <t>Rental Construcción/Antofagasta/LIUGONG</t>
  </si>
  <si>
    <t>RNTCONS/ANTOF/LIUGN</t>
  </si>
  <si>
    <t>VCLN05ANLG</t>
  </si>
  <si>
    <t>Usados, Retoma, y AF/Antofagasta/LIUGONG</t>
  </si>
  <si>
    <t>USADOS/ANTOF/LIUGN</t>
  </si>
  <si>
    <t>VCLN03QCLG</t>
  </si>
  <si>
    <t>Venta Repuesto/Quilicura/LIUGONG</t>
  </si>
  <si>
    <t>RPTO/QUILI/LIUGN</t>
  </si>
  <si>
    <t>VCLN04QCLG</t>
  </si>
  <si>
    <t>Venta Servicio/Quilicura/LIUGONG</t>
  </si>
  <si>
    <t>SERV/QUILI/LIUGN</t>
  </si>
  <si>
    <t>VCLN71QCLG</t>
  </si>
  <si>
    <t>Rental Construcción/Quilicura/LIUGONG</t>
  </si>
  <si>
    <t>RNTCONS/QUILI/LIUGN</t>
  </si>
  <si>
    <t>VCLN05QCLG</t>
  </si>
  <si>
    <t>Usados, Retoma, y AF/Quilicura/LIUGONG</t>
  </si>
  <si>
    <t>USADOS/QUILI/LIUGN</t>
  </si>
  <si>
    <t>VCLN03CULG</t>
  </si>
  <si>
    <t>Venta Repuesto/Curico/LIUGONG</t>
  </si>
  <si>
    <t>RPTO/CURIC/LIUGN</t>
  </si>
  <si>
    <t>VCLN04CULG</t>
  </si>
  <si>
    <t>Venta Servicio/Curico/LIUGONG</t>
  </si>
  <si>
    <t>SERV/CURIC/LIUGN</t>
  </si>
  <si>
    <t>VCLN71CULG</t>
  </si>
  <si>
    <t>Rental Construcción/Curico/LIUGONG</t>
  </si>
  <si>
    <t>RNTCONS/CURIC/LIUGN</t>
  </si>
  <si>
    <t>VCLN05CULG</t>
  </si>
  <si>
    <t>Usados, Retoma, y AF/Curico/LIUGONG</t>
  </si>
  <si>
    <t>USADOS/CURIC/LIUGN</t>
  </si>
  <si>
    <t>VCLN03TALG</t>
  </si>
  <si>
    <t>Venta Repuesto/Talcahuano/LIUGONG</t>
  </si>
  <si>
    <t>RPTO/TALCHU/LIUGN</t>
  </si>
  <si>
    <t>VCLN04TALG</t>
  </si>
  <si>
    <t>Venta Servicio/Talcahuano/LIUGONG</t>
  </si>
  <si>
    <t>SERV/TALCHU/LIUGN</t>
  </si>
  <si>
    <t>VCLN71TALG</t>
  </si>
  <si>
    <t>Rental Construcción/Talcahuano/LIUGONG</t>
  </si>
  <si>
    <t>RNTCONS/TALCHU/LIUGN</t>
  </si>
  <si>
    <t>VCLN05TALG</t>
  </si>
  <si>
    <t>Usados, Retoma, y AF/Talcahuano/LIUGONG</t>
  </si>
  <si>
    <t>USADOS/TALCHU/LIUGN</t>
  </si>
  <si>
    <t>VCLN03CALG</t>
  </si>
  <si>
    <t>Venta Repuesto/Calama/LIUGONG</t>
  </si>
  <si>
    <t>RPTO/CALAM/LIUGN</t>
  </si>
  <si>
    <t>VCLN04CALG</t>
  </si>
  <si>
    <t>Venta Servicio/Calama/LIUGONG</t>
  </si>
  <si>
    <t>SERV/CALAM/LIUGN</t>
  </si>
  <si>
    <t>VCLN71CALG</t>
  </si>
  <si>
    <t>Rental Construcción/Calama/LIUGONG</t>
  </si>
  <si>
    <t>RNTCONS/CALAM/LIUGN</t>
  </si>
  <si>
    <t>VCLN05CALG</t>
  </si>
  <si>
    <t>Usados, Retoma, y AF/Calama/LIUGONG</t>
  </si>
  <si>
    <t>USADOS/CALAM/LIUGN</t>
  </si>
  <si>
    <t>VCLN03PMLG</t>
  </si>
  <si>
    <t>Venta Repuesto/Puerto Montt/LIUGONG</t>
  </si>
  <si>
    <t>RPTO/PTMONT/LIUGN</t>
  </si>
  <si>
    <t>VCLN04PMLG</t>
  </si>
  <si>
    <t>Venta Servicio/Puerto Montt/LIUGONG</t>
  </si>
  <si>
    <t>SERV/PTMONT/LIUGN</t>
  </si>
  <si>
    <t>VCLN71PMLG</t>
  </si>
  <si>
    <t>Rental Construcción/Puerto Montt/LIUGONG</t>
  </si>
  <si>
    <t>RNTCONS/PTMONT/LIUGN</t>
  </si>
  <si>
    <t>VCLN05PMLG</t>
  </si>
  <si>
    <t>Usados, Retoma, y AF/Pto Montt/LIUGONG</t>
  </si>
  <si>
    <t>USADOS/PTMONT/LIUGN</t>
  </si>
  <si>
    <t>VCLN03COLG</t>
  </si>
  <si>
    <t>Venta Repuesto/Coquimbo/LIUGONG</t>
  </si>
  <si>
    <t>RPTO/COQUIM/LIUGN</t>
  </si>
  <si>
    <t>VCLN04COLG</t>
  </si>
  <si>
    <t>Venta Servicio/Coquimbo/LIUGONG</t>
  </si>
  <si>
    <t>SERV/COQUIM/LIUGN</t>
  </si>
  <si>
    <t>VCLN71COLG</t>
  </si>
  <si>
    <t>Rental Construcción/Coquimbo/LIUGONG</t>
  </si>
  <si>
    <t>RNTCONS/COQUIM/LIUGN</t>
  </si>
  <si>
    <t>VCLN05COLG</t>
  </si>
  <si>
    <t>Usados, Retoma, y AF/Coquimbo/LIUGONG</t>
  </si>
  <si>
    <t>USADOS/COQUIM/LIUGN</t>
  </si>
  <si>
    <t>VCLN03OSLG</t>
  </si>
  <si>
    <t>Venta Repuesto/Osorno/LIUGONG</t>
  </si>
  <si>
    <t>RPTO/OSORN/LIUGN</t>
  </si>
  <si>
    <t>VCLN04OSLG</t>
  </si>
  <si>
    <t>Venta Servicio/Osorno/LIUGONG</t>
  </si>
  <si>
    <t>SERV/OSORN/LIUGN</t>
  </si>
  <si>
    <t>VCLN71OSLG</t>
  </si>
  <si>
    <t>Rental Construcción/Osorno/LIUGONG</t>
  </si>
  <si>
    <t>RNTCONS/OSORN/LIUGN</t>
  </si>
  <si>
    <t>VCLN05OSLG</t>
  </si>
  <si>
    <t>Usados, Retoma, y AF/Osorno/LIUGONG</t>
  </si>
  <si>
    <t>USADOS/OSORN/LIUGN</t>
  </si>
  <si>
    <t>VCLN03ANOO</t>
  </si>
  <si>
    <t>Venta Repuesto/Antofagasta/TdasOtrsMrcas</t>
  </si>
  <si>
    <t>VCLN04ANOO</t>
  </si>
  <si>
    <t>Venta Servicio/Antofagasta/TdasOtrsMrcas</t>
  </si>
  <si>
    <t>VCLN71ANOO</t>
  </si>
  <si>
    <t>Rental Const/Antofagasta/TdasOtrsMrcas</t>
  </si>
  <si>
    <t>RNTCONS/ANTOF/TODAS</t>
  </si>
  <si>
    <t>VCLN05ANOO</t>
  </si>
  <si>
    <t>Usados AF/Antofagasta/TdasOtrsMrcas</t>
  </si>
  <si>
    <t>VCLN03QCOO</t>
  </si>
  <si>
    <t>Venta Repuesto/Quilicura/TdasOtrsMrcas</t>
  </si>
  <si>
    <t>VCLN04QCOO</t>
  </si>
  <si>
    <t>Venta Servicio/Quilicura/TdasOtrsMrcas</t>
  </si>
  <si>
    <t>VCLN71QCOO</t>
  </si>
  <si>
    <t>Rental Const/Quilicura/TdasOtrsMrcas</t>
  </si>
  <si>
    <t>RNTCONS/QUILI/TODAS</t>
  </si>
  <si>
    <t>VCLN05QCOO</t>
  </si>
  <si>
    <t>Usados AF/Quilicura/TdasOtrsMrcas</t>
  </si>
  <si>
    <t>VCLN03CUOO</t>
  </si>
  <si>
    <t>Venta Repuesto/Curico/TODAS/OTRAS MARCAS</t>
  </si>
  <si>
    <t>VCLN04CUOO</t>
  </si>
  <si>
    <t>Venta Servicio/Curico/TODAS/OTRAS MARCAS</t>
  </si>
  <si>
    <t>VCLN71CUOO</t>
  </si>
  <si>
    <t>Rental Construcción/Curico/TdasOtrsMrcas</t>
  </si>
  <si>
    <t>RNTCONS/CURIC/TODAS</t>
  </si>
  <si>
    <t>VCLN05CUOO</t>
  </si>
  <si>
    <t>Usados AF/Curico/TdasOtrsMrcas</t>
  </si>
  <si>
    <t>VCLN03TAOO</t>
  </si>
  <si>
    <t>Venta Repuesto/Talcahuano/TdasOtrsMrcas</t>
  </si>
  <si>
    <t>VCLN04TAOO</t>
  </si>
  <si>
    <t>Venta Servicio/Talcahuano/TdasOtrsMrcas</t>
  </si>
  <si>
    <t>VCLN71TAOO</t>
  </si>
  <si>
    <t>Rental Const/Talcahuano/TdasOtrsMrcas</t>
  </si>
  <si>
    <t>RNTCONS/TALCHU/TODAS</t>
  </si>
  <si>
    <t>VCLN05TAOO</t>
  </si>
  <si>
    <t>Usados AF/Talcahuano/TdasOtrsMrcas</t>
  </si>
  <si>
    <t>VCLN03CAOO</t>
  </si>
  <si>
    <t>Venta Repuesto/Calama/TODAS/OTRAS MARCAS</t>
  </si>
  <si>
    <t>VCLN04CAOO</t>
  </si>
  <si>
    <t>Venta Servicio/Calama/TODAS/OTRAS MARCAS</t>
  </si>
  <si>
    <t>VCLN71CAOO</t>
  </si>
  <si>
    <t>Rental Construcción/Calama/TdasOtrsMrcas</t>
  </si>
  <si>
    <t>RNTCONS/CALAM/TODAS</t>
  </si>
  <si>
    <t>VCLN05CAOO</t>
  </si>
  <si>
    <t>Usados AF/Calama/TdasOtrsMrcas</t>
  </si>
  <si>
    <t>VCLN03PMOO</t>
  </si>
  <si>
    <t>Venta Repuesto/Pto Montt/TdasOtrsMrcas</t>
  </si>
  <si>
    <t>VCLN04PMOO</t>
  </si>
  <si>
    <t>Venta Servicio/Pto Montt/TdasOtrsMrcas</t>
  </si>
  <si>
    <t>VCLN71PMOO</t>
  </si>
  <si>
    <t>Rental Const/Pto Montt/TdasOtrsMrcas</t>
  </si>
  <si>
    <t>RNTCONS/PTMONT/TODAS</t>
  </si>
  <si>
    <t>VCLN05PMOO</t>
  </si>
  <si>
    <t>Usados AF/Puerto Montt/TdasOtrsMrcas</t>
  </si>
  <si>
    <t>VCLN03COOO</t>
  </si>
  <si>
    <t>Venta Repuesto/Coquimbo/TdasOtrsMrcas</t>
  </si>
  <si>
    <t>RPTO/COQUIM/TODAS</t>
  </si>
  <si>
    <t>VCLN04COOO</t>
  </si>
  <si>
    <t>Venta Servicio/Coquimbo/TdasOtrsMrcas</t>
  </si>
  <si>
    <t>SERV/COQUIM/TODAS</t>
  </si>
  <si>
    <t>VCLN71COOO</t>
  </si>
  <si>
    <t>Rental Const/Coquimbo/TdasOtrsMrcas</t>
  </si>
  <si>
    <t>RNTCONS/COQUIM/TODAS</t>
  </si>
  <si>
    <t>VCLN05COOO</t>
  </si>
  <si>
    <t>Usados AF/Coquimbo/TdasOtrsMrcas</t>
  </si>
  <si>
    <t>USADOS/COQUIM/TODAS</t>
  </si>
  <si>
    <t>VCLN03OSOO</t>
  </si>
  <si>
    <t>Venta Repuesto/Osorno/TODAS/OTRAS MARCAS</t>
  </si>
  <si>
    <t>RPTO/OSORN/TODAS</t>
  </si>
  <si>
    <t>VCLN04OSOO</t>
  </si>
  <si>
    <t>Venta Servicio/Osorno/TODAS/OTRAS MARCAS</t>
  </si>
  <si>
    <t>SERV/OSORN/TODAS</t>
  </si>
  <si>
    <t>VCLN71OSOO</t>
  </si>
  <si>
    <t>Rental Construcción/Osorno/TdasOtrsMrcas</t>
  </si>
  <si>
    <t>RNTCONS/OSORN/TODAS</t>
  </si>
  <si>
    <t>VCLN05OSOO</t>
  </si>
  <si>
    <t>Usados AF/Osorno/TdasOtrsMrcas</t>
  </si>
  <si>
    <t>USADOS/OSORN/TODAS</t>
  </si>
  <si>
    <t>VCLN01ANHY</t>
  </si>
  <si>
    <t>Vta. Unidades Nuevas/Antofagasta/HYSTER</t>
  </si>
  <si>
    <t>VTAUNID/ANTOF/HYSTR</t>
  </si>
  <si>
    <t>VCLN01QCHY</t>
  </si>
  <si>
    <t>Vta. Unidades Nuevas/Quilicura/HYSTER</t>
  </si>
  <si>
    <t>VTAUNID/QUILI/HYSTR</t>
  </si>
  <si>
    <t>VCLN01CUHY</t>
  </si>
  <si>
    <t>Vta. Unidades Nuevas/Curico/HYSTER</t>
  </si>
  <si>
    <t>VTAUNID/CURIC/HYSTR</t>
  </si>
  <si>
    <t>VCLN01TAHY</t>
  </si>
  <si>
    <t>Vta. Unidades Nuevas/Talcahuano/HYSTER</t>
  </si>
  <si>
    <t>VTAUNID/TALCHU/HYSTR</t>
  </si>
  <si>
    <t>VCLN01CAHY</t>
  </si>
  <si>
    <t>Vta. Unidades Nuevas/Calama/HYSTER</t>
  </si>
  <si>
    <t>VTAUNID/CALAM/HYSTR</t>
  </si>
  <si>
    <t>VCLN01PMHY</t>
  </si>
  <si>
    <t>Vta. Unidades Nuevas/Puerto Montt/HYSTER</t>
  </si>
  <si>
    <t>VTAUNID/PTMONT/HYSTR</t>
  </si>
  <si>
    <t>VCLN01COHY</t>
  </si>
  <si>
    <t>Vta. Unidades Nuevas/Coquimbo/HYSTER</t>
  </si>
  <si>
    <t>VTAUNID/COQUIM/HYSTR</t>
  </si>
  <si>
    <t>VCLN01OSHY</t>
  </si>
  <si>
    <t>Vta. Unidades Nuevas/Osorno/HYSTER</t>
  </si>
  <si>
    <t>VTAUNID/OSORN/HYSTR</t>
  </si>
  <si>
    <t>VCLN01ANHK</t>
  </si>
  <si>
    <t>Vta. Unidades Nuevas/Antofagasta/HMK</t>
  </si>
  <si>
    <t>VTAUNID/ANTOF/HMK</t>
  </si>
  <si>
    <t>VCLN01QCHK</t>
  </si>
  <si>
    <t>Vta. Unidades Nuevas/Quilicura/HMK</t>
  </si>
  <si>
    <t>VTAUNID/QUILI/HMK</t>
  </si>
  <si>
    <t>VCLN01CUHK</t>
  </si>
  <si>
    <t>Vta. Unidades Nuevas/Curico/HMK</t>
  </si>
  <si>
    <t>VTAUNID/CURIC/HMK</t>
  </si>
  <si>
    <t>VCLN01TAHK</t>
  </si>
  <si>
    <t>Vta. Unidades Nuevas/Talcahuano/HMK</t>
  </si>
  <si>
    <t>VTAUNID/TALCHU/HMK</t>
  </si>
  <si>
    <t>VCLN01CAHK</t>
  </si>
  <si>
    <t>Vta. Unidades Nuevas/Calama/HMK</t>
  </si>
  <si>
    <t>VTAUNID/CALAM/HMK</t>
  </si>
  <si>
    <t>VCLN01PMHK</t>
  </si>
  <si>
    <t>Vta. Unidades Nuevas/Puerto Montt/HMK</t>
  </si>
  <si>
    <t>VTAUNID/PTMONT/HMK</t>
  </si>
  <si>
    <t>VCLN01COHK</t>
  </si>
  <si>
    <t>Vta. Unidades Nuevas/Coquimbo/HMK</t>
  </si>
  <si>
    <t>VTAUNID/COQUIM/HMK</t>
  </si>
  <si>
    <t>VCLN01OSHK</t>
  </si>
  <si>
    <t>Vta. Unidades Nuevas/Osorno/HMK</t>
  </si>
  <si>
    <t>VTAUNID/OSORN/HMK</t>
  </si>
  <si>
    <t>VCLN01ANTB</t>
  </si>
  <si>
    <t>Vta. Unidades Nuevas/Antofagasta/TERBERG</t>
  </si>
  <si>
    <t>VTAUNID/ANTOF/TERBG</t>
  </si>
  <si>
    <t>VCLN01QCTB</t>
  </si>
  <si>
    <t>Vta. Unidades Nuevas/Quilicura/TERBERG</t>
  </si>
  <si>
    <t>VTAUNID/QUILI/TERBG</t>
  </si>
  <si>
    <t>VCLN01CUTB</t>
  </si>
  <si>
    <t>Vta. Unidades Nuevas/Curico/TERBERG</t>
  </si>
  <si>
    <t>VTAUNID/CURIC/TERBG</t>
  </si>
  <si>
    <t>VCLN01TATB</t>
  </si>
  <si>
    <t>Vta. Unidades Nuevas/Talcahuano/TERBERG</t>
  </si>
  <si>
    <t>VTAUNID/TALCHU/TERBG</t>
  </si>
  <si>
    <t>VCLN01CATB</t>
  </si>
  <si>
    <t>Vta. Unidades Nuevas/Calama/TERBERG</t>
  </si>
  <si>
    <t>VTAUNID/CALAM/TERBG</t>
  </si>
  <si>
    <t>VCLN01PMTB</t>
  </si>
  <si>
    <t>Vta. Unidades Nuevas/Pto Montt/TERBERG</t>
  </si>
  <si>
    <t>VTAUNID/PTMONT/TERBG</t>
  </si>
  <si>
    <t>VCLN01COTB</t>
  </si>
  <si>
    <t>Vta. Unidades Nuevas/Coquimbo/TERBERG</t>
  </si>
  <si>
    <t>VTAUNID/COQUIM/TERBG</t>
  </si>
  <si>
    <t>VCLN01OSTB</t>
  </si>
  <si>
    <t>Vta. Unidades Nuevas/Osorno/TERBERG</t>
  </si>
  <si>
    <t>VTAUNID/OSORN/TERBG</t>
  </si>
  <si>
    <t>VCLN01ANMA</t>
  </si>
  <si>
    <t>Vta. Unidades Nuevas/Antofagasta/MAXIMAL</t>
  </si>
  <si>
    <t>VTAUNID/ANTOF/MAXML</t>
  </si>
  <si>
    <t>VCLN01QCMA</t>
  </si>
  <si>
    <t>Vta. Unidades Nuevas/Quilicura/MAXIMAL</t>
  </si>
  <si>
    <t>VTAUNID/QUILI/MAXML</t>
  </si>
  <si>
    <t>VCLN01CUMA</t>
  </si>
  <si>
    <t>Vta. Unidades Nuevas/Curico/MAXIMAL</t>
  </si>
  <si>
    <t>VTAUNID/CURIC/MAXML</t>
  </si>
  <si>
    <t>VCLN01TAMA</t>
  </si>
  <si>
    <t>Vta. Unidades Nuevas/Talcahuano/MAXIMAL</t>
  </si>
  <si>
    <t>VTAUNID/TALCHU/MAXML</t>
  </si>
  <si>
    <t>VCLN01CAMA</t>
  </si>
  <si>
    <t>Vta. Unidades Nuevas/Calama/MAXIMAL</t>
  </si>
  <si>
    <t>VTAUNID/CALAM/MAXML</t>
  </si>
  <si>
    <t>VCLN01PMMA</t>
  </si>
  <si>
    <t>Vta. Unidades Nuevas/Pto Montt/MAXIMAL</t>
  </si>
  <si>
    <t>VTAUNID/PTMONT/MAXML</t>
  </si>
  <si>
    <t>VCLN01COMA</t>
  </si>
  <si>
    <t>Vta. Unidades Nuevas/Coquimbo/MAXIMAL</t>
  </si>
  <si>
    <t>VTAUNID/COQUIM/MAXML</t>
  </si>
  <si>
    <t>VCLN01OSMA</t>
  </si>
  <si>
    <t>Vta. Unidades Nuevas/Osorno/MAXIMAL</t>
  </si>
  <si>
    <t>VTAUNID/OSORN/MAXML</t>
  </si>
  <si>
    <t>VCLN01ANLG</t>
  </si>
  <si>
    <t>Vta. Unidades Nuevas/Antofagasta/LIUGONG</t>
  </si>
  <si>
    <t>VTAUNID/ANTOF/LIUGN</t>
  </si>
  <si>
    <t>VCLN01QCLG</t>
  </si>
  <si>
    <t>Vta. Unidades Nuevas/Quilicura/LIUGONG</t>
  </si>
  <si>
    <t>VTAUNID/QUILI/LIUGN</t>
  </si>
  <si>
    <t>VCLN01CULG</t>
  </si>
  <si>
    <t>Vta. Unidades Nuevas/Curico/LIUGONG</t>
  </si>
  <si>
    <t>VTAUNID/CURIC/LIUGN</t>
  </si>
  <si>
    <t>VCLN01TALG</t>
  </si>
  <si>
    <t>Vta. Unidades Nuevas/Talcahuano/LIUGONG</t>
  </si>
  <si>
    <t>VTAUNID/TALCHU/LIUGN</t>
  </si>
  <si>
    <t>VCLN01CALG</t>
  </si>
  <si>
    <t>Vta. Unidades Nuevas/Calama/LIUGONG</t>
  </si>
  <si>
    <t>VTAUNID/CALAM/LIUGN</t>
  </si>
  <si>
    <t>VCLN01PMLG</t>
  </si>
  <si>
    <t>Vta. Unidades Nuevas/Pto Montt/LIUGONG</t>
  </si>
  <si>
    <t>VTAUNID/PTMONT/LIUGN</t>
  </si>
  <si>
    <t>VCLN01COLG</t>
  </si>
  <si>
    <t>Vta. Unidades Nuevas/Coquimbo/LIUGONG</t>
  </si>
  <si>
    <t>VTAUNID/COQUIM/LIUGN</t>
  </si>
  <si>
    <t>VCLN01OSLG</t>
  </si>
  <si>
    <t>Vta. Unidades Nuevas/Osorno/LIUGONG</t>
  </si>
  <si>
    <t>VTAUNID/OSORN/LIUGN</t>
  </si>
  <si>
    <t>VCLN01ANOO</t>
  </si>
  <si>
    <t>VtaUnidNuevas/Antofagasta/TdasOtrsMrcas</t>
  </si>
  <si>
    <t>VTAUNID/ANTOF/TODAS</t>
  </si>
  <si>
    <t>VCLN01QCOO</t>
  </si>
  <si>
    <t>VtaUnidNuevas/Quilicura/TdasOtrsMrcas</t>
  </si>
  <si>
    <t>VTAUNID/QUILI/TODAS</t>
  </si>
  <si>
    <t>VCLN01CUOO</t>
  </si>
  <si>
    <t>VtaUnidNuevas/Curico/TdasOtrsMrcas</t>
  </si>
  <si>
    <t>VTAUNID/CURIC/TODAS</t>
  </si>
  <si>
    <t>VCLN01TAOO</t>
  </si>
  <si>
    <t>VtaUnidNuevas/Talcahuano/TdasOtrsMrcas</t>
  </si>
  <si>
    <t>VTAUNID/TALCHU/TODAS</t>
  </si>
  <si>
    <t>VCLN01CAOO</t>
  </si>
  <si>
    <t>VtaUnidNuevas/Calama/TdasOtrsMrcas</t>
  </si>
  <si>
    <t>VTAUNID/CALAM/TODAS</t>
  </si>
  <si>
    <t>VCLN01PMOO</t>
  </si>
  <si>
    <t>VtaUnidNuevas/Puerto Montt/TdasOtrsMrcas</t>
  </si>
  <si>
    <t>VTAUNID/PTMONT/TODAS</t>
  </si>
  <si>
    <t>VCLN01COOO</t>
  </si>
  <si>
    <t>VtaUnidNuevas/Coquimbo/TdasOtrsMrcas</t>
  </si>
  <si>
    <t>VTAUNID/COQUIM/TODAS</t>
  </si>
  <si>
    <t>VCLN01OSOO</t>
  </si>
  <si>
    <t>VtaUnidNuevas/Osorno/TdasOtrsMrcas</t>
  </si>
  <si>
    <t>VTAUNID/OSORN/TODAS</t>
  </si>
  <si>
    <t>VCLN72ANOO</t>
  </si>
  <si>
    <t>Rental Gruas/Antofagasta/TdasOtrsMrcas</t>
  </si>
  <si>
    <t>RNTGRUA/ANTOF/TODAS</t>
  </si>
  <si>
    <t>VCLN72QCOO</t>
  </si>
  <si>
    <t>Rental Gruas/Quilicura/TdasOtrsMrcas</t>
  </si>
  <si>
    <t>RNTGRUA/QUILI/TODAS</t>
  </si>
  <si>
    <t>VCLN72CUOO</t>
  </si>
  <si>
    <t>Rental Gruas/Curico/TODAS/OTRAS MARCAS</t>
  </si>
  <si>
    <t>RNTGRUA/CURIC/TODAS</t>
  </si>
  <si>
    <t>VCLN72TAOO</t>
  </si>
  <si>
    <t>Rental Gruas/Talcahuano/TdasOtrsMrcas</t>
  </si>
  <si>
    <t>RNTGRUA/TALCHU/TODAS</t>
  </si>
  <si>
    <t>VCLN72CAOO</t>
  </si>
  <si>
    <t>Rental Gruas/Calama/TODAS/OTRAS MARCAS</t>
  </si>
  <si>
    <t>RNTGRUA/CALAM/TODAS</t>
  </si>
  <si>
    <t>VCLN72PMOO</t>
  </si>
  <si>
    <t>Rental Gruas/Puerto Montt/TdasOtrsMrcas</t>
  </si>
  <si>
    <t>RNTGRUA/PTMONT/TODAS</t>
  </si>
  <si>
    <t>VCLN72COOO</t>
  </si>
  <si>
    <t>Rental Gruas/Coquimbo/TODAS/OTRAS MARCAS</t>
  </si>
  <si>
    <t>RNTGRUA/COQUIM/TODAS</t>
  </si>
  <si>
    <t>VCLN72OSOO</t>
  </si>
  <si>
    <t>Rental Gruas/Osorno/TODAS/OTRAS MARCAS</t>
  </si>
  <si>
    <t>RNTGRUA/OSORN/TODAS</t>
  </si>
  <si>
    <t>VCLN02ANHY</t>
  </si>
  <si>
    <t>Vta.Elect.Unid.Nuevas/Antofagasta/HYSTER</t>
  </si>
  <si>
    <t>ELECTM/ANTOF/HYSTR</t>
  </si>
  <si>
    <t>VCLN02QCHY</t>
  </si>
  <si>
    <t>Vta.Elect.Unid.Nuevas/Quilicura/HYSTER</t>
  </si>
  <si>
    <t>ELECTM/QUILI/HYSTR</t>
  </si>
  <si>
    <t>VCLN02CUHY</t>
  </si>
  <si>
    <t>Vta.Elect.Unid.Nuevas/Curico/HYSTER</t>
  </si>
  <si>
    <t>ELECTM/CURIC/HYSTR</t>
  </si>
  <si>
    <t>VCLN02TAHY</t>
  </si>
  <si>
    <t>Vta.Elect.Unid.Nuevas/Talcahuano/HYSTER</t>
  </si>
  <si>
    <t>ELECTM/TALCHU/HYSTR</t>
  </si>
  <si>
    <t>VCLN02CAHY</t>
  </si>
  <si>
    <t>Vta.Elect.Unid.Nuevas/Calama/HYSTER</t>
  </si>
  <si>
    <t>ELECTM/CALAM/HYSTR</t>
  </si>
  <si>
    <t>VCLN02PMHY</t>
  </si>
  <si>
    <t>Vta.Elect.Unid.Nuevas/Pto Montt/HYSTER</t>
  </si>
  <si>
    <t>ELECTM/PTMONT/HYSTR</t>
  </si>
  <si>
    <t>VCLN02COHY</t>
  </si>
  <si>
    <t>Vta.Elect.Unid.Nuevas/Coquimbo/HYSTER</t>
  </si>
  <si>
    <t>ELECTM/COQUIM/HYSTR</t>
  </si>
  <si>
    <t>VCLN02OSHY</t>
  </si>
  <si>
    <t>Vta.Elect.Unid.Nuevas/Osorno/HYSTER</t>
  </si>
  <si>
    <t>ELECTM/OSORN/HYSTR</t>
  </si>
  <si>
    <t>VCLN02ANLG</t>
  </si>
  <si>
    <t>Vta.Elect.UnidNuevas/Antofagasta/LIUGONG</t>
  </si>
  <si>
    <t>ELECTM/ANTOF/LIUGN</t>
  </si>
  <si>
    <t>VCLN02QCLG</t>
  </si>
  <si>
    <t>Vta.Elect.Unid.Nuevas/Quilicura/LIUGONG</t>
  </si>
  <si>
    <t>ELECTM/QUILI/LIUGN</t>
  </si>
  <si>
    <t>VCLN02CULG</t>
  </si>
  <si>
    <t>Vta.Elect.Unid.Nuevas/Curico/LIUGONG</t>
  </si>
  <si>
    <t>ELECTM/CURIC/LIUGN</t>
  </si>
  <si>
    <t>VCLN02TALG</t>
  </si>
  <si>
    <t>Vta.Elect.Unid.Nuevas/Talcahuano/LIUGONG</t>
  </si>
  <si>
    <t>ELECTM/TALCHU/LIUGN</t>
  </si>
  <si>
    <t>VCLN02CALG</t>
  </si>
  <si>
    <t>Vta.Elect.Unid.Nuevas/Calama/LIUGONG</t>
  </si>
  <si>
    <t>ELECTM/CALAM/LIUGN</t>
  </si>
  <si>
    <t>VCLN02PMLG</t>
  </si>
  <si>
    <t>VtaElect.UnidNuevas/Puerto Montt/LIUGONG</t>
  </si>
  <si>
    <t>ELECTM/PTMONT/LIUGN</t>
  </si>
  <si>
    <t>VCLN02COLG</t>
  </si>
  <si>
    <t>Vta.Elect.Unid.Nuevas/Coquimbo/LIUGONG</t>
  </si>
  <si>
    <t>ELECTM/COQUIM/LIUGN</t>
  </si>
  <si>
    <t>VCLN02OSLG</t>
  </si>
  <si>
    <t>Vta.Elect.Unid.Nuevas/Osorno/LIUGONG</t>
  </si>
  <si>
    <t>ELECTM/OSORN/LIUGN</t>
  </si>
  <si>
    <t>VCLN02ANTB</t>
  </si>
  <si>
    <t>Vta.Elect.UnidNuevas/Antofagasta/TERBERG</t>
  </si>
  <si>
    <t>ELECTM/ANTOF/TERBG</t>
  </si>
  <si>
    <t>VCLN02QCTB</t>
  </si>
  <si>
    <t>Vta.Elect.Unid.Nuevas/Quilicura/TERBERG</t>
  </si>
  <si>
    <t>ELECTM/QUILI/TERBG</t>
  </si>
  <si>
    <t>VCLN02CUTB</t>
  </si>
  <si>
    <t>Vta.Elect.Unid.Nuevas/Curico/TERBERG</t>
  </si>
  <si>
    <t>ELECTM/CURIC/TERBG</t>
  </si>
  <si>
    <t>VCLN02TATB</t>
  </si>
  <si>
    <t>Vta.Elect.Unid.Nuevas/Talcahuano/TERBERG</t>
  </si>
  <si>
    <t>ELECTM/TALCHU/TERBG</t>
  </si>
  <si>
    <t>VCLN02CATB</t>
  </si>
  <si>
    <t>Vta.Elect.Unid.Nuevas/Calama/TERBERG</t>
  </si>
  <si>
    <t>ELECTM/CALAM/TERBG</t>
  </si>
  <si>
    <t>VCLN02PMTB</t>
  </si>
  <si>
    <t>VtaElect.UnidNuevas/Puerto Montt/TERBERG</t>
  </si>
  <si>
    <t>ELECTM/PTMONT/TERBG</t>
  </si>
  <si>
    <t>VCLN02COTB</t>
  </si>
  <si>
    <t>Vta.Elect.Unid.Nuevas/Coquimbo/TERBERG</t>
  </si>
  <si>
    <t>ELECTM/COQUIM/TERBG</t>
  </si>
  <si>
    <t>VCLN02OSTB</t>
  </si>
  <si>
    <t>Vta.Elect.Unid.Nuevas/Osorno/TERBERG</t>
  </si>
  <si>
    <t>ELECTM/OSORN/TERBG</t>
  </si>
  <si>
    <t>VCLN02ANMA</t>
  </si>
  <si>
    <t>VtaElect.UnidNuevas/Antofagasta/MAXIMAL</t>
  </si>
  <si>
    <t>ELECTM/ANTOF/MAXML</t>
  </si>
  <si>
    <t>VCLN02QCMA</t>
  </si>
  <si>
    <t>Vta.Elect.Unid.Nuevas/Quilicura/MAXIMAL</t>
  </si>
  <si>
    <t>ELECTM/QUILI/MAXML</t>
  </si>
  <si>
    <t>VCLN02CUMA</t>
  </si>
  <si>
    <t>Vta.Elect.Unid.Nuevas/Curico/MAXIMAL</t>
  </si>
  <si>
    <t>ELECTM/CURIC/MAXML</t>
  </si>
  <si>
    <t>VCLN02TAMA</t>
  </si>
  <si>
    <t>Vta.Elect.Unid.Nuevas/Talcahuano/MAXIMAL</t>
  </si>
  <si>
    <t>ELECTM/TALCHU/MAXML</t>
  </si>
  <si>
    <t>VCLN02CAMA</t>
  </si>
  <si>
    <t>Vta.Elect.Unid.Nuevas/Calama/MAXIMAL</t>
  </si>
  <si>
    <t>ELECTM/CALAM/MAXML</t>
  </si>
  <si>
    <t>VCLN02PMMA</t>
  </si>
  <si>
    <t>VtaElect.UnidNuevas/Puerto Montt/MAXIMAL</t>
  </si>
  <si>
    <t>ELECTM/PTMONT/MAXML</t>
  </si>
  <si>
    <t>VCLN02COMA</t>
  </si>
  <si>
    <t>Vta.Elect.Unid.Nuevas/Coquimbo/MAXIMAL</t>
  </si>
  <si>
    <t>ELECTM/COQUIM/MAXML</t>
  </si>
  <si>
    <t>VCLN02OSMA</t>
  </si>
  <si>
    <t>Vta.Elect.Unid.Nuevas/Osorno/MAXIMAL</t>
  </si>
  <si>
    <t>ELECTM/OSORN/MAXML</t>
  </si>
  <si>
    <t>VDLN03ANLG</t>
  </si>
  <si>
    <t>VDLN04ANLG</t>
  </si>
  <si>
    <t>VDLN71ANLG</t>
  </si>
  <si>
    <t>VDLN05ANLG</t>
  </si>
  <si>
    <t>VDLN03QCLG</t>
  </si>
  <si>
    <t>VDLN04QCLG</t>
  </si>
  <si>
    <t>VDLN71QCLG</t>
  </si>
  <si>
    <t>VDLN05QCLG</t>
  </si>
  <si>
    <t>VDLN03CULG</t>
  </si>
  <si>
    <t>VDLN04CULG</t>
  </si>
  <si>
    <t>VDLN71CULG</t>
  </si>
  <si>
    <t>VDLN05CULG</t>
  </si>
  <si>
    <t>VDLN03TALG</t>
  </si>
  <si>
    <t>VDLN04TALG</t>
  </si>
  <si>
    <t>VDLN71TALG</t>
  </si>
  <si>
    <t>VDLN05TALG</t>
  </si>
  <si>
    <t>VDLN03CALG</t>
  </si>
  <si>
    <t>VDLN04CALG</t>
  </si>
  <si>
    <t>VDLN71CALG</t>
  </si>
  <si>
    <t>VDLN05CALG</t>
  </si>
  <si>
    <t>VDLN03PMLG</t>
  </si>
  <si>
    <t>VDLN04PMLG</t>
  </si>
  <si>
    <t>VDLN71PMLG</t>
  </si>
  <si>
    <t>VDLN05PMLG</t>
  </si>
  <si>
    <t>Usados AF/Puerto Montt/LIUGONG</t>
  </si>
  <si>
    <t>VDLN03COLG</t>
  </si>
  <si>
    <t>VDLN04COLG</t>
  </si>
  <si>
    <t>VDLN71COLG</t>
  </si>
  <si>
    <t>VDLN05COLG</t>
  </si>
  <si>
    <t>VDLN03OSLG</t>
  </si>
  <si>
    <t>VDLN04OSLG</t>
  </si>
  <si>
    <t>VDLN71OSLG</t>
  </si>
  <si>
    <t>VDLN05OSLG</t>
  </si>
  <si>
    <t>VDLN01ANLG</t>
  </si>
  <si>
    <t>VDLN01QCLG</t>
  </si>
  <si>
    <t>VDLN01CULG</t>
  </si>
  <si>
    <t>VDLN01TALG</t>
  </si>
  <si>
    <t>VDLN01CALG</t>
  </si>
  <si>
    <t>VDLN01PMLG</t>
  </si>
  <si>
    <t>Vta. Unid. Nuevas/Puerto Montt/LIUGONG</t>
  </si>
  <si>
    <t>VDLN01COLG</t>
  </si>
  <si>
    <t>VDLN01OSLG</t>
  </si>
  <si>
    <t>VDLN02ANLG</t>
  </si>
  <si>
    <t>VDLN02QCLG</t>
  </si>
  <si>
    <t>VDLN02CULG</t>
  </si>
  <si>
    <t>VDLN02TALG</t>
  </si>
  <si>
    <t>VDLN02CALG</t>
  </si>
  <si>
    <t>VDLN02PMLG</t>
  </si>
  <si>
    <t>VDLN02COLG</t>
  </si>
  <si>
    <t>VDLN02OSLG</t>
  </si>
  <si>
    <t>VELN03ANMA</t>
  </si>
  <si>
    <t>VELN04ANMA</t>
  </si>
  <si>
    <t>VELN72ANMA</t>
  </si>
  <si>
    <t>VELN05ANMA</t>
  </si>
  <si>
    <t>VELN03QCMA</t>
  </si>
  <si>
    <t>VELN04QCMA</t>
  </si>
  <si>
    <t>VELN72QCMA</t>
  </si>
  <si>
    <t>VELN05QCMA</t>
  </si>
  <si>
    <t>VELN03CUMA</t>
  </si>
  <si>
    <t>VELN04CUMA</t>
  </si>
  <si>
    <t>VELN72CUMA</t>
  </si>
  <si>
    <t>VELN05CUMA</t>
  </si>
  <si>
    <t>VELN03TAMA</t>
  </si>
  <si>
    <t>VELN04TAMA</t>
  </si>
  <si>
    <t>VELN72TAMA</t>
  </si>
  <si>
    <t>VELN05TAMA</t>
  </si>
  <si>
    <t>VELN03CAMA</t>
  </si>
  <si>
    <t>VELN04CAMA</t>
  </si>
  <si>
    <t>VELN72CAMA</t>
  </si>
  <si>
    <t>VELN05CAMA</t>
  </si>
  <si>
    <t>VELN03PMMA</t>
  </si>
  <si>
    <t>VELN04PMMA</t>
  </si>
  <si>
    <t>VELN72PMMA</t>
  </si>
  <si>
    <t>VELN05PMMA</t>
  </si>
  <si>
    <t>Usados AF/Puerto Montt/MAXIMAL</t>
  </si>
  <si>
    <t>VELN03COMA</t>
  </si>
  <si>
    <t>VELN04COMA</t>
  </si>
  <si>
    <t>VELN72COMA</t>
  </si>
  <si>
    <t>VELN05COMA</t>
  </si>
  <si>
    <t>VELN03OSMA</t>
  </si>
  <si>
    <t>VELN04OSMA</t>
  </si>
  <si>
    <t>VELN72OSMA</t>
  </si>
  <si>
    <t>VELN05OSMA</t>
  </si>
  <si>
    <t>TTI IMPORTACIONES</t>
  </si>
  <si>
    <t>VE01</t>
  </si>
  <si>
    <t>VELN01QCMA</t>
  </si>
  <si>
    <t>Vta. Unidades Nuevas/Importa/MAXIMAL</t>
  </si>
  <si>
    <t>VELN02QCMA</t>
  </si>
  <si>
    <t>Vta.Elect.UnidNuevas/Antofagasta/MAXIMAL</t>
  </si>
  <si>
    <t>C/F</t>
  </si>
  <si>
    <t>Fabricante</t>
  </si>
  <si>
    <t>F0030</t>
  </si>
  <si>
    <t>Centro</t>
  </si>
  <si>
    <t>Descripcion</t>
  </si>
  <si>
    <t>MTT QUILICURA</t>
  </si>
  <si>
    <t>MTT CALAMA</t>
  </si>
  <si>
    <t>MTT ANTOFAGASTA</t>
  </si>
  <si>
    <t>MTT CURICO</t>
  </si>
  <si>
    <t>MTT TALCAHUANO</t>
  </si>
  <si>
    <t>MTT TEMUCO</t>
  </si>
  <si>
    <t>MTT PUERTO MONTT</t>
  </si>
  <si>
    <t>VA07</t>
  </si>
  <si>
    <t>MTT IMPORTACIONES</t>
  </si>
  <si>
    <t>TTM QUILICURA</t>
  </si>
  <si>
    <t>TTM CALAMA</t>
  </si>
  <si>
    <t>TTM ANTOFAGASTA</t>
  </si>
  <si>
    <t>TTM CURICO</t>
  </si>
  <si>
    <t>TTM TALCAHUANO</t>
  </si>
  <si>
    <t>TTM PUERTO MONTT</t>
  </si>
  <si>
    <t>TTM OSORNO</t>
  </si>
  <si>
    <t>VC08</t>
  </si>
  <si>
    <t>TTM IMPORTACIONES</t>
  </si>
  <si>
    <t>TTMQ QUILICURA</t>
  </si>
  <si>
    <t>TTMQ CALAMA</t>
  </si>
  <si>
    <t>TTMQ ANTOFAGASTA</t>
  </si>
  <si>
    <t>TTMQ CURICO</t>
  </si>
  <si>
    <t>TTMQ TALCAHUANO</t>
  </si>
  <si>
    <t>TTMQ PUERTO MONTT</t>
  </si>
  <si>
    <t>TTMQ OSORNO</t>
  </si>
  <si>
    <t>VD08</t>
  </si>
  <si>
    <t>TTMQ IMPORTACIONES</t>
  </si>
  <si>
    <t>TTI QUILICURA</t>
  </si>
  <si>
    <t>TAU QUILICURA</t>
  </si>
  <si>
    <t>TAU MOVICENTER F6</t>
  </si>
  <si>
    <t>TAU LIRA</t>
  </si>
  <si>
    <t>TAU OPERADOR LOGISTICO</t>
  </si>
  <si>
    <t>TAU VITACURA</t>
  </si>
  <si>
    <t>TAU PLAZA OESTE</t>
  </si>
  <si>
    <t>VF08</t>
  </si>
  <si>
    <t>TAU IMPORTACIONES</t>
  </si>
  <si>
    <t>Centros</t>
  </si>
  <si>
    <t>VA00, VA01, VA02, VA03, VA04, VA05, VA06, VA07</t>
  </si>
  <si>
    <t>VC00, VC01, VC02, VC04, VC05, VC06, VC07, VE00, VE01</t>
  </si>
  <si>
    <t>VC00, VC01, VC02, VC04, VC05, VC06, VC07, VC08</t>
  </si>
  <si>
    <t>VD00, VD01, VD02, VD04, VD05, VD06, VD07, VD08</t>
  </si>
  <si>
    <t>VA02, VA04, VA06, VF00, VF01, VF04, VF06, VF08</t>
  </si>
  <si>
    <t>VF00, VF01, VF04, VF06, VF08</t>
  </si>
  <si>
    <t>VF00, VF01, VF03, VF04, VF06, VF08</t>
  </si>
  <si>
    <t>VA00, VA01, VA02, VA03, VA04, VA05, VA06, VA07, VF00, VF01, VF04, VF06, VF08</t>
  </si>
  <si>
    <t>VF00, VF01, VF04, VF05, VF06, VF08</t>
  </si>
  <si>
    <t>VF00, VF04</t>
  </si>
  <si>
    <t>VC00, VC01, VC02, VC04, VC05, VC06, VC07, VC08, VF00, VF01, VF03, VF04, VF06, VF08</t>
  </si>
  <si>
    <t xml:space="preserve">Tau maco, validar con Fran o Joaco </t>
  </si>
  <si>
    <t>maco centro de osorno se va a crear (nuevo)</t>
  </si>
  <si>
    <t xml:space="preserve">liug con fran, lo demas con </t>
  </si>
  <si>
    <t>El centro VF07 no va</t>
  </si>
  <si>
    <t>CodigoCentro</t>
  </si>
  <si>
    <t>DescripcionCentro</t>
  </si>
  <si>
    <t>COD_FILIAL</t>
  </si>
  <si>
    <t>CLAVE (SOCIEDAD|LOCALIDAD)</t>
  </si>
  <si>
    <t>MACO Quilicura</t>
  </si>
  <si>
    <t>Tattersall Automotriz|Quilicura</t>
  </si>
  <si>
    <t>MACO Calama</t>
  </si>
  <si>
    <t>Tattersall Automotriz|Movicenter LynkCo</t>
  </si>
  <si>
    <t>MACO Antofagasta</t>
  </si>
  <si>
    <t>Tattersall Automotriz|Movicenter Multimarca</t>
  </si>
  <si>
    <t>MACO Curicó</t>
  </si>
  <si>
    <t>Tattersall Automotriz|Lira (motos)</t>
  </si>
  <si>
    <t>MACO Talcahuano</t>
  </si>
  <si>
    <t>Tattersall Automotriz|Operador Logístico</t>
  </si>
  <si>
    <t>MACO Temuco</t>
  </si>
  <si>
    <t>Tattersall Automotriz|Vitacura</t>
  </si>
  <si>
    <t>MACO Puerto Montt</t>
  </si>
  <si>
    <t>Tattersall Automotriz|Plaza Oeste</t>
  </si>
  <si>
    <t>MACO Puerto Importaciones</t>
  </si>
  <si>
    <t>Tattersall Automotriz|La Dehesa</t>
  </si>
  <si>
    <t>VB00</t>
  </si>
  <si>
    <t>DFT Motors Quilicura</t>
  </si>
  <si>
    <t>Tattersall Automotriz|</t>
  </si>
  <si>
    <t>VB01</t>
  </si>
  <si>
    <t>DFT Motors Pto Importaciones</t>
  </si>
  <si>
    <t>MACO Tattersall|Quilicura</t>
  </si>
  <si>
    <t>Maquinarias Quilicura</t>
  </si>
  <si>
    <t>MACO Tattersall|Calama</t>
  </si>
  <si>
    <t>Maquinarias Calama</t>
  </si>
  <si>
    <t>MACO Tattersall|Antofagasta</t>
  </si>
  <si>
    <t>Maquinarias Antofagasta</t>
  </si>
  <si>
    <t>MACO Tattersall|Curico</t>
  </si>
  <si>
    <t>Maquinarias Coquimbo</t>
  </si>
  <si>
    <t>MACO Tattersall|Talcahuano</t>
  </si>
  <si>
    <t>Maquinarias Curicó</t>
  </si>
  <si>
    <t>MACO Tattersall|Temuco</t>
  </si>
  <si>
    <t>Maquinarias Talcahuano</t>
  </si>
  <si>
    <t>MACO Tattersall|Puerto Montt</t>
  </si>
  <si>
    <t>Maquinarias Puerto Montt</t>
  </si>
  <si>
    <t>MACO Tattersall|</t>
  </si>
  <si>
    <t>Maquinarias Osorno</t>
  </si>
  <si>
    <t>Tattersall Maquinarias|Quilicura</t>
  </si>
  <si>
    <t>Maquinarias Pto Importaciones</t>
  </si>
  <si>
    <t>Tattersall Maquinarias|Calama</t>
  </si>
  <si>
    <t>Multimaq Quilicura</t>
  </si>
  <si>
    <t>Tattersall Maquinarias|Antofagasta</t>
  </si>
  <si>
    <t>Multimaq Calama</t>
  </si>
  <si>
    <t>Tattersall Maquinarias|Coquimbo</t>
  </si>
  <si>
    <t>Multimaq Antofagasta</t>
  </si>
  <si>
    <t>Tattersall Maquinarias|Curico</t>
  </si>
  <si>
    <t>Multimaq Coquimbo</t>
  </si>
  <si>
    <t>Tattersall Maquinarias|Talcahuano</t>
  </si>
  <si>
    <t>Multimaq Curico</t>
  </si>
  <si>
    <t>Tattersall Maquinarias|Puerto Montt</t>
  </si>
  <si>
    <t>Multimaq Talcahuano</t>
  </si>
  <si>
    <t>Tattersall Maquinarias|Osorno</t>
  </si>
  <si>
    <t>Multimaq Puerto Montt</t>
  </si>
  <si>
    <t>Tattersall Maquinarias|</t>
  </si>
  <si>
    <t>Multimaq Osorno</t>
  </si>
  <si>
    <t>Tattersall Multimaq|Quilicura</t>
  </si>
  <si>
    <t>Multimaq Puerto Importaciones</t>
  </si>
  <si>
    <t>Tattersall Multimaq|Calama</t>
  </si>
  <si>
    <t>Industrial Quilicura</t>
  </si>
  <si>
    <t>Tattersall Multimaq|Antofagasta</t>
  </si>
  <si>
    <t>Industrial Pto Importaciones</t>
  </si>
  <si>
    <t>Tattersall Multimaq|Coquimbo</t>
  </si>
  <si>
    <t>Automotriz Quilicura</t>
  </si>
  <si>
    <t>Tattersall Multimaq|Curico</t>
  </si>
  <si>
    <t>Automotriz Movicenter 1</t>
  </si>
  <si>
    <t>Tattersall Multimaq|Talcahuano</t>
  </si>
  <si>
    <t>Automotriz Lira</t>
  </si>
  <si>
    <t>Tattersall Multimaq|Puerto Montt</t>
  </si>
  <si>
    <t>Automotriz Operador Logístico</t>
  </si>
  <si>
    <t>Tattersall Multimaq|Osorno</t>
  </si>
  <si>
    <t>Automotriz Vitacura</t>
  </si>
  <si>
    <t>Tattersall Multimaq|</t>
  </si>
  <si>
    <t>Automotriz Plaza Oeste</t>
  </si>
  <si>
    <t>Tattersall Industrial|Quilicura</t>
  </si>
  <si>
    <t>Automotriz La Dehesa</t>
  </si>
  <si>
    <t>Tattersall Industrial|</t>
  </si>
  <si>
    <t>Automotriz Pto Importaciones</t>
  </si>
  <si>
    <t xml:space="preserve">necesario? </t>
  </si>
  <si>
    <t>Tattersall Industrial|Antofagasta</t>
  </si>
  <si>
    <t>VF09</t>
  </si>
  <si>
    <t>Automotriz Movicenter Taller</t>
  </si>
  <si>
    <t>Tattersall Industrial|Calama</t>
  </si>
  <si>
    <t>Tattersall Industrial|Coquimbo</t>
  </si>
  <si>
    <t>Tattersall Industrial|Curico</t>
  </si>
  <si>
    <t>Tattersall Industrial|Talcahuano</t>
  </si>
  <si>
    <t>Tattersall Industrial|Puerto Montt</t>
  </si>
  <si>
    <t>Tattersall Industrial|Osorno</t>
  </si>
  <si>
    <t>Proveedor</t>
  </si>
  <si>
    <t>Nombre</t>
  </si>
  <si>
    <t>;</t>
  </si>
  <si>
    <t>GRUPO MATERIAL</t>
  </si>
  <si>
    <t>CODIGO</t>
  </si>
  <si>
    <t>CHINA DONG FENG MOTOR INDUSTRY  IMP</t>
  </si>
  <si>
    <t>DFCV</t>
  </si>
  <si>
    <t>BASHAN</t>
  </si>
  <si>
    <t>010</t>
  </si>
  <si>
    <t xml:space="preserve">Texto </t>
  </si>
  <si>
    <t>codigo</t>
  </si>
  <si>
    <t>F0002</t>
  </si>
  <si>
    <t>ACCURIDE WHEEL</t>
  </si>
  <si>
    <t>ACWHE</t>
  </si>
  <si>
    <t>ASILE MASTER</t>
  </si>
  <si>
    <t>020</t>
  </si>
  <si>
    <t>ORIGINAL</t>
  </si>
  <si>
    <t>F0003</t>
  </si>
  <si>
    <t>ADQUIM</t>
  </si>
  <si>
    <t>ADQUI</t>
  </si>
  <si>
    <t>COMBILIFT</t>
  </si>
  <si>
    <t>030</t>
  </si>
  <si>
    <t>ALTERNATIVO</t>
  </si>
  <si>
    <t>F0004</t>
  </si>
  <si>
    <t>ALLIANCE</t>
  </si>
  <si>
    <t>ALLIA</t>
  </si>
  <si>
    <t>CUMMINS</t>
  </si>
  <si>
    <t>040</t>
  </si>
  <si>
    <t>F0005</t>
  </si>
  <si>
    <t>ANKA</t>
  </si>
  <si>
    <t>D&amp;P</t>
  </si>
  <si>
    <t>050</t>
  </si>
  <si>
    <t>INTERNATIONAL MOTORS, LLC</t>
  </si>
  <si>
    <t>INT</t>
  </si>
  <si>
    <t>DONGFENG</t>
  </si>
  <si>
    <t>F0007</t>
  </si>
  <si>
    <t>BENDIX</t>
  </si>
  <si>
    <t>BENDI</t>
  </si>
  <si>
    <t>DRESSTA</t>
  </si>
  <si>
    <t>070</t>
  </si>
  <si>
    <t>F0008</t>
  </si>
  <si>
    <t>BORGWARNER ALL MAKES</t>
  </si>
  <si>
    <t>BORWA</t>
  </si>
  <si>
    <t>F0009</t>
  </si>
  <si>
    <t>BRAKEDRUM</t>
  </si>
  <si>
    <t>BRAKE</t>
  </si>
  <si>
    <t>HIDROMEK</t>
  </si>
  <si>
    <t>HYSTER-YALE MAXIMAL FORKLIFT (ZHEJI</t>
  </si>
  <si>
    <t>MXML</t>
  </si>
  <si>
    <t>F0011</t>
  </si>
  <si>
    <t>TVH FORKLIFT PARTS NV</t>
  </si>
  <si>
    <t>TVH</t>
  </si>
  <si>
    <t>NMHG INC. PARTS DISTRIBUTION CENTER</t>
  </si>
  <si>
    <t>HYST</t>
  </si>
  <si>
    <t>F0013</t>
  </si>
  <si>
    <t>TREL</t>
  </si>
  <si>
    <t>HIDROMEK-HIDROLIK VE MEKNANIK LTD.</t>
  </si>
  <si>
    <t>Terberg Tractors Americas, Inc</t>
  </si>
  <si>
    <t>TERB</t>
  </si>
  <si>
    <t>Guangxi Liugong Machinery Co., Ltd.</t>
  </si>
  <si>
    <t>LIUG</t>
  </si>
  <si>
    <t>F0017</t>
  </si>
  <si>
    <t>DRSS</t>
  </si>
  <si>
    <t>LYNK &amp; CO</t>
  </si>
  <si>
    <t>F0018</t>
  </si>
  <si>
    <t>MOTORPEL CO. LTD.</t>
  </si>
  <si>
    <t>MTPL</t>
  </si>
  <si>
    <t>KYC CHONGQING KUAYUE (GROUP) CO.</t>
  </si>
  <si>
    <t>MICHELIN</t>
  </si>
  <si>
    <t>190</t>
  </si>
  <si>
    <t>ZXAUTO INTERNATINOAL IMPORT AND EXP</t>
  </si>
  <si>
    <t>ZXAU</t>
  </si>
  <si>
    <t>MODASA</t>
  </si>
  <si>
    <t>200</t>
  </si>
  <si>
    <t>CHONGQING LIFAN SUZHUI FOREIGN TRAD</t>
  </si>
  <si>
    <t>LIFM</t>
  </si>
  <si>
    <t>MUSTANG</t>
  </si>
  <si>
    <t>210</t>
  </si>
  <si>
    <t>DONGFENG AUTOBOBILE CO LTD</t>
  </si>
  <si>
    <t>DFAC</t>
  </si>
  <si>
    <t>LIVAN AUTO IMP. &amp; EXP. CO., LTD</t>
  </si>
  <si>
    <t>LIVN</t>
  </si>
  <si>
    <t>F0024</t>
  </si>
  <si>
    <t>CHONGQING LIJU IMP &amp; EXP CO., LTD</t>
  </si>
  <si>
    <t>LIFA</t>
  </si>
  <si>
    <t>TRELLEBORG</t>
  </si>
  <si>
    <t>240</t>
  </si>
  <si>
    <t>SHANDONG OULING AUTOMOBILE MANUFACT</t>
  </si>
  <si>
    <t>RIDD</t>
  </si>
  <si>
    <t>WATTS</t>
  </si>
  <si>
    <t>250</t>
  </si>
  <si>
    <t>F0026</t>
  </si>
  <si>
    <t>CHONGQING SHINDARY INDUSTRI</t>
  </si>
  <si>
    <t>SHIN</t>
  </si>
  <si>
    <t>ZX</t>
  </si>
  <si>
    <t>LYNK &amp; CO AUTOMOBILE INTERNATIONAL</t>
  </si>
  <si>
    <t>LYNK</t>
  </si>
  <si>
    <t>LINHAI</t>
  </si>
  <si>
    <t>270</t>
  </si>
  <si>
    <t>CHINA FAW GROUP IMPORT &amp; EXPORT CO.</t>
  </si>
  <si>
    <t>OTRAS MARCAS</t>
  </si>
  <si>
    <t>CHERY AUTOMOBILE HENAN CO. LT</t>
  </si>
  <si>
    <t>JETR</t>
  </si>
  <si>
    <t>LIFAN AUTO</t>
  </si>
  <si>
    <t>290</t>
  </si>
  <si>
    <t>LINHAI CO., LTD.</t>
  </si>
  <si>
    <t>LINH</t>
  </si>
  <si>
    <t>F0032</t>
  </si>
  <si>
    <t>CONTINENT</t>
  </si>
  <si>
    <t>CONTI</t>
  </si>
  <si>
    <t>F0033</t>
  </si>
  <si>
    <t>COPEC</t>
  </si>
  <si>
    <t>F0034</t>
  </si>
  <si>
    <t>CR-SKF</t>
  </si>
  <si>
    <t>CRSKF</t>
  </si>
  <si>
    <t>F0035</t>
  </si>
  <si>
    <t>CUMMI</t>
  </si>
  <si>
    <t>F0036</t>
  </si>
  <si>
    <t>CUMMINS MULTIMARCA</t>
  </si>
  <si>
    <t>CUMMU</t>
  </si>
  <si>
    <t>F0037</t>
  </si>
  <si>
    <t>DANA SPICER</t>
  </si>
  <si>
    <t>DASPI</t>
  </si>
  <si>
    <t>F0038</t>
  </si>
  <si>
    <t>DELCO REMY</t>
  </si>
  <si>
    <t>DELRE</t>
  </si>
  <si>
    <t>F0039</t>
  </si>
  <si>
    <t>DONALDSON</t>
  </si>
  <si>
    <t>DONAL</t>
  </si>
  <si>
    <t>F0040</t>
  </si>
  <si>
    <t>WARREN OIL</t>
  </si>
  <si>
    <t>WAROI</t>
  </si>
  <si>
    <t>F0041</t>
  </si>
  <si>
    <t>EATON CLUTCH</t>
  </si>
  <si>
    <t>EACLU</t>
  </si>
  <si>
    <t>F0042</t>
  </si>
  <si>
    <t>EATON ENDURANT</t>
  </si>
  <si>
    <t>EAEND</t>
  </si>
  <si>
    <t>F0043</t>
  </si>
  <si>
    <t>EATON FULLER</t>
  </si>
  <si>
    <t>EAFUL</t>
  </si>
  <si>
    <t>F0044</t>
  </si>
  <si>
    <t>FLEETRITE BATTERY (MX)</t>
  </si>
  <si>
    <t>FLBAT</t>
  </si>
  <si>
    <t>F0045</t>
  </si>
  <si>
    <t>FLEETRITE CHINA</t>
  </si>
  <si>
    <t>FLCHI</t>
  </si>
  <si>
    <t>F0046</t>
  </si>
  <si>
    <t>FLEETRITE CLUTCH IATCO</t>
  </si>
  <si>
    <t>FLCLU</t>
  </si>
  <si>
    <t>F0047</t>
  </si>
  <si>
    <t>FLEETRITE</t>
  </si>
  <si>
    <t>FLEET</t>
  </si>
  <si>
    <t>F0048</t>
  </si>
  <si>
    <t>FLEETGUARD</t>
  </si>
  <si>
    <t>FLGUA</t>
  </si>
  <si>
    <t>F0049</t>
  </si>
  <si>
    <t>FONTAINE</t>
  </si>
  <si>
    <t>FONTA</t>
  </si>
  <si>
    <t>F0050</t>
  </si>
  <si>
    <t>GABRIEL</t>
  </si>
  <si>
    <t>GABRI</t>
  </si>
  <si>
    <t>F0051</t>
  </si>
  <si>
    <t>HENDRICKSON</t>
  </si>
  <si>
    <t>HENDR</t>
  </si>
  <si>
    <t>F0052</t>
  </si>
  <si>
    <t>HENDRICKSON TRUCK</t>
  </si>
  <si>
    <t>HETRU</t>
  </si>
  <si>
    <t>F0053</t>
  </si>
  <si>
    <t>HORTON</t>
  </si>
  <si>
    <t>HORTO</t>
  </si>
  <si>
    <t>F0054</t>
  </si>
  <si>
    <t>MERITOR</t>
  </si>
  <si>
    <t>MERIT</t>
  </si>
  <si>
    <t>F0055</t>
  </si>
  <si>
    <t>MERITOR USA</t>
  </si>
  <si>
    <t>MERUS</t>
  </si>
  <si>
    <t>F0056</t>
  </si>
  <si>
    <t>MGM BRAKE</t>
  </si>
  <si>
    <t>MGBRA</t>
  </si>
  <si>
    <t>F0057</t>
  </si>
  <si>
    <t>MWM</t>
  </si>
  <si>
    <t>F0058</t>
  </si>
  <si>
    <t>NACIONAL</t>
  </si>
  <si>
    <t>NAC</t>
  </si>
  <si>
    <t>F0059</t>
  </si>
  <si>
    <t>NELSON</t>
  </si>
  <si>
    <t>NELSO</t>
  </si>
  <si>
    <t>F0060</t>
  </si>
  <si>
    <t>NEWSTREAM</t>
  </si>
  <si>
    <t>NEWST</t>
  </si>
  <si>
    <t>F0061</t>
  </si>
  <si>
    <t>NTN</t>
  </si>
  <si>
    <t>F0063</t>
  </si>
  <si>
    <t>SAF HOLLAND</t>
  </si>
  <si>
    <t>SAFHO</t>
  </si>
  <si>
    <t>F0064</t>
  </si>
  <si>
    <t>SKF</t>
  </si>
  <si>
    <t>F0065</t>
  </si>
  <si>
    <t>SPICER</t>
  </si>
  <si>
    <t>SPICE</t>
  </si>
  <si>
    <t>F0066</t>
  </si>
  <si>
    <t>STARCLUCH</t>
  </si>
  <si>
    <t>STARC</t>
  </si>
  <si>
    <t>F0067</t>
  </si>
  <si>
    <t>TAS</t>
  </si>
  <si>
    <t>F0068</t>
  </si>
  <si>
    <t>TIMKEN</t>
  </si>
  <si>
    <t>TIMKE</t>
  </si>
  <si>
    <t>F0069</t>
  </si>
  <si>
    <t>TRUCK LITE</t>
  </si>
  <si>
    <t>TRULI</t>
  </si>
  <si>
    <t>F0070</t>
  </si>
  <si>
    <t>VALVOLINE</t>
  </si>
  <si>
    <t>VALVO</t>
  </si>
  <si>
    <t>F0071</t>
  </si>
  <si>
    <t>ALTERNATIVO IMPORTACION</t>
  </si>
  <si>
    <t>ALT</t>
  </si>
  <si>
    <t>F0072</t>
  </si>
  <si>
    <t>REMANUFACTURADO</t>
  </si>
  <si>
    <t>REMAN</t>
  </si>
  <si>
    <t>F0073</t>
  </si>
  <si>
    <t>CABMATE LINK</t>
  </si>
  <si>
    <t>CABLI</t>
  </si>
  <si>
    <t>F0074</t>
  </si>
  <si>
    <t>PHILLIPS</t>
  </si>
  <si>
    <t>PHILL</t>
  </si>
  <si>
    <t>F0075</t>
  </si>
  <si>
    <t>KIT Tattersall</t>
  </si>
  <si>
    <t>TKIT</t>
  </si>
  <si>
    <t>OTRO</t>
  </si>
  <si>
    <t>Resumen de cobertura por centro (base: hoja cebe / Tabla1)</t>
  </si>
  <si>
    <t>MARCAS: ¿en cuántos centros está cada marca?</t>
  </si>
  <si>
    <t>N° Centros</t>
  </si>
  <si>
    <t>N° CEBEs</t>
  </si>
  <si>
    <t>VA00, VA01, VA02, VA03, VA04, VA05, VA06, VF00, VF01, VF04, VF06</t>
  </si>
  <si>
    <t>VA00, VA01, VA02, VA03, VA04, VA05, VA06</t>
  </si>
  <si>
    <t>VC00, VC01, VC02, VC03, VC04, VC05, VC06, VC07</t>
  </si>
  <si>
    <t>VF00, VF01, VF04, VF06</t>
  </si>
  <si>
    <t>VF00, VF03, VF04</t>
  </si>
  <si>
    <t>VC00, VC01, VC02, VC03, VC04, VC05, VC06, VC07, VD00, VD01, VD02, VD03, VD04, VD05, VD06, VD07</t>
  </si>
  <si>
    <t>VF00, VF01, VF04, VF05, VF06, VF07</t>
  </si>
  <si>
    <t>VC00, VC01, VC02, VC03, VC04, VC05, VC06, VC07, VE00</t>
  </si>
  <si>
    <t>VA00, VA01, VA02, VA03, VA04, VA05, VA06, VC00, VC01, VC02, VC03, VC04, VC05, VC06, VC07, VF00, VF01, VF03, VF04, VF06</t>
  </si>
  <si>
    <t>FABRICANTES: ¿en cuántos centros está cada fabricante?</t>
  </si>
  <si>
    <t>Nombre proveedor (hoja MARCAS)</t>
  </si>
  <si>
    <t>N° Marcas</t>
  </si>
  <si>
    <t>Nombre_Fabricante</t>
  </si>
  <si>
    <t>CENTROS_APLICA</t>
  </si>
  <si>
    <t>Centros de Importación</t>
  </si>
  <si>
    <t>VTAUNID/IMPORT/MAXML</t>
  </si>
  <si>
    <t>Vta.Uni./Importaciones/DONG FENG (DFCV)</t>
  </si>
  <si>
    <t>VTA.UNID/IMPORT/DFCV</t>
  </si>
  <si>
    <t>Vta.Uni./Importaciones/INTERNATIONAL</t>
  </si>
  <si>
    <t>VTA.UNID/IMPORT/INT</t>
  </si>
  <si>
    <t>Vta.Uni./Importaciones/DONG FENG (DFAC)</t>
  </si>
  <si>
    <t>VTA.UNID/IMPORT/DFAC</t>
  </si>
  <si>
    <t>Vta.Uni./Importaciones/FAW</t>
  </si>
  <si>
    <t>VTA.UNID/IMPORT/FAW</t>
  </si>
  <si>
    <t>Vta. Unidades Nuevas/Importa/HYSTER</t>
  </si>
  <si>
    <t>VTAUNID/IMPORT/HYSTR</t>
  </si>
  <si>
    <t>Vta. Unidades Nuevas/Importaciones/HMK</t>
  </si>
  <si>
    <t>VTAUNID/IMPORT/HMK</t>
  </si>
  <si>
    <t>Vta. Unidades Nuevas/Importa/TERBERG</t>
  </si>
  <si>
    <t>VTAUNID/IMPORT/TERBG</t>
  </si>
  <si>
    <t>VtaUnidNuevas/Importa/TdasOtrsMrcas</t>
  </si>
  <si>
    <t>VTAUNID/IMPORT/TODAS</t>
  </si>
  <si>
    <t>Vta. Unidades Nuevas/Importa/LIUGONG</t>
  </si>
  <si>
    <t>VTAUNID/IMPORT/LIUGN</t>
  </si>
  <si>
    <t>Vta.Un/Importaciones/KYC</t>
  </si>
  <si>
    <t>VTAUND/IMPORT/KYC</t>
  </si>
  <si>
    <t>Vta.Un/Importaciones/ZXAUTO</t>
  </si>
  <si>
    <t>VTAUND/IMPORT/ZXAUTO</t>
  </si>
  <si>
    <t>Vta.Un/Importaciones/LIFAN</t>
  </si>
  <si>
    <t>VTAUND/IMPORT/LIFAN</t>
  </si>
  <si>
    <t>Vta.Un/Importaciones/DONG FENG (DFAC)</t>
  </si>
  <si>
    <t>VTAUND/IMPORT/DFAC</t>
  </si>
  <si>
    <t>Vta.Un/Importaciones/LIVAN</t>
  </si>
  <si>
    <t>VTAUND/IMPORT/LIVAN</t>
  </si>
  <si>
    <t>Vta.Un/Importaciones/LYNK CO</t>
  </si>
  <si>
    <t>VTAUND/IMPORT/LYNKO</t>
  </si>
  <si>
    <t>Vta.Un/Importaciones/TODAS/OTRAS MARCAS</t>
  </si>
  <si>
    <t>VTAUND/IMPORT/TODAS</t>
  </si>
  <si>
    <t>Imporacion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</si>
</sst>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215C98"/>
      <name val="Aptos Display"/>
      <family val="2"/>
    </font>
    <font>
      <sz val="11"/>
      <color rgb="FF000000"/>
      <name val="Aptos Display"/>
      <family val="2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215C98"/>
      <name val="Aptos Display"/>
      <family val="2"/>
    </font>
    <font>
      <b/>
      <sz val="12"/>
      <color rgb="FF000000"/>
      <name val="Aptos Display"/>
      <family val="2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1"/>
      <color rgb="FF000000"/>
      <name val="Aptos Display"/>
    </font>
    <font>
      <sz val="11"/>
      <color rgb="FF000000"/>
      <name val="Aptos Narrow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DEDED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5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left"/>
    </xf>
    <xf numFmtId="0" fontId="3" fillId="0" borderId="0" xfId="0" applyFont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49" fontId="0" fillId="0" borderId="0" xfId="0" applyNumberFormat="1"/>
    <xf numFmtId="0" fontId="10" fillId="0" borderId="0" xfId="0" applyFont="1"/>
    <xf numFmtId="0" fontId="10" fillId="4" borderId="1" xfId="0" applyFont="1" applyFill="1" applyBorder="1"/>
    <xf numFmtId="49" fontId="10" fillId="4" borderId="1" xfId="0" applyNumberFormat="1" applyFont="1" applyFill="1" applyBorder="1"/>
    <xf numFmtId="0" fontId="10" fillId="0" borderId="1" xfId="0" applyFont="1" applyBorder="1"/>
    <xf numFmtId="49" fontId="11" fillId="0" borderId="3" xfId="0" applyNumberFormat="1" applyFont="1" applyBorder="1"/>
    <xf numFmtId="0" fontId="10" fillId="0" borderId="6" xfId="0" applyFont="1" applyBorder="1"/>
    <xf numFmtId="49" fontId="10" fillId="0" borderId="7" xfId="0" applyNumberFormat="1" applyFont="1" applyBorder="1"/>
    <xf numFmtId="0" fontId="12" fillId="0" borderId="0" xfId="0" applyFont="1"/>
    <xf numFmtId="49" fontId="10" fillId="0" borderId="6" xfId="0" applyNumberFormat="1" applyFont="1" applyBorder="1"/>
    <xf numFmtId="0" fontId="12" fillId="5" borderId="1" xfId="0" applyFont="1" applyFill="1" applyBorder="1"/>
    <xf numFmtId="49" fontId="10" fillId="5" borderId="1" xfId="0" applyNumberFormat="1" applyFont="1" applyFill="1" applyBorder="1"/>
    <xf numFmtId="49" fontId="10" fillId="0" borderId="0" xfId="0" applyNumberFormat="1" applyFont="1"/>
    <xf numFmtId="0" fontId="10" fillId="6" borderId="0" xfId="0" applyFont="1" applyFill="1"/>
    <xf numFmtId="49" fontId="10" fillId="6" borderId="7" xfId="0" applyNumberFormat="1" applyFont="1" applyFill="1" applyBorder="1"/>
    <xf numFmtId="0" fontId="0" fillId="6" borderId="0" xfId="0" applyFill="1"/>
    <xf numFmtId="49" fontId="10" fillId="6" borderId="6" xfId="0" applyNumberFormat="1" applyFont="1" applyFill="1" applyBorder="1"/>
    <xf numFmtId="0" fontId="13" fillId="0" borderId="0" xfId="0" applyFont="1"/>
    <xf numFmtId="0" fontId="14" fillId="0" borderId="0" xfId="0" applyFont="1"/>
    <xf numFmtId="0" fontId="3" fillId="8" borderId="0" xfId="0" applyFont="1" applyFill="1"/>
    <xf numFmtId="0" fontId="3" fillId="9" borderId="0" xfId="0" applyFont="1" applyFill="1"/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0" fillId="0" borderId="0" xfId="0" pivotButton="1"/>
    <xf numFmtId="0" fontId="0" fillId="10" borderId="1" xfId="0" applyFill="1" applyBorder="1"/>
    <xf numFmtId="0" fontId="2" fillId="2" borderId="0" xfId="0" applyFont="1" applyFill="1" applyAlignment="1">
      <alignment horizontal="left" inden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7" borderId="5" xfId="0" applyFont="1" applyFill="1" applyBorder="1" applyAlignment="1">
      <alignment horizontal="left"/>
    </xf>
    <xf numFmtId="0" fontId="0" fillId="11" borderId="9" xfId="0" applyFill="1" applyBorder="1"/>
    <xf numFmtId="0" fontId="0" fillId="10" borderId="9" xfId="0" applyFill="1" applyBorder="1"/>
    <xf numFmtId="0" fontId="0" fillId="0" borderId="9" xfId="0" applyBorder="1"/>
    <xf numFmtId="0" fontId="0" fillId="6" borderId="9" xfId="0" applyFill="1" applyBorder="1"/>
    <xf numFmtId="0" fontId="0" fillId="12" borderId="9" xfId="0" applyFill="1" applyBorder="1"/>
    <xf numFmtId="0" fontId="0" fillId="13" borderId="9" xfId="0" applyFill="1" applyBorder="1"/>
    <xf numFmtId="0" fontId="0" fillId="14" borderId="9" xfId="0" applyFill="1" applyBorder="1"/>
    <xf numFmtId="0" fontId="0" fillId="15" borderId="9" xfId="0" applyFill="1" applyBorder="1"/>
    <xf numFmtId="0" fontId="0" fillId="16" borderId="9" xfId="0" applyFill="1" applyBorder="1"/>
    <xf numFmtId="0" fontId="0" fillId="16" borderId="0" xfId="0" applyFill="1"/>
    <xf numFmtId="0" fontId="7" fillId="2" borderId="1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/>
    <xf numFmtId="0" fontId="8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 indent="1"/>
    </xf>
    <xf numFmtId="0" fontId="2" fillId="2" borderId="5" xfId="0" applyFont="1" applyFill="1" applyBorder="1"/>
    <xf numFmtId="0" fontId="2" fillId="2" borderId="11" xfId="0" applyFont="1" applyFill="1" applyBorder="1" applyAlignment="1">
      <alignment horizontal="left"/>
    </xf>
    <xf numFmtId="0" fontId="10" fillId="17" borderId="5" xfId="0" applyFont="1" applyFill="1" applyBorder="1"/>
    <xf numFmtId="0" fontId="2" fillId="2" borderId="5" xfId="0" applyFont="1" applyFill="1" applyBorder="1" applyAlignment="1">
      <alignment horizontal="center"/>
    </xf>
    <xf numFmtId="0" fontId="0" fillId="0" borderId="5" xfId="0" applyBorder="1"/>
    <xf numFmtId="0" fontId="2" fillId="16" borderId="5" xfId="0" applyFont="1" applyFill="1" applyBorder="1" applyAlignment="1">
      <alignment horizontal="left"/>
    </xf>
    <xf numFmtId="0" fontId="16" fillId="18" borderId="1" xfId="0" applyFont="1" applyFill="1" applyBorder="1" applyAlignment="1">
      <alignment wrapText="1"/>
    </xf>
    <xf numFmtId="0" fontId="16" fillId="18" borderId="3" xfId="0" applyFont="1" applyFill="1" applyBorder="1" applyAlignment="1">
      <alignment wrapText="1"/>
    </xf>
    <xf numFmtId="0" fontId="17" fillId="2" borderId="5" xfId="0" applyFont="1" applyFill="1" applyBorder="1" applyAlignment="1">
      <alignment horizontal="left"/>
    </xf>
    <xf numFmtId="49" fontId="18" fillId="0" borderId="7" xfId="0" applyNumberFormat="1" applyFont="1" applyBorder="1"/>
  </cellXfs>
  <cellStyles count="2">
    <cellStyle name="Normal" xfId="0" builtinId="0"/>
    <cellStyle name="Normal 2" xfId="1" xr:uid="{37D8F1D3-4241-41E2-B535-ED74BD8735EE}"/>
  </cellStyles>
  <dxfs count="18"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sz val="11"/>
        <name val="Aptos Display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Display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cundo Miranda Quero" id="{3FDED682-F6D1-45E0-A234-1F3BC32C6AB8}" userId="S::fmirandaq@tattersall.cl::85b0871e-7ac4-451f-94a2-27dacce6ce0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Herrera Naipan" refreshedDate="46260.421071412035" createdVersion="8" refreshedVersion="8" minRefreshableVersion="3" recordCount="648" xr:uid="{05CFEA14-E8D1-47E5-8F5F-743240470523}">
  <cacheSource type="worksheet">
    <worksheetSource ref="A1:K1048576" sheet="cebe"/>
  </cacheSource>
  <cacheFields count="11">
    <cacheField name="SOCIEDAD" numFmtId="0">
      <sharedItems containsBlank="1" count="6">
        <s v="Tattersall Automotriz"/>
        <s v="MACO Tattersall"/>
        <s v="Tattersall Maquinarias"/>
        <s v="Tattersall Multimaq"/>
        <s v="Tattersall Industrial"/>
        <m/>
      </sharedItems>
    </cacheField>
    <cacheField name="COD_SOCIEDAD" numFmtId="0">
      <sharedItems containsBlank="1"/>
    </cacheField>
    <cacheField name="AREA_LINEA_NEGOCIO" numFmtId="0">
      <sharedItems containsBlank="1"/>
    </cacheField>
    <cacheField name="LOCALIDAD" numFmtId="0">
      <sharedItems containsBlank="1" count="17">
        <s v="La Dehesa"/>
        <s v="Lira (motos)"/>
        <s v="Movicenter LynkCo"/>
        <s v="Movicenter Multimarca"/>
        <s v="Operador Logístico"/>
        <s v="Plaza Oeste"/>
        <s v="Quilicura"/>
        <s v="Vitacura"/>
        <s v="Antofagasta"/>
        <s v="Calama"/>
        <s v="Curico"/>
        <s v="Puerto Montt"/>
        <s v="Talcahuano"/>
        <s v="Temuco"/>
        <s v="Coquimbo"/>
        <s v="Osorno"/>
        <m/>
      </sharedItems>
    </cacheField>
    <cacheField name="CENTRO" numFmtId="0">
      <sharedItems containsBlank="1" count="32">
        <s v="VF07"/>
        <s v="VF03"/>
        <s v="VF01"/>
        <s v="VF04"/>
        <s v="VF06"/>
        <s v="VF00"/>
        <s v="VF05"/>
        <s v="VA02"/>
        <s v="VA01"/>
        <s v="VA03"/>
        <s v="VA06"/>
        <s v="VA00"/>
        <s v="VA04"/>
        <s v="VA05"/>
        <s v="VC02"/>
        <s v="VC00"/>
        <s v="VC04"/>
        <s v="VC05"/>
        <s v="VC01"/>
        <s v="VC06"/>
        <s v="VC03"/>
        <s v="VC07"/>
        <s v="VD02"/>
        <s v="VD00"/>
        <s v="VD04"/>
        <s v="VD05"/>
        <s v="VD01"/>
        <s v="VD06"/>
        <s v="VD03"/>
        <s v="VD07"/>
        <s v="VE00"/>
        <m/>
      </sharedItems>
    </cacheField>
    <cacheField name="MARCA" numFmtId="0">
      <sharedItems containsBlank="1" count="18">
        <s v="LYNK CO"/>
        <s v="LIFAN"/>
        <s v="TODAS/OTRAS MARCAS"/>
        <s v="DONG FENG (DFAC)"/>
        <s v="FAW"/>
        <s v="KYC"/>
        <s v="LIVAN"/>
        <s v="ZXAUTO"/>
        <s v="JETOUR"/>
        <s v="RIDDARA"/>
        <s v="DONG FENG (DFCV)"/>
        <s v="INTERNATIONAL"/>
        <s v="HYSTER"/>
        <s v="HMK"/>
        <s v="TERBERG"/>
        <s v="MAXIMAL"/>
        <s v="LIUGONG"/>
        <m/>
      </sharedItems>
    </cacheField>
    <cacheField name="COD_MARCA" numFmtId="0">
      <sharedItems containsBlank="1" count="17">
        <s v="170"/>
        <s v="140"/>
        <s v="280"/>
        <s v="060"/>
        <s v="080"/>
        <s v="130"/>
        <s v="160"/>
        <s v="260"/>
        <s v="120"/>
        <s v="220"/>
        <s v="110"/>
        <s v="100"/>
        <s v="090"/>
        <s v="230"/>
        <s v="180"/>
        <s v="150"/>
        <m/>
      </sharedItems>
    </cacheField>
    <cacheField name="COD_FABRICANTE" numFmtId="0">
      <sharedItems containsBlank="1" count="16">
        <s v="F0027"/>
        <s v="F0021"/>
        <s v="F9999"/>
        <s v="F0022"/>
        <s v="F0028"/>
        <s v="F0019"/>
        <s v="F0023"/>
        <s v="F0020"/>
        <s v="F0001"/>
        <s v="F0006"/>
        <s v="F0012"/>
        <s v="F0014"/>
        <s v="F0015"/>
        <s v="F0010"/>
        <s v="F0016"/>
        <m/>
      </sharedItems>
    </cacheField>
    <cacheField name="COD_CEBE" numFmtId="0">
      <sharedItems containsBlank="1"/>
    </cacheField>
    <cacheField name="NOM_CODIGO_CEBE" numFmtId="0">
      <sharedItems containsBlank="1"/>
    </cacheField>
    <cacheField name="NOM_CORTO_CEB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8">
  <r>
    <x v="0"/>
    <s v="VF00"/>
    <s v="Vta. Unidades Nuevas"/>
    <x v="0"/>
    <x v="0"/>
    <x v="0"/>
    <x v="0"/>
    <x v="0"/>
    <s v="VFLN01DHLC"/>
    <s v="Vta.Un/La Dehesa/LYNK CO"/>
    <s v="VTAUND/DEHSA/LYNKO"/>
  </r>
  <r>
    <x v="0"/>
    <s v="VF00"/>
    <s v="Vta. Unidades Nuevas"/>
    <x v="1"/>
    <x v="1"/>
    <x v="1"/>
    <x v="1"/>
    <x v="1"/>
    <s v="VFLN01LILF"/>
    <s v="Vta.Un/Lira (motos)/LIFAN"/>
    <s v="VTAUND/LIRA/LIFAN"/>
  </r>
  <r>
    <x v="0"/>
    <s v="VF00"/>
    <s v="Vta. Unidades Nuevas"/>
    <x v="1"/>
    <x v="1"/>
    <x v="2"/>
    <x v="2"/>
    <x v="2"/>
    <s v="VFLN01LIOO"/>
    <s v="Vta.Un/Lira (motos)/TODAS/OTRAS MARCAS"/>
    <s v="VTAUND/LIRA/TODAS"/>
  </r>
  <r>
    <x v="0"/>
    <s v="VF00"/>
    <s v="Vta. Unidades Nuevas"/>
    <x v="2"/>
    <x v="2"/>
    <x v="0"/>
    <x v="0"/>
    <x v="0"/>
    <s v="VFLN01M1LC"/>
    <s v="Vta.Un/Movicenter LynkCo/LYNK CO"/>
    <s v="VTAUND/MOV.L&amp;C/LYNKO"/>
  </r>
  <r>
    <x v="0"/>
    <s v="VF00"/>
    <s v="Vta. Unidades Nuevas"/>
    <x v="3"/>
    <x v="2"/>
    <x v="3"/>
    <x v="3"/>
    <x v="3"/>
    <s v="VFLN01M0DC"/>
    <s v="Vta.Un/Movictr Multimrc/DONG FENG (DFAC)"/>
    <s v="VTAUND/MOV.MM/DFAC"/>
  </r>
  <r>
    <x v="0"/>
    <s v="VF00"/>
    <s v="Vta. Unidades Nuevas"/>
    <x v="3"/>
    <x v="2"/>
    <x v="4"/>
    <x v="4"/>
    <x v="4"/>
    <s v="VFLN01M0FW"/>
    <s v="Vta.Un/Movicenter Multimarca/FAW"/>
    <s v="VTAUND/MOV.MM/FAW"/>
  </r>
  <r>
    <x v="0"/>
    <s v="VF00"/>
    <s v="Vta. Unidades Nuevas"/>
    <x v="3"/>
    <x v="2"/>
    <x v="5"/>
    <x v="5"/>
    <x v="5"/>
    <s v="VFLN01M0KC"/>
    <s v="Vta.Un/Movicenter Multimarca/KYC"/>
    <s v="VTAUND/MOV.MM/KYC"/>
  </r>
  <r>
    <x v="0"/>
    <s v="VF00"/>
    <s v="Vta. Unidades Nuevas"/>
    <x v="3"/>
    <x v="2"/>
    <x v="6"/>
    <x v="6"/>
    <x v="6"/>
    <s v="VFLN01M0LV"/>
    <s v="Vta.Un/Movicenter Multimarca/LIVAN"/>
    <s v="VTAUND/MOV.MM/LIVAN"/>
  </r>
  <r>
    <x v="0"/>
    <s v="VF00"/>
    <s v="Vta. Unidades Nuevas"/>
    <x v="3"/>
    <x v="2"/>
    <x v="2"/>
    <x v="2"/>
    <x v="2"/>
    <s v="VFLN01M0OO"/>
    <s v="Vta.Un/Movictr Multimrc/TODASOTRAS MRCAS"/>
    <s v="VTAUND/MOV.MM/TODAS"/>
  </r>
  <r>
    <x v="0"/>
    <s v="VF00"/>
    <s v="Vta. Unidades Nuevas"/>
    <x v="3"/>
    <x v="2"/>
    <x v="7"/>
    <x v="7"/>
    <x v="7"/>
    <s v="VFLN01M0ZX"/>
    <s v="Vta.Un/Movicenter Multimarca/ZXAUTO"/>
    <s v="VTAUND/MOV.MM/ZXAUTO"/>
  </r>
  <r>
    <x v="0"/>
    <s v="VF00"/>
    <s v="Vta. Unidades Nuevas"/>
    <x v="4"/>
    <x v="3"/>
    <x v="3"/>
    <x v="3"/>
    <x v="3"/>
    <s v="VFLN01OLDC"/>
    <s v="Vta.Un/Op. Logístico/DONG FENG (DFAC)"/>
    <s v="VTAUND/OP.LOG/DFAC"/>
  </r>
  <r>
    <x v="0"/>
    <s v="VF00"/>
    <s v="Vta. Unidades Nuevas"/>
    <x v="4"/>
    <x v="3"/>
    <x v="4"/>
    <x v="4"/>
    <x v="4"/>
    <s v="VFLN01OLFW"/>
    <s v="Vta.Un/Operador Logístico/FAW"/>
    <s v="VTAUND/OP.LOG/FAW"/>
  </r>
  <r>
    <x v="0"/>
    <s v="VF00"/>
    <s v="Vta. Unidades Nuevas"/>
    <x v="4"/>
    <x v="3"/>
    <x v="8"/>
    <x v="8"/>
    <x v="2"/>
    <s v="VFLN01OLJT"/>
    <s v="Vta.Un/Operador Logístico/JETOUR"/>
    <s v="VTAUND/OP.LOG/JETOUR"/>
  </r>
  <r>
    <x v="0"/>
    <s v="VF00"/>
    <s v="Vta. Unidades Nuevas"/>
    <x v="4"/>
    <x v="3"/>
    <x v="5"/>
    <x v="5"/>
    <x v="5"/>
    <s v="VFLN01OLKC"/>
    <s v="Vta.Un/Operador Logístico/KYC"/>
    <s v="VTAUND/OP.LOG/KYC"/>
  </r>
  <r>
    <x v="0"/>
    <s v="VF00"/>
    <s v="Vta. Unidades Nuevas"/>
    <x v="4"/>
    <x v="3"/>
    <x v="1"/>
    <x v="1"/>
    <x v="1"/>
    <s v="VFLN01OLLF"/>
    <s v="Vta.Un/Operador Logístico/LIFAN"/>
    <s v="VTAUND/OP.LOG/LIFAN"/>
  </r>
  <r>
    <x v="0"/>
    <s v="VF00"/>
    <s v="Vta. Unidades Nuevas"/>
    <x v="4"/>
    <x v="3"/>
    <x v="6"/>
    <x v="6"/>
    <x v="6"/>
    <s v="VFLN01OLLV"/>
    <s v="Vta.Un/Operador Logístico/LIVAN"/>
    <s v="VTAUND/OP.LOG/LIVAN"/>
  </r>
  <r>
    <x v="0"/>
    <s v="VF00"/>
    <s v="Vta. Unidades Nuevas"/>
    <x v="4"/>
    <x v="3"/>
    <x v="0"/>
    <x v="0"/>
    <x v="0"/>
    <s v="VFLN01OLLC"/>
    <s v="Vta.Un/Operador Logístico/LYNK CO"/>
    <s v="VTAUND/OP.LOG/LYNKO"/>
  </r>
  <r>
    <x v="0"/>
    <s v="VF00"/>
    <s v="Vta. Unidades Nuevas"/>
    <x v="4"/>
    <x v="3"/>
    <x v="2"/>
    <x v="2"/>
    <x v="2"/>
    <s v="VFLN01OLOO"/>
    <s v="Vta.Un/Op. Logístico/TODAS/OTRAS MARCAS"/>
    <s v="VTAUND/OP.LOG/TODAS"/>
  </r>
  <r>
    <x v="0"/>
    <s v="VF00"/>
    <s v="Vta. Unidades Nuevas"/>
    <x v="4"/>
    <x v="3"/>
    <x v="7"/>
    <x v="7"/>
    <x v="7"/>
    <s v="VFLN01OLZX"/>
    <s v="Vta.Un/Operador Logístico/ZXAUTO"/>
    <s v="VTAUND/OP.LOG/ZXAUTO"/>
  </r>
  <r>
    <x v="0"/>
    <s v="VF00"/>
    <s v="Vta. Unidades Nuevas"/>
    <x v="5"/>
    <x v="4"/>
    <x v="3"/>
    <x v="3"/>
    <x v="3"/>
    <s v="VFLN01PODC"/>
    <s v="Vta.Un/Plaza Oeste/DONG FENG (DFAC)"/>
    <s v="VTAUND/POESTE/DFAC"/>
  </r>
  <r>
    <x v="0"/>
    <s v="VF00"/>
    <s v="Vta. Unidades Nuevas"/>
    <x v="5"/>
    <x v="4"/>
    <x v="4"/>
    <x v="4"/>
    <x v="4"/>
    <s v="VFLN01POFW"/>
    <s v="Vta.Un/Plaza Oeste/FAW"/>
    <s v="VTAUND/POESTE/FAW"/>
  </r>
  <r>
    <x v="0"/>
    <s v="VF00"/>
    <s v="Vta. Unidades Nuevas"/>
    <x v="5"/>
    <x v="4"/>
    <x v="5"/>
    <x v="5"/>
    <x v="5"/>
    <s v="VFLN01POKC"/>
    <s v="Vta.Un/Plaza Oeste/KYC"/>
    <s v="VTAUND/POESTE/KYC"/>
  </r>
  <r>
    <x v="0"/>
    <s v="VF00"/>
    <s v="Vta. Unidades Nuevas"/>
    <x v="5"/>
    <x v="4"/>
    <x v="6"/>
    <x v="6"/>
    <x v="6"/>
    <s v="VFLN01POLV"/>
    <s v="Vta.Un/Plaza Oeste/LIVAN"/>
    <s v="VTAUND/POESTE/LIVAN"/>
  </r>
  <r>
    <x v="0"/>
    <s v="VF00"/>
    <s v="Vta. Unidades Nuevas"/>
    <x v="5"/>
    <x v="4"/>
    <x v="0"/>
    <x v="0"/>
    <x v="0"/>
    <s v="VFLN01POLC"/>
    <s v="Vta.Un/Plaza Oeste/LYNK CO"/>
    <s v="VTAUND/POESTE/LYNKO"/>
  </r>
  <r>
    <x v="0"/>
    <s v="VF00"/>
    <s v="Vta. Unidades Nuevas"/>
    <x v="5"/>
    <x v="4"/>
    <x v="2"/>
    <x v="2"/>
    <x v="2"/>
    <s v="VFLN01POOO"/>
    <s v="Vta.Un/Plaza Oeste/TODAS/OTRAS MARCAS"/>
    <s v="VTAUND/POESTE/TODAS"/>
  </r>
  <r>
    <x v="0"/>
    <s v="VF00"/>
    <s v="Vta. Unidades Nuevas"/>
    <x v="5"/>
    <x v="4"/>
    <x v="7"/>
    <x v="7"/>
    <x v="7"/>
    <s v="VFLN01POZX"/>
    <s v="Vta.Un/Plaza Oeste/ZXAUTO"/>
    <s v="VTAUND/POESTE/ZXAUTO"/>
  </r>
  <r>
    <x v="0"/>
    <s v="VF00"/>
    <s v="Vta. Unidades Nuevas"/>
    <x v="6"/>
    <x v="5"/>
    <x v="3"/>
    <x v="3"/>
    <x v="3"/>
    <s v="VFLN01QCDC"/>
    <s v="Vta.Un/Quilicura/DONG FENG (DFAC)"/>
    <s v="VTAUND/QUILI/DFAC"/>
  </r>
  <r>
    <x v="0"/>
    <s v="VF00"/>
    <s v="Vta. Unidades Nuevas"/>
    <x v="6"/>
    <x v="5"/>
    <x v="4"/>
    <x v="4"/>
    <x v="4"/>
    <s v="VFLN01QCFW"/>
    <s v="Vta.Un/Quilicura/FAW"/>
    <s v="VTAUND/QUILI/FAW"/>
  </r>
  <r>
    <x v="0"/>
    <s v="VF00"/>
    <s v="Vta. Unidades Nuevas"/>
    <x v="6"/>
    <x v="5"/>
    <x v="5"/>
    <x v="5"/>
    <x v="5"/>
    <s v="VFLN01QCKC"/>
    <s v="Vta.Un/Quilicura/KYC"/>
    <s v="VTAUND/QUILI/KYC"/>
  </r>
  <r>
    <x v="0"/>
    <s v="VF00"/>
    <s v="Vta. Unidades Nuevas"/>
    <x v="6"/>
    <x v="5"/>
    <x v="1"/>
    <x v="1"/>
    <x v="1"/>
    <s v="VFLN01QCLF"/>
    <s v="Vta.Un/Quilicura/LIFAN"/>
    <s v="VTAUND/QUILI/LIFAN"/>
  </r>
  <r>
    <x v="0"/>
    <s v="VF00"/>
    <s v="Vta. Unidades Nuevas"/>
    <x v="6"/>
    <x v="5"/>
    <x v="6"/>
    <x v="6"/>
    <x v="6"/>
    <s v="VFLN01QCLV"/>
    <s v="Vta.Un/Quilicura/LIVAN"/>
    <s v="VTAUND/QUILI/LIVAN"/>
  </r>
  <r>
    <x v="0"/>
    <s v="VF00"/>
    <s v="Vta. Unidades Nuevas"/>
    <x v="6"/>
    <x v="5"/>
    <x v="0"/>
    <x v="0"/>
    <x v="0"/>
    <s v="VFLN01QCLC"/>
    <s v="Vta.Un/Quilicura/LYNK CO"/>
    <s v="VTAUND/QUILI/LYNKO"/>
  </r>
  <r>
    <x v="0"/>
    <s v="VF00"/>
    <s v="Vta. Unidades Nuevas"/>
    <x v="6"/>
    <x v="5"/>
    <x v="2"/>
    <x v="2"/>
    <x v="2"/>
    <s v="VFLN01QCOO"/>
    <s v="Vta.Un/Quilicura/TODAS/OTRAS MARCAS"/>
    <s v="VTAUND/QUILI/TODAS"/>
  </r>
  <r>
    <x v="0"/>
    <s v="VF00"/>
    <s v="Vta. Unidades Nuevas"/>
    <x v="6"/>
    <x v="5"/>
    <x v="7"/>
    <x v="7"/>
    <x v="7"/>
    <s v="VFLN01QCZX"/>
    <s v="Vta.Un/Quilicura/ZXAUTO"/>
    <s v="VTAUND/QUILI/ZXAUTO"/>
  </r>
  <r>
    <x v="0"/>
    <s v="VF00"/>
    <s v="Vta. Unidades Nuevas"/>
    <x v="7"/>
    <x v="6"/>
    <x v="0"/>
    <x v="0"/>
    <x v="0"/>
    <s v="VFLN01VILC"/>
    <s v="Vta.Un/Vitacura/LYNK CO"/>
    <s v="VTAUND/VITAC/LYNKO"/>
  </r>
  <r>
    <x v="0"/>
    <s v="VF00"/>
    <s v="Vta. Electromovilidad Unidades Nuevas"/>
    <x v="0"/>
    <x v="0"/>
    <x v="0"/>
    <x v="0"/>
    <x v="0"/>
    <s v="VFLN02DHLC"/>
    <s v="Electromovilidad/La Dehesa/LYNK CO"/>
    <s v="ELECTM/DEHSA/LYNKO"/>
  </r>
  <r>
    <x v="0"/>
    <s v="VF00"/>
    <s v="Vta. Electromovilidad Unidades Nuevas"/>
    <x v="2"/>
    <x v="2"/>
    <x v="0"/>
    <x v="0"/>
    <x v="0"/>
    <s v="VFLN02M1LC"/>
    <s v="Electromov/Movicenter LynkCo/LYNK CO"/>
    <s v="ELECTM/MOV.L&amp;C/LYNKO"/>
  </r>
  <r>
    <x v="0"/>
    <s v="VF00"/>
    <s v="Vta. Electromovilidad Unidades Nuevas"/>
    <x v="3"/>
    <x v="2"/>
    <x v="6"/>
    <x v="6"/>
    <x v="6"/>
    <s v="VFLN02M0LV"/>
    <s v="Electromov/Movicenter Multimarca/LIVAN"/>
    <s v="ELECTM/MOV.MM/LIVAN"/>
  </r>
  <r>
    <x v="0"/>
    <s v="VF00"/>
    <s v="Vta. Electromovilidad Unidades Nuevas"/>
    <x v="3"/>
    <x v="2"/>
    <x v="9"/>
    <x v="9"/>
    <x v="2"/>
    <s v="VFLN02M0RD"/>
    <s v="Electromov/Movicenter Multimarca/RIDDARA"/>
    <s v="ELECTM/MOV.MM/RIDDA"/>
  </r>
  <r>
    <x v="0"/>
    <s v="VF00"/>
    <s v="Vta. Electromovilidad Unidades Nuevas"/>
    <x v="4"/>
    <x v="3"/>
    <x v="6"/>
    <x v="6"/>
    <x v="6"/>
    <s v="VFLN02OLLV"/>
    <s v="Electromov/Operador Logístico/LIVAN"/>
    <s v="ELECTM/OP.LOG/LIVAN"/>
  </r>
  <r>
    <x v="0"/>
    <s v="VF00"/>
    <s v="Vta. Electromovilidad Unidades Nuevas"/>
    <x v="4"/>
    <x v="3"/>
    <x v="0"/>
    <x v="0"/>
    <x v="0"/>
    <s v="VFLN02OLLC"/>
    <s v="Electromov/Operador Logístico/LYNK CO"/>
    <s v="ELECTM/OP.LOG/LYNKO"/>
  </r>
  <r>
    <x v="0"/>
    <s v="VF00"/>
    <s v="Vta. Electromovilidad Unidades Nuevas"/>
    <x v="4"/>
    <x v="3"/>
    <x v="9"/>
    <x v="9"/>
    <x v="2"/>
    <s v="VFLN02OLRD"/>
    <s v="Electromov/Operador Logístico/RIDDARA"/>
    <s v="ELECTM/OP.LOG/RIDDA"/>
  </r>
  <r>
    <x v="0"/>
    <s v="VF00"/>
    <s v="Vta. Electromovilidad Unidades Nuevas"/>
    <x v="5"/>
    <x v="4"/>
    <x v="6"/>
    <x v="6"/>
    <x v="6"/>
    <s v="VFLN02POLV"/>
    <s v="Electromovilidad/Plaza Oeste/LIVAN"/>
    <s v="ELECTM/POESTE/LIVAN"/>
  </r>
  <r>
    <x v="0"/>
    <s v="VF00"/>
    <s v="Vta. Electromovilidad Unidades Nuevas"/>
    <x v="5"/>
    <x v="4"/>
    <x v="0"/>
    <x v="0"/>
    <x v="0"/>
    <s v="VFLN02POLC"/>
    <s v="Electromovilidad/Plaza Oeste/LYNK CO"/>
    <s v="ELECTM/POESTE/LYNKO"/>
  </r>
  <r>
    <x v="0"/>
    <s v="VF00"/>
    <s v="Vta. Electromovilidad Unidades Nuevas"/>
    <x v="5"/>
    <x v="4"/>
    <x v="9"/>
    <x v="9"/>
    <x v="2"/>
    <s v="VFLN02PORD"/>
    <s v="Electromovilidad/Plaza Oeste/RIDDARA"/>
    <s v="ELECTM/POESTE/RIDDA"/>
  </r>
  <r>
    <x v="0"/>
    <s v="VF00"/>
    <s v="Vta. Electromovilidad Unidades Nuevas"/>
    <x v="6"/>
    <x v="5"/>
    <x v="6"/>
    <x v="6"/>
    <x v="6"/>
    <s v="VFLN02QCLV"/>
    <s v="Electromovilidad/Quilicura/LIVAN"/>
    <s v="ELECTM/QUILI/LIVAN"/>
  </r>
  <r>
    <x v="0"/>
    <s v="VF00"/>
    <s v="Vta. Electromovilidad Unidades Nuevas"/>
    <x v="6"/>
    <x v="5"/>
    <x v="0"/>
    <x v="0"/>
    <x v="0"/>
    <s v="VFLN02QCLC"/>
    <s v="Electromovilidad/Quilicura/LYNK CO"/>
    <s v="ELECTM/QUILI/LYNKO"/>
  </r>
  <r>
    <x v="0"/>
    <s v="VF00"/>
    <s v="Vta. Electromovilidad Unidades Nuevas"/>
    <x v="6"/>
    <x v="5"/>
    <x v="9"/>
    <x v="9"/>
    <x v="2"/>
    <s v="VFLN02QCRD"/>
    <s v="Electromovilidad/Quilicura/RIDDARA"/>
    <s v="ELECTM/QUILI/RIDDA"/>
  </r>
  <r>
    <x v="0"/>
    <s v="VF00"/>
    <s v="Vta. Electromovilidad Unidades Nuevas"/>
    <x v="7"/>
    <x v="6"/>
    <x v="0"/>
    <x v="0"/>
    <x v="0"/>
    <s v="VFLN02VILC"/>
    <s v="Electromovilidad/Vitacura/LYNK CO"/>
    <s v="ELECTM/VITAC/LYNKO"/>
  </r>
  <r>
    <x v="0"/>
    <s v="VF00"/>
    <s v="Venta Repuesto"/>
    <x v="1"/>
    <x v="1"/>
    <x v="1"/>
    <x v="1"/>
    <x v="1"/>
    <s v="VFLN03LILF"/>
    <s v="Rpto./Lira (motos)/LIFAN"/>
    <s v="RPTO/LIRA/LIFAN"/>
  </r>
  <r>
    <x v="0"/>
    <s v="VF00"/>
    <s v="Venta Repuesto"/>
    <x v="1"/>
    <x v="1"/>
    <x v="2"/>
    <x v="2"/>
    <x v="2"/>
    <s v="VFLN03LIOO"/>
    <s v="Rpto./Lira (motos)/TODAS/OTRAS MARCAS"/>
    <s v="RPTO/LIRA/TODAS"/>
  </r>
  <r>
    <x v="0"/>
    <s v="VF00"/>
    <s v="Venta Repuesto"/>
    <x v="6"/>
    <x v="5"/>
    <x v="3"/>
    <x v="3"/>
    <x v="3"/>
    <s v="VFLN03QCDC"/>
    <s v="Rpto./Quilicura/DONG FENG (DFAC)"/>
    <s v="RPTO/QUILI/DFAC"/>
  </r>
  <r>
    <x v="0"/>
    <s v="VF00"/>
    <s v="Venta Repuesto"/>
    <x v="6"/>
    <x v="5"/>
    <x v="4"/>
    <x v="4"/>
    <x v="4"/>
    <s v="VFLN03QCFW"/>
    <s v="Rpto./Quilicura/FAW"/>
    <s v="RPTO/QUILI/FAW"/>
  </r>
  <r>
    <x v="0"/>
    <s v="VF00"/>
    <s v="Venta Repuesto"/>
    <x v="6"/>
    <x v="5"/>
    <x v="8"/>
    <x v="8"/>
    <x v="2"/>
    <s v="VFLN03QCJT"/>
    <s v="Rpto./Quilicura/JETOUR"/>
    <s v="RPTO/QUILI/JETOUR"/>
  </r>
  <r>
    <x v="0"/>
    <s v="VF00"/>
    <s v="Venta Repuesto"/>
    <x v="6"/>
    <x v="5"/>
    <x v="5"/>
    <x v="5"/>
    <x v="5"/>
    <s v="VFLN03QCKC"/>
    <s v="Rpto./Quilicura/KYC"/>
    <s v="RPTO/QUILI/KYC"/>
  </r>
  <r>
    <x v="0"/>
    <s v="VF00"/>
    <s v="Venta Repuesto"/>
    <x v="6"/>
    <x v="5"/>
    <x v="1"/>
    <x v="1"/>
    <x v="1"/>
    <s v="VFLN03QCLF"/>
    <s v="Rpto./Quilicura/LIFAN"/>
    <s v="RPTO/QUILI/LIFAN"/>
  </r>
  <r>
    <x v="0"/>
    <s v="VF00"/>
    <s v="Venta Repuesto"/>
    <x v="6"/>
    <x v="5"/>
    <x v="6"/>
    <x v="6"/>
    <x v="6"/>
    <s v="VFLN03QCLV"/>
    <s v="Rpto./Quilicura/LIVAN"/>
    <s v="RPTO/QUILI/LIVAN"/>
  </r>
  <r>
    <x v="0"/>
    <s v="VF00"/>
    <s v="Venta Repuesto"/>
    <x v="6"/>
    <x v="5"/>
    <x v="0"/>
    <x v="0"/>
    <x v="0"/>
    <s v="VFLN03QCLC"/>
    <s v="Rpto./Quilicura/LYNK CO"/>
    <s v="RPTO/QUILI/LYNKO"/>
  </r>
  <r>
    <x v="0"/>
    <s v="VF00"/>
    <s v="Venta Repuesto"/>
    <x v="6"/>
    <x v="5"/>
    <x v="9"/>
    <x v="9"/>
    <x v="2"/>
    <s v="VFLN03QCRD"/>
    <s v="Rpto./Quilicura/RIDDARA"/>
    <s v="RPTO/QUILI/RIDDA"/>
  </r>
  <r>
    <x v="0"/>
    <s v="VF00"/>
    <s v="Venta Repuesto"/>
    <x v="6"/>
    <x v="5"/>
    <x v="2"/>
    <x v="2"/>
    <x v="2"/>
    <s v="VFLN03QCOO"/>
    <s v="Rpto./Quilicura/TODAS/OTRAS MARCAS"/>
    <s v="RPTO/QUILI/TODAS"/>
  </r>
  <r>
    <x v="0"/>
    <s v="VF00"/>
    <s v="Venta Repuesto"/>
    <x v="6"/>
    <x v="5"/>
    <x v="7"/>
    <x v="7"/>
    <x v="7"/>
    <s v="VFLN03QCZX"/>
    <s v="Rpto./Quilicura/ZXAUTO"/>
    <s v="RPTO/QUILI/ZXAUTO"/>
  </r>
  <r>
    <x v="0"/>
    <s v="VF00"/>
    <s v="Usados, Retoma, y AF"/>
    <x v="0"/>
    <x v="0"/>
    <x v="0"/>
    <x v="0"/>
    <x v="0"/>
    <s v="VFLN05DHLC"/>
    <s v="Usados, Retoma, y AF/La Dehesa/LYNK CO"/>
    <s v="USADOS/DEHSA/LYNKO"/>
  </r>
  <r>
    <x v="0"/>
    <s v="VF00"/>
    <s v="Usados, Retoma, y AF"/>
    <x v="1"/>
    <x v="1"/>
    <x v="1"/>
    <x v="1"/>
    <x v="1"/>
    <s v="VFLN05LILF"/>
    <s v="Usado/Lira (motos)/LIFAN"/>
    <s v="USADOS/LIRA/LIFAN"/>
  </r>
  <r>
    <x v="0"/>
    <s v="VF00"/>
    <s v="Usados, Retoma, y AF"/>
    <x v="1"/>
    <x v="1"/>
    <x v="2"/>
    <x v="2"/>
    <x v="2"/>
    <s v="VFLN05LIOO"/>
    <s v="Usado/Lira (motos)/TODAS/OTRAS MARCAS"/>
    <s v="USADOS/LIRA/TODAS"/>
  </r>
  <r>
    <x v="0"/>
    <s v="VF00"/>
    <s v="Usados, Retoma, y AF"/>
    <x v="2"/>
    <x v="2"/>
    <x v="0"/>
    <x v="0"/>
    <x v="0"/>
    <s v="VFLN05M1LC"/>
    <s v="Usado/Movicenter LynkCo/LYNK CO"/>
    <s v="USADOS/MOV.L&amp;C/LYNKO"/>
  </r>
  <r>
    <x v="0"/>
    <s v="VF00"/>
    <s v="Usados, Retoma, y AF"/>
    <x v="3"/>
    <x v="2"/>
    <x v="3"/>
    <x v="3"/>
    <x v="3"/>
    <s v="VFLN05M0DC"/>
    <s v="Usado/Movictr Multimrc/DONG FENG (DFAC)"/>
    <s v="USADOS/MOV.MM/DFAC"/>
  </r>
  <r>
    <x v="0"/>
    <s v="VF00"/>
    <s v="Usados, Retoma, y AF"/>
    <x v="3"/>
    <x v="2"/>
    <x v="4"/>
    <x v="4"/>
    <x v="4"/>
    <s v="VFLN05M0FW"/>
    <s v="Usado/Movicenter Multimarca/FAW"/>
    <s v="USADOS/MOV.MM/FAW"/>
  </r>
  <r>
    <x v="0"/>
    <s v="VF00"/>
    <s v="Usados, Retoma, y AF"/>
    <x v="3"/>
    <x v="2"/>
    <x v="5"/>
    <x v="5"/>
    <x v="5"/>
    <s v="VFLN05M0KC"/>
    <s v="Usado/Movicenter Multimarca/KYC"/>
    <s v="USADOS/MOV.MM/KYC"/>
  </r>
  <r>
    <x v="0"/>
    <s v="VF00"/>
    <s v="Usados, Retoma, y AF"/>
    <x v="3"/>
    <x v="2"/>
    <x v="6"/>
    <x v="6"/>
    <x v="6"/>
    <s v="VFLN05M0LV"/>
    <s v="Usado/Movicenter Multimarca/LIVAN"/>
    <s v="USADOS/MOV.MM/LIVAN"/>
  </r>
  <r>
    <x v="0"/>
    <s v="VF00"/>
    <s v="Usados, Retoma, y AF"/>
    <x v="3"/>
    <x v="2"/>
    <x v="9"/>
    <x v="9"/>
    <x v="2"/>
    <s v="VFLN05M0RD"/>
    <s v="Usado/Movicenter Multimarca/RIDDARA"/>
    <s v="USADOS/MOV.MM/RIDDA"/>
  </r>
  <r>
    <x v="0"/>
    <s v="VF00"/>
    <s v="Usados, Retoma, y AF"/>
    <x v="3"/>
    <x v="2"/>
    <x v="2"/>
    <x v="2"/>
    <x v="2"/>
    <s v="VFLN05M0OO"/>
    <s v="Usado/Movictr Multimrc/TODASOTRAS MARCAS"/>
    <s v="USADOS/MOV.MM/TODAS"/>
  </r>
  <r>
    <x v="0"/>
    <s v="VF00"/>
    <s v="Usados, Retoma, y AF"/>
    <x v="3"/>
    <x v="2"/>
    <x v="7"/>
    <x v="7"/>
    <x v="7"/>
    <s v="VFLN05M0ZX"/>
    <s v="Usado/Movicenter Multimarca/ZXAUTO"/>
    <s v="USADOS/MOV.MM/ZXAUTO"/>
  </r>
  <r>
    <x v="0"/>
    <s v="VF00"/>
    <s v="Usados, Retoma, y AF"/>
    <x v="6"/>
    <x v="5"/>
    <x v="3"/>
    <x v="3"/>
    <x v="3"/>
    <s v="VFLN05QCDC"/>
    <s v="Usado/Quilicura/DONG FENG (DFAC)"/>
    <s v="USADOS/QUILI/DFAC"/>
  </r>
  <r>
    <x v="0"/>
    <s v="VF00"/>
    <s v="Usados, Retoma, y AF"/>
    <x v="6"/>
    <x v="5"/>
    <x v="4"/>
    <x v="4"/>
    <x v="4"/>
    <s v="VFLN05QCFW"/>
    <s v="Usados, Retoma, y AF/Quilicura/FAW"/>
    <s v="USADOS/QUILI/FAW"/>
  </r>
  <r>
    <x v="0"/>
    <s v="VF00"/>
    <s v="Usados, Retoma, y AF"/>
    <x v="6"/>
    <x v="5"/>
    <x v="8"/>
    <x v="8"/>
    <x v="2"/>
    <s v="VFLN05QCJT"/>
    <s v="Usados, Retoma, y AF/Quilicura/JETOUR"/>
    <s v="USADOS/QUILI/JETOUR"/>
  </r>
  <r>
    <x v="0"/>
    <s v="VF00"/>
    <s v="Usados, Retoma, y AF"/>
    <x v="6"/>
    <x v="5"/>
    <x v="5"/>
    <x v="5"/>
    <x v="5"/>
    <s v="VFLN05QCKC"/>
    <s v="Usados, Retoma, y AF/Quilicura/KYC"/>
    <s v="USADOS/QUILI/KYC"/>
  </r>
  <r>
    <x v="0"/>
    <s v="VF00"/>
    <s v="Usados, Retoma, y AF"/>
    <x v="6"/>
    <x v="5"/>
    <x v="6"/>
    <x v="6"/>
    <x v="6"/>
    <s v="VFLN05QCLV"/>
    <s v="Usados, Retoma, y AF/Quilicura/LIVAN"/>
    <s v="USADOS/QUILI/LIVAN"/>
  </r>
  <r>
    <x v="0"/>
    <s v="VF00"/>
    <s v="Usados, Retoma, y AF"/>
    <x v="6"/>
    <x v="5"/>
    <x v="0"/>
    <x v="0"/>
    <x v="0"/>
    <s v="VFLN05QCLC"/>
    <s v="Usados, Retoma, y AF/Quilicura/LYNK CO"/>
    <s v="USADOS/QUILI/LYNKO"/>
  </r>
  <r>
    <x v="0"/>
    <s v="VF00"/>
    <s v="Usados, Retoma, y AF"/>
    <x v="6"/>
    <x v="5"/>
    <x v="9"/>
    <x v="9"/>
    <x v="2"/>
    <s v="VFLN05QCRD"/>
    <s v="Usados, Retoma, y AF/Quilicura/RIDDARA"/>
    <s v="USADOS/QUILI/RIDDA"/>
  </r>
  <r>
    <x v="0"/>
    <s v="VF00"/>
    <s v="Usados, Retoma, y AF"/>
    <x v="6"/>
    <x v="5"/>
    <x v="2"/>
    <x v="2"/>
    <x v="2"/>
    <s v="VFLN05QCOO"/>
    <s v="Usado/Quilicura/TODAS/OTRAS MARCAS"/>
    <s v="USADOS/QUILI/TODAS"/>
  </r>
  <r>
    <x v="0"/>
    <s v="VF00"/>
    <s v="Usados, Retoma, y AF"/>
    <x v="6"/>
    <x v="5"/>
    <x v="7"/>
    <x v="7"/>
    <x v="7"/>
    <s v="VFLN05QCZX"/>
    <s v="Usados, Retoma, y AF/Quilicura/ZXAUTO"/>
    <s v="USADOS/QUILI/ZXAUTO"/>
  </r>
  <r>
    <x v="0"/>
    <s v="VF00"/>
    <s v="Usados, Retoma, y AF"/>
    <x v="7"/>
    <x v="6"/>
    <x v="0"/>
    <x v="0"/>
    <x v="0"/>
    <s v="VFLN05VILC"/>
    <s v="Usados, Retoma, y AF/Vitacura/LYNK CO"/>
    <s v="USADOS/VITAC/LYNKO"/>
  </r>
  <r>
    <x v="1"/>
    <s v="VA00"/>
    <s v="Consignaciones"/>
    <x v="8"/>
    <x v="7"/>
    <x v="10"/>
    <x v="3"/>
    <x v="8"/>
    <s v="VALN06ANDV"/>
    <s v="Consig./Antofagasta/DONG FENG (DFCV)"/>
    <s v="CONSIG/ANTOF/DFCV"/>
  </r>
  <r>
    <x v="1"/>
    <s v="VA00"/>
    <s v="Consignaciones"/>
    <x v="8"/>
    <x v="7"/>
    <x v="4"/>
    <x v="4"/>
    <x v="4"/>
    <s v="VALN06ANFW"/>
    <s v="Consig./Antofagasta/FAW"/>
    <s v="CONSIG/ANTOF/FAW"/>
  </r>
  <r>
    <x v="1"/>
    <s v="VA00"/>
    <s v="Consignaciones"/>
    <x v="8"/>
    <x v="7"/>
    <x v="11"/>
    <x v="10"/>
    <x v="9"/>
    <s v="VALN06ANIN"/>
    <s v="Consig./Antofagasta/INTERNATIONAL"/>
    <s v="CONSIG/ANTOF/INT"/>
  </r>
  <r>
    <x v="1"/>
    <s v="VA00"/>
    <s v="Consignaciones"/>
    <x v="8"/>
    <x v="7"/>
    <x v="2"/>
    <x v="2"/>
    <x v="2"/>
    <s v="VALN06ANOO"/>
    <s v="Consig./Antofagasta/TODAS/OTRAS MARCAS"/>
    <s v="CONSIG/ANTOF/TODAS"/>
  </r>
  <r>
    <x v="1"/>
    <s v="VA00"/>
    <s v="Consignaciones"/>
    <x v="8"/>
    <x v="7"/>
    <x v="3"/>
    <x v="3"/>
    <x v="3"/>
    <s v="VALN06ANDC"/>
    <s v="Consig./Antofagasta/DONG FENG (DFAC)"/>
    <s v="CONSIG/ANTOF/DFAC"/>
  </r>
  <r>
    <x v="1"/>
    <s v="VA00"/>
    <s v="Consignaciones"/>
    <x v="9"/>
    <x v="8"/>
    <x v="10"/>
    <x v="3"/>
    <x v="8"/>
    <s v="VALN06CADV"/>
    <s v="Consig./Calama/DONG FENG (DFCV)"/>
    <s v="CONSIG/CALAM/DFCV"/>
  </r>
  <r>
    <x v="1"/>
    <s v="VA00"/>
    <s v="Consignaciones"/>
    <x v="9"/>
    <x v="8"/>
    <x v="4"/>
    <x v="4"/>
    <x v="4"/>
    <s v="VALN06CAFW"/>
    <s v="Consig./Calama/FAW"/>
    <s v="CONSIG/CALAM/FAW"/>
  </r>
  <r>
    <x v="1"/>
    <s v="VA00"/>
    <s v="Consignaciones"/>
    <x v="9"/>
    <x v="8"/>
    <x v="11"/>
    <x v="10"/>
    <x v="9"/>
    <s v="VALN06CAIN"/>
    <s v="Consig./Calama/INTERNATIONAL"/>
    <s v="CONSIG/CALAM/INT"/>
  </r>
  <r>
    <x v="1"/>
    <s v="VA00"/>
    <s v="Consignaciones"/>
    <x v="9"/>
    <x v="8"/>
    <x v="2"/>
    <x v="2"/>
    <x v="2"/>
    <s v="VALN06CAOO"/>
    <s v="Consig./Calama/TODAS/OTRAS MARCAS"/>
    <s v="CONSIG/CALAM/TODAS"/>
  </r>
  <r>
    <x v="1"/>
    <s v="VA00"/>
    <s v="Consignaciones"/>
    <x v="9"/>
    <x v="8"/>
    <x v="3"/>
    <x v="3"/>
    <x v="3"/>
    <s v="VALN06CADC"/>
    <s v="Consig./Calama/DONG FENG (DFAC)"/>
    <s v="CONSIG/CALAM/DFAC"/>
  </r>
  <r>
    <x v="1"/>
    <s v="VA00"/>
    <s v="Consignaciones"/>
    <x v="10"/>
    <x v="9"/>
    <x v="10"/>
    <x v="3"/>
    <x v="8"/>
    <s v="VALN06CUDV"/>
    <s v="Consig./Curico/DONG FENG (DFCV)"/>
    <s v="CONSIG/CURIC/DFCV"/>
  </r>
  <r>
    <x v="1"/>
    <s v="VA00"/>
    <s v="Consignaciones"/>
    <x v="10"/>
    <x v="9"/>
    <x v="4"/>
    <x v="4"/>
    <x v="4"/>
    <s v="VALN06CUFW"/>
    <s v="Consig./Curico/FAW"/>
    <s v="CONSIG/CURIC/FAW"/>
  </r>
  <r>
    <x v="1"/>
    <s v="VA00"/>
    <s v="Consignaciones"/>
    <x v="10"/>
    <x v="9"/>
    <x v="11"/>
    <x v="10"/>
    <x v="9"/>
    <s v="VALN06CUIN"/>
    <s v="Consig./Curico/INTERNATIONAL"/>
    <s v="CONSIG/CURIC/INT"/>
  </r>
  <r>
    <x v="1"/>
    <s v="VA00"/>
    <s v="Consignaciones"/>
    <x v="10"/>
    <x v="9"/>
    <x v="2"/>
    <x v="2"/>
    <x v="2"/>
    <s v="VALN06CUOO"/>
    <s v="Consig./Curico/TODAS/OTRAS MARCAS"/>
    <s v="CONSIG/CURIC/TODAS"/>
  </r>
  <r>
    <x v="1"/>
    <s v="VA00"/>
    <s v="Consignaciones"/>
    <x v="10"/>
    <x v="9"/>
    <x v="3"/>
    <x v="3"/>
    <x v="3"/>
    <s v="VALN06CUDC"/>
    <s v="Consig./Curico/DONG FENG (DFAC)"/>
    <s v="CONSIG/CURIC/DFAC"/>
  </r>
  <r>
    <x v="1"/>
    <s v="VA00"/>
    <s v="Consignaciones"/>
    <x v="11"/>
    <x v="10"/>
    <x v="10"/>
    <x v="3"/>
    <x v="8"/>
    <s v="VALN06PMDV"/>
    <s v="Consig./Puerto Montt/DONG FENG (DFCV)"/>
    <s v="CONSIG/PTMONT/DFCV"/>
  </r>
  <r>
    <x v="1"/>
    <s v="VA00"/>
    <s v="Consignaciones"/>
    <x v="11"/>
    <x v="10"/>
    <x v="4"/>
    <x v="4"/>
    <x v="4"/>
    <s v="VALN06PMFW"/>
    <s v="Consig./Puerto Montt/FAW"/>
    <s v="CONSIG/PTMONT/FAW"/>
  </r>
  <r>
    <x v="1"/>
    <s v="VA00"/>
    <s v="Consignaciones"/>
    <x v="11"/>
    <x v="10"/>
    <x v="11"/>
    <x v="10"/>
    <x v="9"/>
    <s v="VALN06PMIN"/>
    <s v="Consig./Puerto Montt/INTERNATIONAL"/>
    <s v="CONSIG/PTMONT/INT"/>
  </r>
  <r>
    <x v="1"/>
    <s v="VA00"/>
    <s v="Consignaciones"/>
    <x v="11"/>
    <x v="10"/>
    <x v="2"/>
    <x v="2"/>
    <x v="2"/>
    <s v="VALN06PMOO"/>
    <s v="Consig./Puerto Montt/TODAS/OTRAS MARCAS"/>
    <s v="CONSIG/PTMONT/TODAS"/>
  </r>
  <r>
    <x v="1"/>
    <s v="VA00"/>
    <s v="Consignaciones"/>
    <x v="11"/>
    <x v="10"/>
    <x v="3"/>
    <x v="3"/>
    <x v="3"/>
    <s v="VALN06PMDC"/>
    <s v="Consig./Puerto Montt/DONG FENG (DFAC)"/>
    <s v="CONSIG/PTMONT/DFAC"/>
  </r>
  <r>
    <x v="1"/>
    <s v="VA00"/>
    <s v="Consignaciones"/>
    <x v="6"/>
    <x v="11"/>
    <x v="10"/>
    <x v="3"/>
    <x v="8"/>
    <s v="VALN06QCDV"/>
    <s v="Consig./Quilicura/DONG FENG (DFCV)"/>
    <s v="CONSIG/QUILI/DFCV"/>
  </r>
  <r>
    <x v="1"/>
    <s v="VA00"/>
    <s v="Consignaciones"/>
    <x v="6"/>
    <x v="11"/>
    <x v="4"/>
    <x v="4"/>
    <x v="4"/>
    <s v="VALN06QCFW"/>
    <s v="Consig./Quilicura/FAW"/>
    <s v="CONSIG/QUILI/FAW"/>
  </r>
  <r>
    <x v="1"/>
    <s v="VA00"/>
    <s v="Consignaciones"/>
    <x v="6"/>
    <x v="11"/>
    <x v="11"/>
    <x v="10"/>
    <x v="9"/>
    <s v="VALN06QCIN"/>
    <s v="Consig./Quilicura/INTERNATIONAL"/>
    <s v="CONSIG/QUILI/INT"/>
  </r>
  <r>
    <x v="1"/>
    <s v="VA00"/>
    <s v="Consignaciones"/>
    <x v="6"/>
    <x v="11"/>
    <x v="2"/>
    <x v="2"/>
    <x v="2"/>
    <s v="VALN06QCOO"/>
    <s v="Consig./Quilicura/TODAS/OTRAS MARCAS"/>
    <s v="CONSIG/QUILI/TODAS"/>
  </r>
  <r>
    <x v="1"/>
    <s v="VA00"/>
    <s v="Consignaciones"/>
    <x v="6"/>
    <x v="11"/>
    <x v="3"/>
    <x v="3"/>
    <x v="3"/>
    <s v="VALN06QCDC"/>
    <s v="Consig./Quilicura/DONG FENG (DFAC)"/>
    <s v="CONSIG/QUILI/DFAC"/>
  </r>
  <r>
    <x v="1"/>
    <s v="VA00"/>
    <s v="Consignaciones"/>
    <x v="12"/>
    <x v="12"/>
    <x v="10"/>
    <x v="3"/>
    <x v="8"/>
    <s v="VALN06TADV"/>
    <s v="Consig./Talcahuano/DONG FENG (DFCV)"/>
    <s v="CONSIG/TALCHU/DFCV"/>
  </r>
  <r>
    <x v="1"/>
    <s v="VA00"/>
    <s v="Consignaciones"/>
    <x v="12"/>
    <x v="12"/>
    <x v="4"/>
    <x v="4"/>
    <x v="4"/>
    <s v="VALN06TAFW"/>
    <s v="Consig./Talcahuano/FAW"/>
    <s v="CONSIG/TALCHU/FAW"/>
  </r>
  <r>
    <x v="1"/>
    <s v="VA00"/>
    <s v="Consignaciones"/>
    <x v="12"/>
    <x v="12"/>
    <x v="11"/>
    <x v="10"/>
    <x v="9"/>
    <s v="VALN06TAIN"/>
    <s v="Consig./Talcahuano/INTERNATIONAL"/>
    <s v="CONSIG/TALCHU/INT"/>
  </r>
  <r>
    <x v="1"/>
    <s v="VA00"/>
    <s v="Consignaciones"/>
    <x v="12"/>
    <x v="12"/>
    <x v="2"/>
    <x v="2"/>
    <x v="2"/>
    <s v="VALN06TAOO"/>
    <s v="Consig./Talcahuano/TODAS/OTRAS MARCAS"/>
    <s v="CONSIG/TALCHU/TODAS"/>
  </r>
  <r>
    <x v="1"/>
    <s v="VA00"/>
    <s v="Consignaciones"/>
    <x v="12"/>
    <x v="12"/>
    <x v="3"/>
    <x v="3"/>
    <x v="3"/>
    <s v="VALN06TADC"/>
    <s v="Consig./Talcahuano/DONG FENG (DFAC)"/>
    <s v="CONSIG/TALCHU/DFAC"/>
  </r>
  <r>
    <x v="1"/>
    <s v="VA00"/>
    <s v="Consignaciones"/>
    <x v="13"/>
    <x v="13"/>
    <x v="10"/>
    <x v="3"/>
    <x v="8"/>
    <s v="VALN06TEDV"/>
    <s v="Consig./Temuco/DONG FENG (DFCV)"/>
    <s v="CONSIG/TEMU/DFCV"/>
  </r>
  <r>
    <x v="1"/>
    <s v="VA00"/>
    <s v="Consignaciones"/>
    <x v="13"/>
    <x v="13"/>
    <x v="4"/>
    <x v="4"/>
    <x v="4"/>
    <s v="VALN06TEFW"/>
    <s v="Consig./Temuco/FAW"/>
    <s v="CONSIG/TEMU/FAW"/>
  </r>
  <r>
    <x v="1"/>
    <s v="VA00"/>
    <s v="Consignaciones"/>
    <x v="13"/>
    <x v="13"/>
    <x v="11"/>
    <x v="10"/>
    <x v="9"/>
    <s v="VALN06TEIN"/>
    <s v="Consig./Temuco/INTERNATIONAL"/>
    <s v="CONSIG/TEMU/INT"/>
  </r>
  <r>
    <x v="1"/>
    <s v="VA00"/>
    <s v="Consignaciones"/>
    <x v="13"/>
    <x v="13"/>
    <x v="2"/>
    <x v="2"/>
    <x v="2"/>
    <s v="VALN06TEOO"/>
    <s v="Consig./Temuco/TODAS/OTRAS MARCAS"/>
    <s v="CONSIG/TEMU/TODAS"/>
  </r>
  <r>
    <x v="1"/>
    <s v="VA00"/>
    <s v="Consignaciones"/>
    <x v="13"/>
    <x v="13"/>
    <x v="3"/>
    <x v="3"/>
    <x v="3"/>
    <s v="VALN06TEDC"/>
    <s v="Consig./Temuco/DONG FENG (DFAC)"/>
    <s v="CONSIG/TEMU/DFAC"/>
  </r>
  <r>
    <x v="1"/>
    <s v="VA00"/>
    <s v="Usados, Retoma, y AF"/>
    <x v="8"/>
    <x v="7"/>
    <x v="10"/>
    <x v="3"/>
    <x v="8"/>
    <s v="VALN05ANDV"/>
    <s v="Usado,AF./Antofagasta/DONG FENG (DFCV)"/>
    <s v="USADOS/ANTOF/DFCV"/>
  </r>
  <r>
    <x v="1"/>
    <s v="VA00"/>
    <s v="Usados, Retoma, y AF"/>
    <x v="8"/>
    <x v="7"/>
    <x v="4"/>
    <x v="4"/>
    <x v="4"/>
    <s v="VALN05ANFW"/>
    <s v="Usado,AF./Antofagasta/FAW"/>
    <s v="USADOS/ANTOF/FAW"/>
  </r>
  <r>
    <x v="1"/>
    <s v="VA00"/>
    <s v="Usados, Retoma, y AF"/>
    <x v="8"/>
    <x v="7"/>
    <x v="11"/>
    <x v="10"/>
    <x v="9"/>
    <s v="VALN05ANIN"/>
    <s v="Usado,AF./Antofagasta/INTERNATIONAL"/>
    <s v="USADOS/ANTOF/INT"/>
  </r>
  <r>
    <x v="1"/>
    <s v="VA00"/>
    <s v="Usados, Retoma, y AF"/>
    <x v="8"/>
    <x v="7"/>
    <x v="2"/>
    <x v="2"/>
    <x v="2"/>
    <s v="VALN05ANOO"/>
    <s v="Usado,AF./Antofagasta/TODAS/OTRAS MARCAS"/>
    <s v="USADOS/ANTOF/TODAS"/>
  </r>
  <r>
    <x v="1"/>
    <s v="VA00"/>
    <s v="Usados, Retoma, y AF"/>
    <x v="8"/>
    <x v="7"/>
    <x v="3"/>
    <x v="3"/>
    <x v="3"/>
    <s v="VALN05ANDC"/>
    <s v="Usado,AF./Antofagasta/DONG FENG (DFAC)"/>
    <s v="USADOS/ANTOF/DFAC"/>
  </r>
  <r>
    <x v="1"/>
    <s v="VA00"/>
    <s v="Usados, Retoma, y AF"/>
    <x v="9"/>
    <x v="8"/>
    <x v="10"/>
    <x v="3"/>
    <x v="8"/>
    <s v="VALN05CADV"/>
    <s v="Usado,AF./Calama/DONG FENG (DFCV)"/>
    <s v="USADOS/CALAM/DFCV"/>
  </r>
  <r>
    <x v="1"/>
    <s v="VA00"/>
    <s v="Usados, Retoma, y AF"/>
    <x v="9"/>
    <x v="8"/>
    <x v="4"/>
    <x v="4"/>
    <x v="4"/>
    <s v="VALN05CAFW"/>
    <s v="Usado,AF./Calama/FAW"/>
    <s v="USADOS/CALAM/FAW"/>
  </r>
  <r>
    <x v="1"/>
    <s v="VA00"/>
    <s v="Usados, Retoma, y AF"/>
    <x v="9"/>
    <x v="8"/>
    <x v="11"/>
    <x v="10"/>
    <x v="9"/>
    <s v="VALN05CAIN"/>
    <s v="Usado,AF./Calama/INTERNATIONAL"/>
    <s v="USADOS/CALAM/INT"/>
  </r>
  <r>
    <x v="1"/>
    <s v="VA00"/>
    <s v="Usados, Retoma, y AF"/>
    <x v="9"/>
    <x v="8"/>
    <x v="2"/>
    <x v="2"/>
    <x v="2"/>
    <s v="VALN05CAOO"/>
    <s v="Usado,AF./Calama/TODAS/OTRAS MARCAS"/>
    <s v="USADOS/CALAM/TODAS"/>
  </r>
  <r>
    <x v="1"/>
    <s v="VA00"/>
    <s v="Usados, Retoma, y AF"/>
    <x v="9"/>
    <x v="8"/>
    <x v="3"/>
    <x v="3"/>
    <x v="3"/>
    <s v="VALN05CADC"/>
    <s v="Usado,AF./Calama/DONG FENG (DFAC)"/>
    <s v="USADOS/CALAM/DFAC"/>
  </r>
  <r>
    <x v="1"/>
    <s v="VA00"/>
    <s v="Usados, Retoma, y AF"/>
    <x v="10"/>
    <x v="9"/>
    <x v="10"/>
    <x v="3"/>
    <x v="8"/>
    <s v="VALN05CUDV"/>
    <s v="Usado,AF./Curico/DONG FENG (DFCV)"/>
    <s v="USADOS/CURIC/DFCV"/>
  </r>
  <r>
    <x v="1"/>
    <s v="VA00"/>
    <s v="Usados, Retoma, y AF"/>
    <x v="10"/>
    <x v="9"/>
    <x v="4"/>
    <x v="4"/>
    <x v="4"/>
    <s v="VALN05CUFW"/>
    <s v="Usado,AF./Curico/FAW"/>
    <s v="USADOS/CURIC/FAW"/>
  </r>
  <r>
    <x v="1"/>
    <s v="VA00"/>
    <s v="Usados, Retoma, y AF"/>
    <x v="10"/>
    <x v="9"/>
    <x v="11"/>
    <x v="10"/>
    <x v="9"/>
    <s v="VALN05CUIN"/>
    <s v="Usado,AF./Curico/INTERNATIONAL"/>
    <s v="USADOS/CURIC/INT"/>
  </r>
  <r>
    <x v="1"/>
    <s v="VA00"/>
    <s v="Usados, Retoma, y AF"/>
    <x v="10"/>
    <x v="9"/>
    <x v="2"/>
    <x v="2"/>
    <x v="2"/>
    <s v="VALN05CUOO"/>
    <s v="Usado,AF./Curico/TODAS/OTRAS MARCAS"/>
    <s v="USADOS/CURIC/TODAS"/>
  </r>
  <r>
    <x v="1"/>
    <s v="VA00"/>
    <s v="Usados, Retoma, y AF"/>
    <x v="10"/>
    <x v="9"/>
    <x v="3"/>
    <x v="3"/>
    <x v="3"/>
    <s v="VALN05CUDC"/>
    <s v="Usado,AF./Curico/DONG FENG (DFAC)"/>
    <s v="USADOS/CURIC/DFAC"/>
  </r>
  <r>
    <x v="1"/>
    <s v="VA00"/>
    <s v="Usados, Retoma, y AF"/>
    <x v="11"/>
    <x v="10"/>
    <x v="10"/>
    <x v="3"/>
    <x v="8"/>
    <s v="VALN05PMDV"/>
    <s v="Usado,AF./Puerto Montt/DONG FENG (DFCV)"/>
    <s v="USADOS/PTMONT/DFCV"/>
  </r>
  <r>
    <x v="1"/>
    <s v="VA00"/>
    <s v="Usados, Retoma, y AF"/>
    <x v="11"/>
    <x v="10"/>
    <x v="4"/>
    <x v="4"/>
    <x v="4"/>
    <s v="VALN05PMFW"/>
    <s v="Usado,AF./Puerto Montt/FAW"/>
    <s v="USADOS/PTMONT/FAW"/>
  </r>
  <r>
    <x v="1"/>
    <s v="VA00"/>
    <s v="Usados, Retoma, y AF"/>
    <x v="11"/>
    <x v="10"/>
    <x v="11"/>
    <x v="10"/>
    <x v="9"/>
    <s v="VALN05PMIN"/>
    <s v="Usado,AF./Puerto Montt/INTERNATIONAL"/>
    <s v="USADOS/PTMONT/INT"/>
  </r>
  <r>
    <x v="1"/>
    <s v="VA00"/>
    <s v="Usados, Retoma, y AF"/>
    <x v="11"/>
    <x v="10"/>
    <x v="2"/>
    <x v="2"/>
    <x v="2"/>
    <s v="VALN05PMOO"/>
    <s v="Usado,AF/Puerto Montt/TODAS/OTRAS MARCAS"/>
    <s v="USADOS/PTMONT/TODAS"/>
  </r>
  <r>
    <x v="1"/>
    <s v="VA00"/>
    <s v="Usados, Retoma, y AF"/>
    <x v="11"/>
    <x v="10"/>
    <x v="3"/>
    <x v="3"/>
    <x v="3"/>
    <s v="VALN05PMDC"/>
    <s v="Usado,AF./Puerto Montt/DONG FENG (DFAC)"/>
    <s v="USADOS/PTMONT/DFAC"/>
  </r>
  <r>
    <x v="1"/>
    <s v="VA00"/>
    <s v="Usados, Retoma, y AF"/>
    <x v="6"/>
    <x v="11"/>
    <x v="10"/>
    <x v="3"/>
    <x v="8"/>
    <s v="VALN05QCDV"/>
    <s v="Usado,AF./Quilicura/DONG FENG (DFCV)"/>
    <s v="USADOS/QUILI/DFCV"/>
  </r>
  <r>
    <x v="1"/>
    <s v="VA00"/>
    <s v="Usados, Retoma, y AF"/>
    <x v="6"/>
    <x v="11"/>
    <x v="4"/>
    <x v="4"/>
    <x v="4"/>
    <s v="VALN05QCFW"/>
    <s v="Usado,AF./Quilicura/FAW"/>
    <s v="USADOS/QUILI/FAW"/>
  </r>
  <r>
    <x v="1"/>
    <s v="VA00"/>
    <s v="Usados, Retoma, y AF"/>
    <x v="6"/>
    <x v="11"/>
    <x v="11"/>
    <x v="10"/>
    <x v="9"/>
    <s v="VALN05QCIN"/>
    <s v="Usado,AF./Quilicura/INTERNATIONAL"/>
    <s v="USADOS/QUILI/INT"/>
  </r>
  <r>
    <x v="1"/>
    <s v="VA00"/>
    <s v="Usados, Retoma, y AF"/>
    <x v="6"/>
    <x v="11"/>
    <x v="2"/>
    <x v="2"/>
    <x v="2"/>
    <s v="VALN05QCOO"/>
    <s v="Usado,AF./Quilicura/TODAS/OTRAS MARCAS"/>
    <s v="USADOS/QUILI/TODAS"/>
  </r>
  <r>
    <x v="1"/>
    <s v="VA00"/>
    <s v="Usados, Retoma, y AF"/>
    <x v="6"/>
    <x v="11"/>
    <x v="3"/>
    <x v="3"/>
    <x v="3"/>
    <s v="VALN05QCDC"/>
    <s v="Usado,AF./Quilicura/DONG FENG (DFAC)"/>
    <s v="USADOS/QUILI/DFAC"/>
  </r>
  <r>
    <x v="1"/>
    <s v="VA00"/>
    <s v="Usados, Retoma, y AF"/>
    <x v="12"/>
    <x v="12"/>
    <x v="10"/>
    <x v="3"/>
    <x v="8"/>
    <s v="VALN05TADV"/>
    <s v="Usado,AF./Talcahuano/DONG FENG (DFCV)"/>
    <s v="USADOS/TALCHU/DFCV"/>
  </r>
  <r>
    <x v="1"/>
    <s v="VA00"/>
    <s v="Usados, Retoma, y AF"/>
    <x v="12"/>
    <x v="12"/>
    <x v="4"/>
    <x v="4"/>
    <x v="4"/>
    <s v="VALN05TAFW"/>
    <s v="Usado,AF./Talcahuano/FAW"/>
    <s v="USADOS/TALCHU/FAW"/>
  </r>
  <r>
    <x v="1"/>
    <s v="VA00"/>
    <s v="Usados, Retoma, y AF"/>
    <x v="12"/>
    <x v="12"/>
    <x v="11"/>
    <x v="10"/>
    <x v="9"/>
    <s v="VALN05TAIN"/>
    <s v="Usado,AF./Talcahuano/INTERNATIONAL"/>
    <s v="USADOS/TALCHU/INT"/>
  </r>
  <r>
    <x v="1"/>
    <s v="VA00"/>
    <s v="Usados, Retoma, y AF"/>
    <x v="12"/>
    <x v="12"/>
    <x v="2"/>
    <x v="2"/>
    <x v="2"/>
    <s v="VALN05TAOO"/>
    <s v="Usado,AF./Talcahuano/TODAS/OTRAS MARCAS"/>
    <s v="USADOS/TALCHU/TODAS"/>
  </r>
  <r>
    <x v="1"/>
    <s v="VA00"/>
    <s v="Usados, Retoma, y AF"/>
    <x v="12"/>
    <x v="12"/>
    <x v="3"/>
    <x v="3"/>
    <x v="3"/>
    <s v="VALN05TADC"/>
    <s v="Usado,AF./Talcahuano/DONG FENG (DFAC)"/>
    <s v="USADOS/TALCHU/DFAC"/>
  </r>
  <r>
    <x v="1"/>
    <s v="VA00"/>
    <s v="Usados, Retoma, y AF"/>
    <x v="13"/>
    <x v="13"/>
    <x v="10"/>
    <x v="3"/>
    <x v="8"/>
    <s v="VALN05TEDV"/>
    <s v="Usado,AF./Temuco/DONG FENG (DFCV)"/>
    <s v="USADOS/TEMU/DFCV"/>
  </r>
  <r>
    <x v="1"/>
    <s v="VA00"/>
    <s v="Usados, Retoma, y AF"/>
    <x v="13"/>
    <x v="13"/>
    <x v="4"/>
    <x v="4"/>
    <x v="4"/>
    <s v="VALN05TEFW"/>
    <s v="Usado,AF./Temuco/FAW"/>
    <s v="USADOS/TEMU/FAW"/>
  </r>
  <r>
    <x v="1"/>
    <s v="VA00"/>
    <s v="Usados, Retoma, y AF"/>
    <x v="13"/>
    <x v="13"/>
    <x v="11"/>
    <x v="10"/>
    <x v="9"/>
    <s v="VALN05TEIN"/>
    <s v="Usado,AF./Temuco/INTERNATIONAL"/>
    <s v="USADOS/TEMU/INT"/>
  </r>
  <r>
    <x v="1"/>
    <s v="VA00"/>
    <s v="Usados, Retoma, y AF"/>
    <x v="13"/>
    <x v="13"/>
    <x v="2"/>
    <x v="2"/>
    <x v="2"/>
    <s v="VALN05TEOO"/>
    <s v="Usado,AF./Temuco/TODAS/OTRAS MARCAS"/>
    <s v="USADOS/TEMU/TODAS"/>
  </r>
  <r>
    <x v="1"/>
    <s v="VA00"/>
    <s v="Usados, Retoma, y AF"/>
    <x v="13"/>
    <x v="13"/>
    <x v="3"/>
    <x v="3"/>
    <x v="3"/>
    <s v="VALN05TEDC"/>
    <s v="Usado,AF./Temuco/DONG FENG (DFAC)"/>
    <s v="USADOS/TEMU/DFAC"/>
  </r>
  <r>
    <x v="1"/>
    <s v="VA00"/>
    <s v="Venta Repuesto"/>
    <x v="8"/>
    <x v="7"/>
    <x v="10"/>
    <x v="3"/>
    <x v="8"/>
    <s v="VALN03ANDV"/>
    <s v="Rpto./Antofagasta/DONG FENG (DFCV)"/>
    <s v="RPTO/ANTOF/DFCV"/>
  </r>
  <r>
    <x v="1"/>
    <s v="VA00"/>
    <s v="Venta Repuesto"/>
    <x v="8"/>
    <x v="7"/>
    <x v="4"/>
    <x v="4"/>
    <x v="4"/>
    <s v="VALN03ANFW"/>
    <s v="Rpto./Antofagasta/FAW"/>
    <s v="RPTO/ANTOF/FAW"/>
  </r>
  <r>
    <x v="1"/>
    <s v="VA00"/>
    <s v="Venta Repuesto"/>
    <x v="8"/>
    <x v="7"/>
    <x v="11"/>
    <x v="10"/>
    <x v="9"/>
    <s v="VALN03ANIN"/>
    <s v="Rpto./Antofagasta/INTERNATIONAL"/>
    <s v="RPTO/ANTOF/INT"/>
  </r>
  <r>
    <x v="1"/>
    <s v="VA00"/>
    <s v="Venta Repuesto"/>
    <x v="8"/>
    <x v="7"/>
    <x v="2"/>
    <x v="2"/>
    <x v="2"/>
    <s v="VALN03ANOO"/>
    <s v="Rpto./Antofagasta/TODAS/OTRAS MARCAS"/>
    <s v="RPTO/ANTOF/TODAS"/>
  </r>
  <r>
    <x v="1"/>
    <s v="VA00"/>
    <s v="Venta Repuesto"/>
    <x v="8"/>
    <x v="7"/>
    <x v="3"/>
    <x v="3"/>
    <x v="3"/>
    <s v="VALN03ANDC"/>
    <s v="Rpto./Antofagasta/DONG FENG (DFAC)"/>
    <s v="RPTO/ANTOF/DFAC"/>
  </r>
  <r>
    <x v="1"/>
    <s v="VA00"/>
    <s v="Venta Repuesto"/>
    <x v="9"/>
    <x v="8"/>
    <x v="10"/>
    <x v="3"/>
    <x v="8"/>
    <s v="VALN03CADV"/>
    <s v="Rpto./Calama/DONG FENG (DFCV)"/>
    <s v="RPTO/CALAM/DFCV"/>
  </r>
  <r>
    <x v="1"/>
    <s v="VA00"/>
    <s v="Venta Repuesto"/>
    <x v="9"/>
    <x v="8"/>
    <x v="4"/>
    <x v="4"/>
    <x v="4"/>
    <s v="VALN03CAFW"/>
    <s v="Rpto./Calama/FAW"/>
    <s v="RPTO/CALAM/FAW"/>
  </r>
  <r>
    <x v="1"/>
    <s v="VA00"/>
    <s v="Venta Repuesto"/>
    <x v="9"/>
    <x v="8"/>
    <x v="11"/>
    <x v="10"/>
    <x v="9"/>
    <s v="VALN03CAIN"/>
    <s v="Rpto./Calama/INTERNATIONAL"/>
    <s v="RPTO/CALAM/INT"/>
  </r>
  <r>
    <x v="1"/>
    <s v="VA00"/>
    <s v="Venta Repuesto"/>
    <x v="9"/>
    <x v="8"/>
    <x v="2"/>
    <x v="2"/>
    <x v="2"/>
    <s v="VALN03CAOO"/>
    <s v="Rpto./Calama/TODAS/OTRAS MARCAS"/>
    <s v="RPTO/CALAM/TODAS"/>
  </r>
  <r>
    <x v="1"/>
    <s v="VA00"/>
    <s v="Venta Repuesto"/>
    <x v="9"/>
    <x v="8"/>
    <x v="3"/>
    <x v="3"/>
    <x v="3"/>
    <s v="VALN03CADC"/>
    <s v="Rpto./Calama/DONG FENG (DFAC)"/>
    <s v="RPTO/CALAM/DFAC"/>
  </r>
  <r>
    <x v="1"/>
    <s v="VA00"/>
    <s v="Venta Repuesto"/>
    <x v="10"/>
    <x v="9"/>
    <x v="10"/>
    <x v="3"/>
    <x v="8"/>
    <s v="VALN03CUDV"/>
    <s v="Rpto./Curico/DONG FENG (DFCV)"/>
    <s v="RPTO/CURIC/DFCV"/>
  </r>
  <r>
    <x v="1"/>
    <s v="VA00"/>
    <s v="Venta Repuesto"/>
    <x v="10"/>
    <x v="9"/>
    <x v="4"/>
    <x v="4"/>
    <x v="4"/>
    <s v="VALN03CUFW"/>
    <s v="Rpto./Curico/FAW"/>
    <s v="RPTO/CURIC/FAW"/>
  </r>
  <r>
    <x v="1"/>
    <s v="VA00"/>
    <s v="Venta Repuesto"/>
    <x v="10"/>
    <x v="9"/>
    <x v="11"/>
    <x v="10"/>
    <x v="9"/>
    <s v="VALN03CUIN"/>
    <s v="Rpto./Curico/INTERNATIONAL"/>
    <s v="RPTO/CURIC/INT"/>
  </r>
  <r>
    <x v="1"/>
    <s v="VA00"/>
    <s v="Venta Repuesto"/>
    <x v="10"/>
    <x v="9"/>
    <x v="2"/>
    <x v="2"/>
    <x v="2"/>
    <s v="VALN03CUOO"/>
    <s v="Rpto./Curico/TODAS/OTRAS MARCAS"/>
    <s v="RPTO/CURIC/TODAS"/>
  </r>
  <r>
    <x v="1"/>
    <s v="VA00"/>
    <s v="Venta Repuesto"/>
    <x v="10"/>
    <x v="9"/>
    <x v="3"/>
    <x v="3"/>
    <x v="3"/>
    <s v="VALN03CUDC"/>
    <s v="Rpto./Curico/DONG FENG (DFAC)"/>
    <s v="RPTO/CURIC/DFAC"/>
  </r>
  <r>
    <x v="1"/>
    <s v="VA00"/>
    <s v="Venta Repuesto"/>
    <x v="11"/>
    <x v="10"/>
    <x v="10"/>
    <x v="3"/>
    <x v="8"/>
    <s v="VALN03PMDV"/>
    <s v="Rpto./Puerto Montt/DONG FENG (DFCV)"/>
    <s v="RPTO/PTMONT/DFCV"/>
  </r>
  <r>
    <x v="1"/>
    <s v="VA00"/>
    <s v="Venta Repuesto"/>
    <x v="11"/>
    <x v="10"/>
    <x v="4"/>
    <x v="4"/>
    <x v="4"/>
    <s v="VALN03PMFW"/>
    <s v="Rpto./Puerto Montt/FAW"/>
    <s v="RPTO/PTMONT/FAW"/>
  </r>
  <r>
    <x v="1"/>
    <s v="VA00"/>
    <s v="Venta Repuesto"/>
    <x v="11"/>
    <x v="10"/>
    <x v="11"/>
    <x v="10"/>
    <x v="9"/>
    <s v="VALN03PMIN"/>
    <s v="Rpto./Puerto Montt/INTERNATIONAL"/>
    <s v="RPTO/PTMONT/INT"/>
  </r>
  <r>
    <x v="1"/>
    <s v="VA00"/>
    <s v="Venta Repuesto"/>
    <x v="11"/>
    <x v="10"/>
    <x v="2"/>
    <x v="2"/>
    <x v="2"/>
    <s v="VALN03PMOO"/>
    <s v="Rpto./Puerto Montt/TODAS/OTRAS MARCAS"/>
    <s v="RPTO/PTMONT/TODAS"/>
  </r>
  <r>
    <x v="1"/>
    <s v="VA00"/>
    <s v="Venta Repuesto"/>
    <x v="11"/>
    <x v="10"/>
    <x v="3"/>
    <x v="3"/>
    <x v="3"/>
    <s v="VALN03PMDC"/>
    <s v="Rpto./Puerto Montt/DONG FENG (DFAC)"/>
    <s v="RPTO/PTMONT/DFAC"/>
  </r>
  <r>
    <x v="1"/>
    <s v="VA00"/>
    <s v="Venta Repuesto"/>
    <x v="6"/>
    <x v="11"/>
    <x v="10"/>
    <x v="3"/>
    <x v="8"/>
    <s v="VALN03QCDV"/>
    <s v="Rpto./Quilicura/DONG FENG (DFCV)"/>
    <s v="RPTO/QUILI/DFCV"/>
  </r>
  <r>
    <x v="1"/>
    <s v="VA00"/>
    <s v="Venta Repuesto"/>
    <x v="6"/>
    <x v="11"/>
    <x v="4"/>
    <x v="4"/>
    <x v="4"/>
    <s v="VALN03QCFW"/>
    <s v="Rpto./Quilicura/FAW"/>
    <s v="RPTO/QUILI/FAW"/>
  </r>
  <r>
    <x v="1"/>
    <s v="VA00"/>
    <s v="Venta Repuesto"/>
    <x v="6"/>
    <x v="11"/>
    <x v="11"/>
    <x v="10"/>
    <x v="9"/>
    <s v="VALN03QCIN"/>
    <s v="Rpto./Quilicura/INTERNATIONAL"/>
    <s v="RPTO/QUILI/INT"/>
  </r>
  <r>
    <x v="1"/>
    <s v="VA00"/>
    <s v="Venta Repuesto"/>
    <x v="6"/>
    <x v="11"/>
    <x v="2"/>
    <x v="2"/>
    <x v="2"/>
    <s v="VALN03QCOO"/>
    <s v="Rpto./Quilicura/TODAS/OTRAS MARCAS"/>
    <s v="RPTO/QUILI/TODAS"/>
  </r>
  <r>
    <x v="1"/>
    <s v="VA00"/>
    <s v="Venta Repuesto"/>
    <x v="6"/>
    <x v="11"/>
    <x v="3"/>
    <x v="3"/>
    <x v="3"/>
    <s v="VALN03QCDC"/>
    <s v="Rpto./Quilicura/DONG FENG (DFAC)"/>
    <s v="RPTO/QUILI/DFAC"/>
  </r>
  <r>
    <x v="1"/>
    <s v="VA00"/>
    <s v="Venta Repuesto"/>
    <x v="12"/>
    <x v="12"/>
    <x v="10"/>
    <x v="3"/>
    <x v="8"/>
    <s v="VALN03TADV"/>
    <s v="Rpto./Talcahuano/DONG FENG (DFCV)"/>
    <s v="RPTO/TALCHU/DFCV"/>
  </r>
  <r>
    <x v="1"/>
    <s v="VA00"/>
    <s v="Venta Repuesto"/>
    <x v="12"/>
    <x v="12"/>
    <x v="4"/>
    <x v="4"/>
    <x v="4"/>
    <s v="VALN03TAFW"/>
    <s v="Rpto./Talcahuano/FAW"/>
    <s v="RPTO/TALCHU/FAW"/>
  </r>
  <r>
    <x v="1"/>
    <s v="VA00"/>
    <s v="Venta Repuesto"/>
    <x v="12"/>
    <x v="12"/>
    <x v="11"/>
    <x v="10"/>
    <x v="9"/>
    <s v="VALN03TAIN"/>
    <s v="Rpto./Talcahuano/INTERNATIONAL"/>
    <s v="RPTO/TALCHU/INT"/>
  </r>
  <r>
    <x v="1"/>
    <s v="VA00"/>
    <s v="Venta Repuesto"/>
    <x v="12"/>
    <x v="12"/>
    <x v="2"/>
    <x v="2"/>
    <x v="2"/>
    <s v="VALN03TAOO"/>
    <s v="Rpto./Talcahuano/TODAS/OTRAS MARCAS"/>
    <s v="RPTO/TALCHU/TODAS"/>
  </r>
  <r>
    <x v="1"/>
    <s v="VA00"/>
    <s v="Venta Repuesto"/>
    <x v="12"/>
    <x v="12"/>
    <x v="3"/>
    <x v="3"/>
    <x v="3"/>
    <s v="VALN03TADC"/>
    <s v="Rpto./Talcahuano/DONG FENG (DFAC)"/>
    <s v="RPTO/TALCHU/DFAC"/>
  </r>
  <r>
    <x v="1"/>
    <s v="VA00"/>
    <s v="Venta Repuesto"/>
    <x v="13"/>
    <x v="13"/>
    <x v="10"/>
    <x v="3"/>
    <x v="8"/>
    <s v="VALN03TEDV"/>
    <s v="Rpto./Temuco/DONG FENG (DFCV)"/>
    <s v="RPTO/TEMU/DFCV"/>
  </r>
  <r>
    <x v="1"/>
    <s v="VA00"/>
    <s v="Venta Repuesto"/>
    <x v="13"/>
    <x v="13"/>
    <x v="4"/>
    <x v="4"/>
    <x v="4"/>
    <s v="VALN03TEFW"/>
    <s v="Rpto./Temuco/FAW"/>
    <s v="RPTO/TEMU/FAW"/>
  </r>
  <r>
    <x v="1"/>
    <s v="VA00"/>
    <s v="Venta Repuesto"/>
    <x v="13"/>
    <x v="13"/>
    <x v="11"/>
    <x v="10"/>
    <x v="9"/>
    <s v="VALN03TEIN"/>
    <s v="Rpto./Temuco/INTERNATIONAL"/>
    <s v="RPTO/TEMU/INT"/>
  </r>
  <r>
    <x v="1"/>
    <s v="VA00"/>
    <s v="Venta Repuesto"/>
    <x v="13"/>
    <x v="13"/>
    <x v="2"/>
    <x v="2"/>
    <x v="2"/>
    <s v="VALN03TEOO"/>
    <s v="Rpto./Temuco/TODAS/OTRAS MARCAS"/>
    <s v="RPTO/TEMU/TODAS"/>
  </r>
  <r>
    <x v="1"/>
    <s v="VA00"/>
    <s v="Venta Repuesto"/>
    <x v="13"/>
    <x v="13"/>
    <x v="3"/>
    <x v="3"/>
    <x v="3"/>
    <s v="VALN03TEDC"/>
    <s v="Rpto./Temuco/DONG FENG (DFAC)"/>
    <s v="RPTO/TEMU/DFAC"/>
  </r>
  <r>
    <x v="1"/>
    <s v="VA00"/>
    <s v="Venta Servicio"/>
    <x v="8"/>
    <x v="7"/>
    <x v="10"/>
    <x v="3"/>
    <x v="8"/>
    <s v="VALN04ANDV"/>
    <s v="Servicio/Antofagasta/DONG FENG (DFCV)"/>
    <s v="SERV/ANTOF/DFCV"/>
  </r>
  <r>
    <x v="1"/>
    <s v="VA00"/>
    <s v="Venta Servicio"/>
    <x v="8"/>
    <x v="7"/>
    <x v="4"/>
    <x v="4"/>
    <x v="4"/>
    <s v="VALN04ANFW"/>
    <s v="Servicio/Antofagasta/FAW"/>
    <s v="SERV/ANTOF/FAW"/>
  </r>
  <r>
    <x v="1"/>
    <s v="VA00"/>
    <s v="Venta Servicio"/>
    <x v="8"/>
    <x v="7"/>
    <x v="11"/>
    <x v="10"/>
    <x v="9"/>
    <s v="VALN04ANIN"/>
    <s v="Servicio/Antofagasta/INTERNATIONAL"/>
    <s v="SERV/ANTOF/INT"/>
  </r>
  <r>
    <x v="1"/>
    <s v="VA00"/>
    <s v="Venta Servicio"/>
    <x v="8"/>
    <x v="7"/>
    <x v="2"/>
    <x v="2"/>
    <x v="2"/>
    <s v="VALN04ANOO"/>
    <s v="Servicio/Antofagasta/TODAS/OTRAS MARCAS"/>
    <s v="SERV/ANTOF/TODAS"/>
  </r>
  <r>
    <x v="1"/>
    <s v="VA00"/>
    <s v="Venta Servicio"/>
    <x v="8"/>
    <x v="7"/>
    <x v="3"/>
    <x v="3"/>
    <x v="3"/>
    <s v="VALN04ANDC"/>
    <s v="Servicio/Antofagasta/DONG FENG (DFAC)"/>
    <s v="SERV/ANTOF/DFAC"/>
  </r>
  <r>
    <x v="1"/>
    <s v="VA00"/>
    <s v="Venta Servicio"/>
    <x v="9"/>
    <x v="8"/>
    <x v="10"/>
    <x v="3"/>
    <x v="8"/>
    <s v="VALN04CADV"/>
    <s v="Servicio/Calama/DONG FENG (DFCV)"/>
    <s v="SERV/CALAM/DFCV"/>
  </r>
  <r>
    <x v="1"/>
    <s v="VA00"/>
    <s v="Venta Servicio"/>
    <x v="9"/>
    <x v="8"/>
    <x v="4"/>
    <x v="4"/>
    <x v="4"/>
    <s v="VALN04CAFW"/>
    <s v="Servicio/Calama/FAW"/>
    <s v="SERV/CALAM/FAW"/>
  </r>
  <r>
    <x v="1"/>
    <s v="VA00"/>
    <s v="Venta Servicio"/>
    <x v="9"/>
    <x v="8"/>
    <x v="11"/>
    <x v="10"/>
    <x v="9"/>
    <s v="VALN04CAIN"/>
    <s v="Servicio/Calama/INTERNATIONAL"/>
    <s v="SERV/CALAM/INT"/>
  </r>
  <r>
    <x v="1"/>
    <s v="VA00"/>
    <s v="Venta Servicio"/>
    <x v="9"/>
    <x v="8"/>
    <x v="2"/>
    <x v="2"/>
    <x v="2"/>
    <s v="VALN04CAOO"/>
    <s v="Servicio/Calama/TODAS/OTRAS MARCAS"/>
    <s v="SERV/CALAM/TODAS"/>
  </r>
  <r>
    <x v="1"/>
    <s v="VA00"/>
    <s v="Venta Servicio"/>
    <x v="9"/>
    <x v="8"/>
    <x v="3"/>
    <x v="3"/>
    <x v="3"/>
    <s v="VALN04CADC"/>
    <s v="Servicio/Calama/DONG FENG (DFAC)"/>
    <s v="SERV/CALAM/DFAC"/>
  </r>
  <r>
    <x v="1"/>
    <s v="VA00"/>
    <s v="Venta Servicio"/>
    <x v="10"/>
    <x v="9"/>
    <x v="10"/>
    <x v="3"/>
    <x v="8"/>
    <s v="VALN04CUDV"/>
    <s v="Servicio/Curico/DONG FENG (DFCV)"/>
    <s v="SERV/CURIC/DFCV"/>
  </r>
  <r>
    <x v="1"/>
    <s v="VA00"/>
    <s v="Venta Servicio"/>
    <x v="10"/>
    <x v="9"/>
    <x v="4"/>
    <x v="4"/>
    <x v="4"/>
    <s v="VALN04CUFW"/>
    <s v="Servicio/Curico/FAW"/>
    <s v="SERV/CURIC/FAW"/>
  </r>
  <r>
    <x v="1"/>
    <s v="VA00"/>
    <s v="Venta Servicio"/>
    <x v="10"/>
    <x v="9"/>
    <x v="11"/>
    <x v="10"/>
    <x v="9"/>
    <s v="VALN04CUIN"/>
    <s v="Servicio/Curico/INTERNATIONAL"/>
    <s v="SERV/CURIC/INT"/>
  </r>
  <r>
    <x v="1"/>
    <s v="VA00"/>
    <s v="Venta Servicio"/>
    <x v="10"/>
    <x v="9"/>
    <x v="2"/>
    <x v="2"/>
    <x v="2"/>
    <s v="VALN04CUOO"/>
    <s v="Servicio/Curico/TODAS/OTRAS MARCAS"/>
    <s v="SERV/CURIC/TODAS"/>
  </r>
  <r>
    <x v="1"/>
    <s v="VA00"/>
    <s v="Venta Servicio"/>
    <x v="10"/>
    <x v="9"/>
    <x v="3"/>
    <x v="3"/>
    <x v="3"/>
    <s v="VALN04CUDC"/>
    <s v="Servicio/Curico/DONG FENG (DFAC)"/>
    <s v="SERV/CURIC/DFAC"/>
  </r>
  <r>
    <x v="1"/>
    <s v="VA00"/>
    <s v="Venta Servicio"/>
    <x v="11"/>
    <x v="10"/>
    <x v="10"/>
    <x v="3"/>
    <x v="8"/>
    <s v="VALN04PMDV"/>
    <s v="Servicio/Puerto Montt/DONG FENG (DFCV)"/>
    <s v="SERV/PTMONT/DFCV"/>
  </r>
  <r>
    <x v="1"/>
    <s v="VA00"/>
    <s v="Venta Servicio"/>
    <x v="11"/>
    <x v="10"/>
    <x v="4"/>
    <x v="4"/>
    <x v="4"/>
    <s v="VALN04PMFW"/>
    <s v="Servicio/Puerto Montt/FAW"/>
    <s v="SERV/PTMONT/FAW"/>
  </r>
  <r>
    <x v="1"/>
    <s v="VA00"/>
    <s v="Venta Servicio"/>
    <x v="11"/>
    <x v="10"/>
    <x v="11"/>
    <x v="10"/>
    <x v="9"/>
    <s v="VALN04PMIN"/>
    <s v="Servicio/Puerto Montt/INTERNATIONAL"/>
    <s v="SERV/PTMONT/INT"/>
  </r>
  <r>
    <x v="1"/>
    <s v="VA00"/>
    <s v="Venta Servicio"/>
    <x v="11"/>
    <x v="10"/>
    <x v="2"/>
    <x v="2"/>
    <x v="2"/>
    <s v="VALN04PMOO"/>
    <s v="Servicio/Puerto Montt/TODAS/OTRAS MARCAS"/>
    <s v="SERV/PTMONT/TODAS"/>
  </r>
  <r>
    <x v="1"/>
    <s v="VA00"/>
    <s v="Venta Servicio"/>
    <x v="11"/>
    <x v="10"/>
    <x v="3"/>
    <x v="3"/>
    <x v="3"/>
    <s v="VALN04PMDC"/>
    <s v="Servicio/Puerto Montt/DONG FENG (DFAC)"/>
    <s v="SERV/PTMONT/DFAC"/>
  </r>
  <r>
    <x v="1"/>
    <s v="VA00"/>
    <s v="Venta Servicio"/>
    <x v="6"/>
    <x v="11"/>
    <x v="10"/>
    <x v="3"/>
    <x v="8"/>
    <s v="VALN04QCDV"/>
    <s v="Servicio/Quilicura/DONG FENG (DFCV)"/>
    <s v="SERV/QUILI/DFCV"/>
  </r>
  <r>
    <x v="1"/>
    <s v="VA00"/>
    <s v="Venta Servicio"/>
    <x v="6"/>
    <x v="11"/>
    <x v="4"/>
    <x v="4"/>
    <x v="4"/>
    <s v="VALN04QCFW"/>
    <s v="Servicio/Quilicura/FAW"/>
    <s v="SERV/QUILI/FAW"/>
  </r>
  <r>
    <x v="1"/>
    <s v="VA00"/>
    <s v="Venta Servicio"/>
    <x v="6"/>
    <x v="11"/>
    <x v="11"/>
    <x v="10"/>
    <x v="9"/>
    <s v="VALN04QCIN"/>
    <s v="Servicio/Quilicura/INTERNATIONAL"/>
    <s v="SERV/QUILI/INT"/>
  </r>
  <r>
    <x v="1"/>
    <s v="VA00"/>
    <s v="Venta Servicio"/>
    <x v="6"/>
    <x v="11"/>
    <x v="2"/>
    <x v="2"/>
    <x v="2"/>
    <s v="VALN04QCOO"/>
    <s v="Servicio/Quilicura/TODAS/OTRAS MARCAS"/>
    <s v="SERV/QUILI/TODAS"/>
  </r>
  <r>
    <x v="1"/>
    <s v="VA00"/>
    <s v="Venta Servicio"/>
    <x v="6"/>
    <x v="11"/>
    <x v="3"/>
    <x v="3"/>
    <x v="3"/>
    <s v="VALN04QCDC"/>
    <s v="Servicio/Quilicura/DONG FENG (DFAC)"/>
    <s v="SERV/QUILI/DFAC"/>
  </r>
  <r>
    <x v="1"/>
    <s v="VA00"/>
    <s v="Venta Servicio"/>
    <x v="12"/>
    <x v="12"/>
    <x v="10"/>
    <x v="3"/>
    <x v="8"/>
    <s v="VALN04TADV"/>
    <s v="Servicio/Talcahuano/DONG FENG (DFCV)"/>
    <s v="SERV/TALCHU/DFCV"/>
  </r>
  <r>
    <x v="1"/>
    <s v="VA00"/>
    <s v="Venta Servicio"/>
    <x v="12"/>
    <x v="12"/>
    <x v="4"/>
    <x v="4"/>
    <x v="4"/>
    <s v="VALN04TAFW"/>
    <s v="Servicio/Talcahuano/FAW"/>
    <s v="SERV/TALCHU/FAW"/>
  </r>
  <r>
    <x v="1"/>
    <s v="VA00"/>
    <s v="Venta Servicio"/>
    <x v="12"/>
    <x v="12"/>
    <x v="11"/>
    <x v="10"/>
    <x v="9"/>
    <s v="VALN04TAIN"/>
    <s v="Servicio/Talcahuano/INTERNATIONAL"/>
    <s v="SERV/TALCHU/INT"/>
  </r>
  <r>
    <x v="1"/>
    <s v="VA00"/>
    <s v="Venta Servicio"/>
    <x v="12"/>
    <x v="12"/>
    <x v="2"/>
    <x v="2"/>
    <x v="2"/>
    <s v="VALN04TAOO"/>
    <s v="Servicio/Talcahuano/TODAS/OTRAS MARCAS"/>
    <s v="SERV/TALCHU/TODAS"/>
  </r>
  <r>
    <x v="1"/>
    <s v="VA00"/>
    <s v="Venta Servicio"/>
    <x v="12"/>
    <x v="12"/>
    <x v="3"/>
    <x v="3"/>
    <x v="3"/>
    <s v="VALN04TADC"/>
    <s v="Servicio/Talcahuano/DONG FENG (DFAC)"/>
    <s v="SERV/TALCHU/DFAC"/>
  </r>
  <r>
    <x v="1"/>
    <s v="VA00"/>
    <s v="Venta Servicio"/>
    <x v="13"/>
    <x v="13"/>
    <x v="10"/>
    <x v="3"/>
    <x v="8"/>
    <s v="VALN04TEDV"/>
    <s v="Servicio/Temuco/DONG FENG (DFCV)"/>
    <s v="SERV/TEMU/DFCV"/>
  </r>
  <r>
    <x v="1"/>
    <s v="VA00"/>
    <s v="Venta Servicio"/>
    <x v="13"/>
    <x v="13"/>
    <x v="4"/>
    <x v="4"/>
    <x v="4"/>
    <s v="VALN04TEFW"/>
    <s v="Servicio/Temuco/FAW"/>
    <s v="SERV/TEMU/FAW"/>
  </r>
  <r>
    <x v="1"/>
    <s v="VA00"/>
    <s v="Venta Servicio"/>
    <x v="13"/>
    <x v="13"/>
    <x v="11"/>
    <x v="10"/>
    <x v="9"/>
    <s v="VALN04TEIN"/>
    <s v="Servicio/Temuco/INTERNATIONAL"/>
    <s v="SERV/TEMU/INT"/>
  </r>
  <r>
    <x v="1"/>
    <s v="VA00"/>
    <s v="Venta Servicio"/>
    <x v="13"/>
    <x v="13"/>
    <x v="2"/>
    <x v="2"/>
    <x v="2"/>
    <s v="VALN04TEOO"/>
    <s v="Servicio/Temuco/TODAS/OTRAS MARCAS"/>
    <s v="SERV/TEMU/TODAS"/>
  </r>
  <r>
    <x v="1"/>
    <s v="VA00"/>
    <s v="Venta Servicio"/>
    <x v="13"/>
    <x v="13"/>
    <x v="3"/>
    <x v="3"/>
    <x v="3"/>
    <s v="VALN04TEDC"/>
    <s v="Servicio/Temuco/DONG FENG (DFAC)"/>
    <s v="SERV/TEMU/DFAC"/>
  </r>
  <r>
    <x v="1"/>
    <s v="VA00"/>
    <s v="Vta. Electromovilidad Unidades Nuevas"/>
    <x v="8"/>
    <x v="7"/>
    <x v="10"/>
    <x v="3"/>
    <x v="8"/>
    <s v="VALN02ANDV"/>
    <s v="Electromovilidad/Antofa/DONG FENG (DFCV)"/>
    <s v="ELECTM/ANTOF/DFCV"/>
  </r>
  <r>
    <x v="1"/>
    <s v="VA00"/>
    <s v="Vta. Electromovilidad Unidades Nuevas"/>
    <x v="8"/>
    <x v="7"/>
    <x v="4"/>
    <x v="4"/>
    <x v="4"/>
    <s v="VALN02ANFW"/>
    <s v="Electromovilidad/Antofagasta/FAW"/>
    <s v="ELECTM/ANTOF/FAW"/>
  </r>
  <r>
    <x v="1"/>
    <s v="VA00"/>
    <s v="Vta. Electromovilidad Unidades Nuevas"/>
    <x v="8"/>
    <x v="7"/>
    <x v="3"/>
    <x v="3"/>
    <x v="3"/>
    <s v="VALN02ANDC"/>
    <s v="Electromov/Antofagasta/DONG FENG (DFAC)"/>
    <s v="ELECTM/ANTOF/DFAC"/>
  </r>
  <r>
    <x v="1"/>
    <s v="VA00"/>
    <s v="Vta. Electromovilidad Unidades Nuevas"/>
    <x v="9"/>
    <x v="8"/>
    <x v="10"/>
    <x v="3"/>
    <x v="8"/>
    <s v="VALN02CADV"/>
    <s v="Electromovilidad/Calama/DONG FENG (DFCV)"/>
    <s v="ELECTM/CALAM/DFCV"/>
  </r>
  <r>
    <x v="1"/>
    <s v="VA00"/>
    <s v="Vta. Electromovilidad Unidades Nuevas"/>
    <x v="9"/>
    <x v="8"/>
    <x v="4"/>
    <x v="4"/>
    <x v="4"/>
    <s v="VALN02CAFW"/>
    <s v="Electromovilidad/Calama/FAW"/>
    <s v="ELECTM/CALAM/FAW"/>
  </r>
  <r>
    <x v="1"/>
    <s v="VA00"/>
    <s v="Vta. Electromovilidad Unidades Nuevas"/>
    <x v="9"/>
    <x v="8"/>
    <x v="3"/>
    <x v="3"/>
    <x v="3"/>
    <s v="VALN02CADC"/>
    <s v="Electromovilidad/Calama/DONG FENG (DFAC)"/>
    <s v="ELECTM/CALAM/DFAC"/>
  </r>
  <r>
    <x v="1"/>
    <s v="VA00"/>
    <s v="Vta. Electromovilidad Unidades Nuevas"/>
    <x v="10"/>
    <x v="9"/>
    <x v="10"/>
    <x v="3"/>
    <x v="8"/>
    <s v="VALN02CUDV"/>
    <s v="Electromovilidad/Curico/DONG FENG (DFCV)"/>
    <s v="ELECTM/CURIC/DFCV"/>
  </r>
  <r>
    <x v="1"/>
    <s v="VA00"/>
    <s v="Vta. Electromovilidad Unidades Nuevas"/>
    <x v="10"/>
    <x v="9"/>
    <x v="4"/>
    <x v="4"/>
    <x v="4"/>
    <s v="VALN02CUFW"/>
    <s v="Electromovilidad/Curico/FAW"/>
    <s v="ELECTM/CURIC/FAW"/>
  </r>
  <r>
    <x v="1"/>
    <s v="VA00"/>
    <s v="Vta. Electromovilidad Unidades Nuevas"/>
    <x v="10"/>
    <x v="9"/>
    <x v="3"/>
    <x v="3"/>
    <x v="3"/>
    <s v="VALN02CUDC"/>
    <s v="Electromovilidad/Curico/DONG FENG (DFAC)"/>
    <s v="ELECTM/CURIC/DFAC"/>
  </r>
  <r>
    <x v="1"/>
    <s v="VA00"/>
    <s v="Vta. Electromovilidad Unidades Nuevas"/>
    <x v="11"/>
    <x v="10"/>
    <x v="10"/>
    <x v="3"/>
    <x v="8"/>
    <s v="VALN02PMDV"/>
    <s v="Electromov/Puerto Montt/DONG FENG (DFCV)"/>
    <s v="ELECTM/PTMONT/DFCV"/>
  </r>
  <r>
    <x v="1"/>
    <s v="VA00"/>
    <s v="Vta. Electromovilidad Unidades Nuevas"/>
    <x v="11"/>
    <x v="10"/>
    <x v="4"/>
    <x v="4"/>
    <x v="4"/>
    <s v="VALN02PMFW"/>
    <s v="Electromovilidad/Puerto Montt/FAW"/>
    <s v="ELECTM/PTMONT/FAW"/>
  </r>
  <r>
    <x v="1"/>
    <s v="VA00"/>
    <s v="Vta. Electromovilidad Unidades Nuevas"/>
    <x v="11"/>
    <x v="10"/>
    <x v="3"/>
    <x v="3"/>
    <x v="3"/>
    <s v="VALN02PMDC"/>
    <s v="Electromov/Puerto Montt/DONG FENG (DFAC)"/>
    <s v="ELECTM/PTMONT/DFAC"/>
  </r>
  <r>
    <x v="1"/>
    <s v="VA00"/>
    <s v="Vta. Electromovilidad Unidades Nuevas"/>
    <x v="6"/>
    <x v="11"/>
    <x v="10"/>
    <x v="3"/>
    <x v="8"/>
    <s v="VALN02QCDV"/>
    <s v="Electromov/Quilicura/DONG FENG (DFCV)"/>
    <s v="ELECTM/QUILI/DFCV"/>
  </r>
  <r>
    <x v="1"/>
    <s v="VA00"/>
    <s v="Vta. Electromovilidad Unidades Nuevas"/>
    <x v="6"/>
    <x v="11"/>
    <x v="4"/>
    <x v="4"/>
    <x v="4"/>
    <s v="VALN02QCFW"/>
    <s v="Electromovilidad/Quilicura/FAW"/>
    <s v="ELECTM/QUILI/FAW"/>
  </r>
  <r>
    <x v="1"/>
    <s v="VA00"/>
    <s v="Vta. Electromovilidad Unidades Nuevas"/>
    <x v="6"/>
    <x v="11"/>
    <x v="3"/>
    <x v="3"/>
    <x v="3"/>
    <s v="VALN02QCDC"/>
    <s v="Electromov/Quilicura/DONG FENG (DFAC)"/>
    <s v="ELECTM/QUILI/DFAC"/>
  </r>
  <r>
    <x v="1"/>
    <s v="VA00"/>
    <s v="Vta. Electromovilidad Unidades Nuevas"/>
    <x v="12"/>
    <x v="12"/>
    <x v="10"/>
    <x v="3"/>
    <x v="8"/>
    <s v="VALN02TADV"/>
    <s v="Electromov/Talcahuano/DONG FENG (DFCV)"/>
    <s v="ELECTM/TALCHU/DFCV"/>
  </r>
  <r>
    <x v="1"/>
    <s v="VA00"/>
    <s v="Vta. Electromovilidad Unidades Nuevas"/>
    <x v="12"/>
    <x v="12"/>
    <x v="4"/>
    <x v="4"/>
    <x v="4"/>
    <s v="VALN02TAFW"/>
    <s v="Electromovilidad/Talcahuano/FAW"/>
    <s v="ELECTM/TALCHU/FAW"/>
  </r>
  <r>
    <x v="1"/>
    <s v="VA00"/>
    <s v="Vta. Electromovilidad Unidades Nuevas"/>
    <x v="12"/>
    <x v="12"/>
    <x v="3"/>
    <x v="3"/>
    <x v="3"/>
    <s v="VALN02TADC"/>
    <s v="Electromov/Talcahuano/DONG FENG (DFAC)"/>
    <s v="ELECTM/TALCHU/DFAC"/>
  </r>
  <r>
    <x v="1"/>
    <s v="VA00"/>
    <s v="Vta. Electromovilidad Unidades Nuevas"/>
    <x v="13"/>
    <x v="13"/>
    <x v="10"/>
    <x v="3"/>
    <x v="8"/>
    <s v="VALN02TEDV"/>
    <s v="Electromovilidad/Temuco/DONG FENG (DFCV)"/>
    <s v="ELECTM/TEMU/DFCV"/>
  </r>
  <r>
    <x v="1"/>
    <s v="VA00"/>
    <s v="Vta. Electromovilidad Unidades Nuevas"/>
    <x v="13"/>
    <x v="13"/>
    <x v="4"/>
    <x v="4"/>
    <x v="4"/>
    <s v="VALN02TEFW"/>
    <s v="Electromovilidad/Temuco/FAW"/>
    <s v="ELECTM/TEMU/FAW"/>
  </r>
  <r>
    <x v="1"/>
    <s v="VA00"/>
    <s v="Vta. Electromovilidad Unidades Nuevas"/>
    <x v="13"/>
    <x v="13"/>
    <x v="3"/>
    <x v="3"/>
    <x v="3"/>
    <s v="VALN02TEDC"/>
    <s v="Electromovilidad/Temuco/DONG FENG (DFAC)"/>
    <s v="ELECTM/TEMU/DFAC"/>
  </r>
  <r>
    <x v="1"/>
    <s v="VA00"/>
    <s v="Vta. Unidades Nuevas"/>
    <x v="8"/>
    <x v="7"/>
    <x v="10"/>
    <x v="3"/>
    <x v="8"/>
    <s v="VALN01ANDV"/>
    <s v="Vta.Uni./Antofagasta/DONG FENG (DFCV)"/>
    <s v="VTA.UNID/ANTOF/DFCV"/>
  </r>
  <r>
    <x v="1"/>
    <s v="VA00"/>
    <s v="Vta. Unidades Nuevas"/>
    <x v="8"/>
    <x v="7"/>
    <x v="4"/>
    <x v="4"/>
    <x v="4"/>
    <s v="VALN01ANFW"/>
    <s v="Vta.Uni./Antofagasta/FAW"/>
    <s v="VTA.UNID/ANTOF/FAW"/>
  </r>
  <r>
    <x v="1"/>
    <s v="VA00"/>
    <s v="Vta. Unidades Nuevas"/>
    <x v="8"/>
    <x v="7"/>
    <x v="11"/>
    <x v="10"/>
    <x v="9"/>
    <s v="VALN01ANIN"/>
    <s v="Vta.Uni./Antofagasta/INTERNATIONAL"/>
    <s v="VTA.UNID/ANTOF/INT"/>
  </r>
  <r>
    <x v="1"/>
    <s v="VA00"/>
    <s v="Vta. Unidades Nuevas"/>
    <x v="8"/>
    <x v="7"/>
    <x v="3"/>
    <x v="3"/>
    <x v="3"/>
    <s v="VALN01ANDC"/>
    <s v="Vta.Uni./Antofagasta/DONG FENG (DFAC)"/>
    <s v="VTA.UNID/ANTOF/DFAC"/>
  </r>
  <r>
    <x v="1"/>
    <s v="VA00"/>
    <s v="Vta. Unidades Nuevas"/>
    <x v="9"/>
    <x v="8"/>
    <x v="10"/>
    <x v="3"/>
    <x v="8"/>
    <s v="VALN01CADV"/>
    <s v="Vta.Uni./Calama/DONG FENG (DFCV)"/>
    <s v="VTA.UNID/CALAM/DFCV"/>
  </r>
  <r>
    <x v="1"/>
    <s v="VA00"/>
    <s v="Vta. Unidades Nuevas"/>
    <x v="9"/>
    <x v="8"/>
    <x v="4"/>
    <x v="4"/>
    <x v="4"/>
    <s v="VALN01CAFW"/>
    <s v="Vta.Uni./Calama/FAW"/>
    <s v="VTA.UNID/CALAM/FAW"/>
  </r>
  <r>
    <x v="1"/>
    <s v="VA00"/>
    <s v="Vta. Unidades Nuevas"/>
    <x v="9"/>
    <x v="8"/>
    <x v="11"/>
    <x v="10"/>
    <x v="9"/>
    <s v="VALN01CAIN"/>
    <s v="Vta.Uni./Calama/INTERNATIONAL"/>
    <s v="VTA.UNID/CALAM/INT"/>
  </r>
  <r>
    <x v="1"/>
    <s v="VA00"/>
    <s v="Vta. Unidades Nuevas"/>
    <x v="9"/>
    <x v="8"/>
    <x v="3"/>
    <x v="3"/>
    <x v="3"/>
    <s v="VALN01CADC"/>
    <s v="Vta.Uni./Calama/DONG FENG (DFAC)"/>
    <s v="VTA.UNID/CALAM/DFAC"/>
  </r>
  <r>
    <x v="1"/>
    <s v="VA00"/>
    <s v="Vta. Unidades Nuevas"/>
    <x v="10"/>
    <x v="9"/>
    <x v="10"/>
    <x v="3"/>
    <x v="8"/>
    <s v="VALN01CUDV"/>
    <s v="Vta.Uni./Curico/DONG FENG (DFCV)"/>
    <s v="VTA.UNID/CURIC/DFCV"/>
  </r>
  <r>
    <x v="1"/>
    <s v="VA00"/>
    <s v="Vta. Unidades Nuevas"/>
    <x v="10"/>
    <x v="9"/>
    <x v="4"/>
    <x v="4"/>
    <x v="4"/>
    <s v="VALN01CUFW"/>
    <s v="Vta.Uni./Curico/FAW"/>
    <s v="VTA.UNID/CURIC/FAW"/>
  </r>
  <r>
    <x v="1"/>
    <s v="VA00"/>
    <s v="Vta. Unidades Nuevas"/>
    <x v="10"/>
    <x v="9"/>
    <x v="11"/>
    <x v="10"/>
    <x v="9"/>
    <s v="VALN01CUIN"/>
    <s v="Vta.Uni./Curico/INTERNATIONAL"/>
    <s v="VTA.UNID/CURIC/INT"/>
  </r>
  <r>
    <x v="1"/>
    <s v="VA00"/>
    <s v="Vta. Unidades Nuevas"/>
    <x v="10"/>
    <x v="9"/>
    <x v="3"/>
    <x v="3"/>
    <x v="3"/>
    <s v="VALN01CUDC"/>
    <s v="Vta.Uni./Curico/DONG FENG (DFAC)"/>
    <s v="VTA.UNID/CURIC/DFAC"/>
  </r>
  <r>
    <x v="1"/>
    <s v="VA00"/>
    <s v="Vta. Unidades Nuevas"/>
    <x v="11"/>
    <x v="10"/>
    <x v="10"/>
    <x v="3"/>
    <x v="8"/>
    <s v="VALN01PMDV"/>
    <s v="Vta.Uni./Puerto Montt/DONG FENG (DFCV)"/>
    <s v="VTA.UNID/PTMONT/DFCV"/>
  </r>
  <r>
    <x v="1"/>
    <s v="VA00"/>
    <s v="Vta. Unidades Nuevas"/>
    <x v="11"/>
    <x v="10"/>
    <x v="4"/>
    <x v="4"/>
    <x v="4"/>
    <s v="VALN01PMFW"/>
    <s v="Vta.Uni./Puerto Montt/FAW"/>
    <s v="VTA.UNID/PTMONT/FAW"/>
  </r>
  <r>
    <x v="1"/>
    <s v="VA00"/>
    <s v="Vta. Unidades Nuevas"/>
    <x v="11"/>
    <x v="10"/>
    <x v="11"/>
    <x v="10"/>
    <x v="9"/>
    <s v="VALN01PMIN"/>
    <s v="Vta.Uni./Puerto Montt/INTERNATIONAL"/>
    <s v="VTA.UNID/PTMONT/INT"/>
  </r>
  <r>
    <x v="1"/>
    <s v="VA00"/>
    <s v="Vta. Unidades Nuevas"/>
    <x v="11"/>
    <x v="10"/>
    <x v="3"/>
    <x v="3"/>
    <x v="3"/>
    <s v="VALN01PMDC"/>
    <s v="Vta.Uni./Puerto Montt/DONG FENG (DFAC)"/>
    <s v="VTA.UNID/PTMONT/DFAC"/>
  </r>
  <r>
    <x v="1"/>
    <s v="VA00"/>
    <s v="Vta. Unidades Nuevas"/>
    <x v="6"/>
    <x v="11"/>
    <x v="10"/>
    <x v="3"/>
    <x v="8"/>
    <s v="VALN01QCDV"/>
    <s v="Vta.Uni./Quilicura/DONG FENG (DFCV)"/>
    <s v="VTA.UNID/QUILI/DFCV"/>
  </r>
  <r>
    <x v="1"/>
    <s v="VA00"/>
    <s v="Vta. Unidades Nuevas"/>
    <x v="6"/>
    <x v="11"/>
    <x v="4"/>
    <x v="4"/>
    <x v="4"/>
    <s v="VALN01QCFW"/>
    <s v="Vta.Uni./Quilicura/FAW"/>
    <s v="VTA.UNID/QUILI/FAW"/>
  </r>
  <r>
    <x v="1"/>
    <s v="VA00"/>
    <s v="Vta. Unidades Nuevas"/>
    <x v="6"/>
    <x v="11"/>
    <x v="11"/>
    <x v="10"/>
    <x v="9"/>
    <s v="VALN01QCIN"/>
    <s v="Vta.Uni./Quilicura/INTERNATIONAL"/>
    <s v="VTA.UNID/QUILI/INT"/>
  </r>
  <r>
    <x v="1"/>
    <s v="VA00"/>
    <s v="Vta. Unidades Nuevas"/>
    <x v="6"/>
    <x v="11"/>
    <x v="3"/>
    <x v="3"/>
    <x v="3"/>
    <s v="VALN01QCDC"/>
    <s v="Vta.Uni./Quilicura/DONG FENG (DFAC)"/>
    <s v="VTA.UNID/QUILI/DFAC"/>
  </r>
  <r>
    <x v="1"/>
    <s v="VA00"/>
    <s v="Vta. Unidades Nuevas"/>
    <x v="12"/>
    <x v="12"/>
    <x v="10"/>
    <x v="3"/>
    <x v="8"/>
    <s v="VALN01TADV"/>
    <s v="Vta.Uni./Talcahuano/DONG FENG (DFCV)"/>
    <s v="VTA.UNID/TALCHU/DFCV"/>
  </r>
  <r>
    <x v="1"/>
    <s v="VA00"/>
    <s v="Vta. Unidades Nuevas"/>
    <x v="12"/>
    <x v="12"/>
    <x v="4"/>
    <x v="4"/>
    <x v="4"/>
    <s v="VALN01TAFW"/>
    <s v="Vta.Uni./Talcahuano/FAW"/>
    <s v="VTA.UNID/TALCHU/FAW"/>
  </r>
  <r>
    <x v="1"/>
    <s v="VA00"/>
    <s v="Vta. Unidades Nuevas"/>
    <x v="12"/>
    <x v="12"/>
    <x v="11"/>
    <x v="10"/>
    <x v="9"/>
    <s v="VALN01TAIN"/>
    <s v="Vta.Uni./Talcahuano/INTERNATIONAL"/>
    <s v="VTA.UNID/TALCHU/INT"/>
  </r>
  <r>
    <x v="1"/>
    <s v="VA00"/>
    <s v="Vta. Unidades Nuevas"/>
    <x v="12"/>
    <x v="12"/>
    <x v="3"/>
    <x v="3"/>
    <x v="3"/>
    <s v="VALN01TADC"/>
    <s v="Vta.Uni./Talcahuano/DONG FENG (DFAC)"/>
    <s v="VTA.UNID/TALCHU/DFAC"/>
  </r>
  <r>
    <x v="1"/>
    <s v="VA00"/>
    <s v="Vta. Unidades Nuevas"/>
    <x v="13"/>
    <x v="13"/>
    <x v="10"/>
    <x v="3"/>
    <x v="8"/>
    <s v="VALN01TEDV"/>
    <s v="Vta.Uni./Temuco/DONG FENG (DFCV)"/>
    <s v="VTA.UNID/TEMU/DFCV"/>
  </r>
  <r>
    <x v="1"/>
    <s v="VA00"/>
    <s v="Vta. Unidades Nuevas"/>
    <x v="13"/>
    <x v="13"/>
    <x v="4"/>
    <x v="4"/>
    <x v="4"/>
    <s v="VALN01TEFW"/>
    <s v="Vta.Uni./Temuco/FAW"/>
    <s v="VTA.UNID/TEMU/FAW"/>
  </r>
  <r>
    <x v="1"/>
    <s v="VA00"/>
    <s v="Vta. Unidades Nuevas"/>
    <x v="13"/>
    <x v="13"/>
    <x v="11"/>
    <x v="10"/>
    <x v="9"/>
    <s v="VALN01TEIN"/>
    <s v="Vta.Uni./Temuco/INTERNATIONAL"/>
    <s v="VTA.UNID/TEMU/INT"/>
  </r>
  <r>
    <x v="1"/>
    <s v="VA00"/>
    <s v="Vta. Unidades Nuevas"/>
    <x v="13"/>
    <x v="13"/>
    <x v="3"/>
    <x v="3"/>
    <x v="3"/>
    <s v="VALN01TEDC"/>
    <s v="Vta.Uni./Temuco/DONG FENG (DFAC)"/>
    <s v="VTA.UNID/TEMU/DFAC"/>
  </r>
  <r>
    <x v="2"/>
    <s v="VC00"/>
    <s v="Venta Repuesto"/>
    <x v="8"/>
    <x v="14"/>
    <x v="12"/>
    <x v="11"/>
    <x v="10"/>
    <s v="VCLN03ANHY"/>
    <s v="Venta Repuesto/Antofagasta/HYSTER"/>
    <s v="RPTO/ANTOF/HYSTR"/>
  </r>
  <r>
    <x v="2"/>
    <s v="VC00"/>
    <s v="Venta Servicio"/>
    <x v="8"/>
    <x v="14"/>
    <x v="12"/>
    <x v="11"/>
    <x v="10"/>
    <s v="VCLN04ANHY"/>
    <s v="Venta Servicio/Antofagasta/HYSTER"/>
    <s v="SERV/ANTOF/HYSTR"/>
  </r>
  <r>
    <x v="2"/>
    <s v="VC00"/>
    <s v="Rental Gruas"/>
    <x v="8"/>
    <x v="14"/>
    <x v="12"/>
    <x v="11"/>
    <x v="10"/>
    <s v="VCLN72ANHY"/>
    <s v="Rental Gruas/Antofagasta/HYSTER"/>
    <s v="RNTGRUA/ANTOF/HYSTR"/>
  </r>
  <r>
    <x v="2"/>
    <s v="VC00"/>
    <s v="Usados, Retoma, y AF"/>
    <x v="8"/>
    <x v="14"/>
    <x v="12"/>
    <x v="11"/>
    <x v="10"/>
    <s v="VCLN05ANHY"/>
    <s v="Usados, Retoma, y AF/Antofagasta/HYSTER"/>
    <s v="USADOS/ANTOF/HYSTR"/>
  </r>
  <r>
    <x v="2"/>
    <s v="VC00"/>
    <s v="Venta Repuesto"/>
    <x v="6"/>
    <x v="15"/>
    <x v="12"/>
    <x v="11"/>
    <x v="10"/>
    <s v="VCLN03QCHY"/>
    <s v="Venta Repuesto/Quilicura/HYSTER"/>
    <s v="RPTO/QUILI/HYSTR"/>
  </r>
  <r>
    <x v="2"/>
    <s v="VC00"/>
    <s v="Venta Servicio"/>
    <x v="6"/>
    <x v="15"/>
    <x v="12"/>
    <x v="11"/>
    <x v="10"/>
    <s v="VCLN04QCHY"/>
    <s v="Venta Servicio/Quilicura/HYSTER"/>
    <s v="SERV/QUILI/HYSTR"/>
  </r>
  <r>
    <x v="2"/>
    <s v="VC00"/>
    <s v="Rental Gruas"/>
    <x v="6"/>
    <x v="15"/>
    <x v="12"/>
    <x v="11"/>
    <x v="10"/>
    <s v="VCLN72QCHY"/>
    <s v="Rental Gruas/Quilicura/HYSTER"/>
    <s v="RNTGRUA/QUILI/HYSTR"/>
  </r>
  <r>
    <x v="2"/>
    <s v="VC00"/>
    <s v="Usados, Retoma, y AF"/>
    <x v="6"/>
    <x v="15"/>
    <x v="12"/>
    <x v="11"/>
    <x v="10"/>
    <s v="VCLN05QCHY"/>
    <s v="Usados, Retoma, y AF/Quilicura/HYSTER"/>
    <s v="USADOS/QUILI/HYSTR"/>
  </r>
  <r>
    <x v="2"/>
    <s v="VC00"/>
    <s v="Venta Repuesto"/>
    <x v="10"/>
    <x v="16"/>
    <x v="12"/>
    <x v="11"/>
    <x v="10"/>
    <s v="VCLN03CUHY"/>
    <s v="Venta Repuesto/Curico/HYSTER"/>
    <s v="RPTO/CURIC/HYSTR"/>
  </r>
  <r>
    <x v="2"/>
    <s v="VC00"/>
    <s v="Venta Servicio"/>
    <x v="10"/>
    <x v="16"/>
    <x v="12"/>
    <x v="11"/>
    <x v="10"/>
    <s v="VCLN04CUHY"/>
    <s v="Venta Servicio/Curico/HYSTER"/>
    <s v="SERV/CURIC/HYSTR"/>
  </r>
  <r>
    <x v="2"/>
    <s v="VC00"/>
    <s v="Rental Gruas"/>
    <x v="10"/>
    <x v="16"/>
    <x v="12"/>
    <x v="11"/>
    <x v="10"/>
    <s v="VCLN72CUHY"/>
    <s v="Rental Gruas/Curico/HYSTER"/>
    <s v="RNTGRUA/CURIC/HYSTR"/>
  </r>
  <r>
    <x v="2"/>
    <s v="VC00"/>
    <s v="Usados, Retoma, y AF"/>
    <x v="10"/>
    <x v="16"/>
    <x v="12"/>
    <x v="11"/>
    <x v="10"/>
    <s v="VCLN05CUHY"/>
    <s v="Usados, Retoma, y AF/Curico/HYSTER"/>
    <s v="USADOS/CURIC/HYSTR"/>
  </r>
  <r>
    <x v="2"/>
    <s v="VC00"/>
    <s v="Venta Repuesto"/>
    <x v="12"/>
    <x v="17"/>
    <x v="12"/>
    <x v="11"/>
    <x v="10"/>
    <s v="VCLN03TAHY"/>
    <s v="Venta Repuesto/Talcahuano/HYSTER"/>
    <s v="RPTO/TALCHU/HYSTR"/>
  </r>
  <r>
    <x v="2"/>
    <s v="VC00"/>
    <s v="Venta Servicio"/>
    <x v="12"/>
    <x v="17"/>
    <x v="12"/>
    <x v="11"/>
    <x v="10"/>
    <s v="VCLN04TAHY"/>
    <s v="Venta Servicio/Talcahuano/HYSTER"/>
    <s v="SERV/TALCHU/HYSTR"/>
  </r>
  <r>
    <x v="2"/>
    <s v="VC00"/>
    <s v="Rental Gruas"/>
    <x v="12"/>
    <x v="17"/>
    <x v="12"/>
    <x v="11"/>
    <x v="10"/>
    <s v="VCLN72TAHY"/>
    <s v="Rental Gruas/Talcahuano/HYSTER"/>
    <s v="RNTGRUA/TALCHU/HYSTR"/>
  </r>
  <r>
    <x v="2"/>
    <s v="VC00"/>
    <s v="Usados, Retoma, y AF"/>
    <x v="12"/>
    <x v="17"/>
    <x v="12"/>
    <x v="11"/>
    <x v="10"/>
    <s v="VCLN05TAHY"/>
    <s v="Usados, Retoma, y AF/Talcahuano/HYSTER"/>
    <s v="USADOS/TALCHU/HYSTR"/>
  </r>
  <r>
    <x v="2"/>
    <s v="VC00"/>
    <s v="Venta Repuesto"/>
    <x v="9"/>
    <x v="18"/>
    <x v="12"/>
    <x v="11"/>
    <x v="10"/>
    <s v="VCLN03CAHY"/>
    <s v="Venta Repuesto/Calama/HYSTER"/>
    <s v="RPTO/CALAM/HYSTR"/>
  </r>
  <r>
    <x v="2"/>
    <s v="VC00"/>
    <s v="Venta Servicio"/>
    <x v="9"/>
    <x v="18"/>
    <x v="12"/>
    <x v="11"/>
    <x v="10"/>
    <s v="VCLN04CAHY"/>
    <s v="Venta Servicio/Calama/HYSTER"/>
    <s v="SERV/CALAM/HYSTR"/>
  </r>
  <r>
    <x v="2"/>
    <s v="VC00"/>
    <s v="Rental Gruas"/>
    <x v="9"/>
    <x v="18"/>
    <x v="12"/>
    <x v="11"/>
    <x v="10"/>
    <s v="VCLN72CAHY"/>
    <s v="Rental Gruas/Calama/HYSTER"/>
    <s v="RNTGRUA/CALAM/HYSTR"/>
  </r>
  <r>
    <x v="2"/>
    <s v="VC00"/>
    <s v="Usados, Retoma, y AF"/>
    <x v="9"/>
    <x v="18"/>
    <x v="12"/>
    <x v="11"/>
    <x v="10"/>
    <s v="VCLN05CAHY"/>
    <s v="Usados, Retoma, y AF/Calama/HYSTER"/>
    <s v="USADOS/CALAM/HYSTR"/>
  </r>
  <r>
    <x v="2"/>
    <s v="VC00"/>
    <s v="Venta Repuesto"/>
    <x v="11"/>
    <x v="19"/>
    <x v="12"/>
    <x v="11"/>
    <x v="10"/>
    <s v="VCLN03PMHY"/>
    <s v="Venta Repuesto/Puerto Montt/HYSTER"/>
    <s v="RPTO/PTMONT/HYSTR"/>
  </r>
  <r>
    <x v="2"/>
    <s v="VC00"/>
    <s v="Venta Servicio"/>
    <x v="11"/>
    <x v="19"/>
    <x v="12"/>
    <x v="11"/>
    <x v="10"/>
    <s v="VCLN04PMHY"/>
    <s v="Venta Servicio/Puerto Montt/HYSTER"/>
    <s v="SERV/PTMONT/HYSTR"/>
  </r>
  <r>
    <x v="2"/>
    <s v="VC00"/>
    <s v="Rental Gruas"/>
    <x v="11"/>
    <x v="19"/>
    <x v="12"/>
    <x v="11"/>
    <x v="10"/>
    <s v="VCLN72PMHY"/>
    <s v="Rental Gruas/Puerto Montt/HYSTER"/>
    <s v="RNTGRUA/PTMONT/HYSTR"/>
  </r>
  <r>
    <x v="2"/>
    <s v="VC00"/>
    <s v="Usados, Retoma, y AF"/>
    <x v="11"/>
    <x v="19"/>
    <x v="12"/>
    <x v="11"/>
    <x v="10"/>
    <s v="VCLN05PMHY"/>
    <s v="Usados, Retoma, y AF/Puerto Montt/HYSTER"/>
    <s v="USADOS/PTMONT/HYSTR"/>
  </r>
  <r>
    <x v="2"/>
    <s v="VC00"/>
    <s v="Venta Repuesto"/>
    <x v="14"/>
    <x v="20"/>
    <x v="12"/>
    <x v="11"/>
    <x v="10"/>
    <s v="VCLN03COHY"/>
    <s v="Venta Repuesto/Coquimbo/HYSTER"/>
    <s v="RPTO/COQUIM/HYSTR"/>
  </r>
  <r>
    <x v="2"/>
    <s v="VC00"/>
    <s v="Venta Servicio"/>
    <x v="14"/>
    <x v="20"/>
    <x v="12"/>
    <x v="11"/>
    <x v="10"/>
    <s v="VCLN04COHY"/>
    <s v="Venta Servicio/Coquimbo/HYSTER"/>
    <s v="SERV/COQUIM/HYSTR"/>
  </r>
  <r>
    <x v="2"/>
    <s v="VC00"/>
    <s v="Rental Gruas"/>
    <x v="14"/>
    <x v="20"/>
    <x v="12"/>
    <x v="11"/>
    <x v="10"/>
    <s v="VCLN72COHY"/>
    <s v="Rental Gruas/Coquimbo/HYSTER"/>
    <s v="RNTGRUA/COQUIM/HYSTR"/>
  </r>
  <r>
    <x v="2"/>
    <s v="VC00"/>
    <s v="Usados, Retoma, y AF"/>
    <x v="14"/>
    <x v="20"/>
    <x v="12"/>
    <x v="11"/>
    <x v="10"/>
    <s v="VCLN05COHY"/>
    <s v="Usados, Retoma, y AF/Coquimbo/HYSTER"/>
    <s v="USADOS/COQUIM/HYSTR"/>
  </r>
  <r>
    <x v="2"/>
    <s v="VC00"/>
    <s v="Venta Repuesto"/>
    <x v="15"/>
    <x v="21"/>
    <x v="12"/>
    <x v="11"/>
    <x v="10"/>
    <s v="VCLN03OSHY"/>
    <s v="Venta Repuesto/Osorno/HYSTER"/>
    <s v="RPTO/OSORN/HYSTR"/>
  </r>
  <r>
    <x v="2"/>
    <s v="VC00"/>
    <s v="Venta Servicio"/>
    <x v="15"/>
    <x v="21"/>
    <x v="12"/>
    <x v="11"/>
    <x v="10"/>
    <s v="VCLN04OSHY"/>
    <s v="Venta Servicio/Osorno/HYSTER"/>
    <s v="SERV/OSORN/HYSTR"/>
  </r>
  <r>
    <x v="2"/>
    <s v="VC00"/>
    <s v="Rental Gruas"/>
    <x v="15"/>
    <x v="21"/>
    <x v="12"/>
    <x v="11"/>
    <x v="10"/>
    <s v="VCLN72OSHY"/>
    <s v="Rental Gruas/Osorno/HYSTER"/>
    <s v="RNTGRUA/OSORN/HYSTR"/>
  </r>
  <r>
    <x v="2"/>
    <s v="VC00"/>
    <s v="Usados, Retoma, y AF"/>
    <x v="15"/>
    <x v="21"/>
    <x v="12"/>
    <x v="11"/>
    <x v="10"/>
    <s v="VCLN05OSHY"/>
    <s v="Usados, Retoma, y AF/Osorno/HYSTER"/>
    <s v="USADOS/OSORN/HYSTR"/>
  </r>
  <r>
    <x v="2"/>
    <s v="VC00"/>
    <s v="Venta Repuesto"/>
    <x v="8"/>
    <x v="14"/>
    <x v="13"/>
    <x v="12"/>
    <x v="11"/>
    <s v="VCLN03ANHK"/>
    <s v="Venta Repuesto/Antofagasta/HMK"/>
    <s v="RPTO/ANTOF/HMK"/>
  </r>
  <r>
    <x v="2"/>
    <s v="VC00"/>
    <s v="Venta Servicio"/>
    <x v="8"/>
    <x v="14"/>
    <x v="13"/>
    <x v="12"/>
    <x v="11"/>
    <s v="VCLN04ANHK"/>
    <s v="Venta Servicio/Antofagasta/HMK"/>
    <s v="SERV/ANTOF/HMK"/>
  </r>
  <r>
    <x v="2"/>
    <s v="VC00"/>
    <s v="Rental Construcción"/>
    <x v="8"/>
    <x v="14"/>
    <x v="13"/>
    <x v="12"/>
    <x v="11"/>
    <s v="VCLN71ANHK"/>
    <s v="Rental Construcción/Antofagasta/HMK"/>
    <s v="RNTCONS/ANTOF/HMK"/>
  </r>
  <r>
    <x v="2"/>
    <s v="VC00"/>
    <s v="Usados, Retoma, y AF"/>
    <x v="8"/>
    <x v="14"/>
    <x v="13"/>
    <x v="12"/>
    <x v="11"/>
    <s v="VCLN05ANHK"/>
    <s v="Usados, Retoma, y AF/Antofagasta/HMK"/>
    <s v="USADOS/ANTOF/HMK"/>
  </r>
  <r>
    <x v="2"/>
    <s v="VC00"/>
    <s v="Venta Repuesto"/>
    <x v="6"/>
    <x v="15"/>
    <x v="13"/>
    <x v="12"/>
    <x v="11"/>
    <s v="VCLN03QCHK"/>
    <s v="Venta Repuesto/Quilicura/HMK"/>
    <s v="RPTO/QUILI/HMK"/>
  </r>
  <r>
    <x v="2"/>
    <s v="VC00"/>
    <s v="Venta Servicio"/>
    <x v="6"/>
    <x v="15"/>
    <x v="13"/>
    <x v="12"/>
    <x v="11"/>
    <s v="VCLN04QCHK"/>
    <s v="Venta Servicio/Quilicura/HMK"/>
    <s v="SERV/QUILI/HMK"/>
  </r>
  <r>
    <x v="2"/>
    <s v="VC00"/>
    <s v="Rental Construcción"/>
    <x v="6"/>
    <x v="15"/>
    <x v="13"/>
    <x v="12"/>
    <x v="11"/>
    <s v="VCLN71QCHK"/>
    <s v="Rental Construcción/Quilicura/HMK"/>
    <s v="RNTCONS/QUILI/HMK"/>
  </r>
  <r>
    <x v="2"/>
    <s v="VC00"/>
    <s v="Usados, Retoma, y AF"/>
    <x v="6"/>
    <x v="15"/>
    <x v="13"/>
    <x v="12"/>
    <x v="11"/>
    <s v="VCLN05QCHK"/>
    <s v="Usados, Retoma, y AF/Quilicura/HMK"/>
    <s v="USADOS/QUILI/HMK"/>
  </r>
  <r>
    <x v="2"/>
    <s v="VC00"/>
    <s v="Venta Repuesto"/>
    <x v="10"/>
    <x v="16"/>
    <x v="13"/>
    <x v="12"/>
    <x v="11"/>
    <s v="VCLN03CUHK"/>
    <s v="Venta Repuesto/Curico/HMK"/>
    <s v="RPTO/CURIC/HMK"/>
  </r>
  <r>
    <x v="2"/>
    <s v="VC00"/>
    <s v="Venta Servicio"/>
    <x v="10"/>
    <x v="16"/>
    <x v="13"/>
    <x v="12"/>
    <x v="11"/>
    <s v="VCLN04CUHK"/>
    <s v="Venta Servicio/Curico/HMK"/>
    <s v="SERV/CURIC/HMK"/>
  </r>
  <r>
    <x v="2"/>
    <s v="VC00"/>
    <s v="Rental Construcción"/>
    <x v="10"/>
    <x v="16"/>
    <x v="13"/>
    <x v="12"/>
    <x v="11"/>
    <s v="VCLN71CUHK"/>
    <s v="Rental Construcción/Curico/HMK"/>
    <s v="RNTCONS/CURIC/HMK"/>
  </r>
  <r>
    <x v="2"/>
    <s v="VC00"/>
    <s v="Usados, Retoma, y AF"/>
    <x v="10"/>
    <x v="16"/>
    <x v="13"/>
    <x v="12"/>
    <x v="11"/>
    <s v="VCLN05CUHK"/>
    <s v="Usados, Retoma, y AF/Curico/HMK"/>
    <s v="USADOS/CURIC/HMK"/>
  </r>
  <r>
    <x v="2"/>
    <s v="VC00"/>
    <s v="Venta Repuesto"/>
    <x v="12"/>
    <x v="17"/>
    <x v="13"/>
    <x v="12"/>
    <x v="11"/>
    <s v="VCLN03TAHK"/>
    <s v="Venta Repuesto/Talcahuano/HMK"/>
    <s v="RPTO/TALCHU/HMK"/>
  </r>
  <r>
    <x v="2"/>
    <s v="VC00"/>
    <s v="Venta Servicio"/>
    <x v="12"/>
    <x v="17"/>
    <x v="13"/>
    <x v="12"/>
    <x v="11"/>
    <s v="VCLN04TAHK"/>
    <s v="Venta Servicio/Talcahuano/HMK"/>
    <s v="SERV/TALCHU/HMK"/>
  </r>
  <r>
    <x v="2"/>
    <s v="VC00"/>
    <s v="Rental Construcción"/>
    <x v="12"/>
    <x v="17"/>
    <x v="13"/>
    <x v="12"/>
    <x v="11"/>
    <s v="VCLN71TAHK"/>
    <s v="Rental Construcción/Talcahuano/HMK"/>
    <s v="RNTCONS/TALCHU/HMK"/>
  </r>
  <r>
    <x v="2"/>
    <s v="VC00"/>
    <s v="Usados, Retoma, y AF"/>
    <x v="12"/>
    <x v="17"/>
    <x v="13"/>
    <x v="12"/>
    <x v="11"/>
    <s v="VCLN05TAHK"/>
    <s v="Usados, Retoma, y AF/Talcahuano/HMK"/>
    <s v="USADOS/TALCHU/HMK"/>
  </r>
  <r>
    <x v="2"/>
    <s v="VC00"/>
    <s v="Venta Repuesto"/>
    <x v="9"/>
    <x v="18"/>
    <x v="13"/>
    <x v="12"/>
    <x v="11"/>
    <s v="VCLN03CAHK"/>
    <s v="Venta Repuesto/Calama/HMK"/>
    <s v="RPTO/CALAM/HMK"/>
  </r>
  <r>
    <x v="2"/>
    <s v="VC00"/>
    <s v="Venta Servicio"/>
    <x v="9"/>
    <x v="18"/>
    <x v="13"/>
    <x v="12"/>
    <x v="11"/>
    <s v="VCLN04CAHK"/>
    <s v="Venta Servicio/Calama/HMK"/>
    <s v="SERV/CALAM/HMK"/>
  </r>
  <r>
    <x v="2"/>
    <s v="VC00"/>
    <s v="Rental Construcción"/>
    <x v="9"/>
    <x v="18"/>
    <x v="13"/>
    <x v="12"/>
    <x v="11"/>
    <s v="VCLN71CAHK"/>
    <s v="Rental Construcción/Calama/HMK"/>
    <s v="RNTCONS/CALAM/HMK"/>
  </r>
  <r>
    <x v="2"/>
    <s v="VC00"/>
    <s v="Usados, Retoma, y AF"/>
    <x v="9"/>
    <x v="18"/>
    <x v="13"/>
    <x v="12"/>
    <x v="11"/>
    <s v="VCLN05CAHK"/>
    <s v="Usados, Retoma, y AF/Calama/HMK"/>
    <s v="USADOS/CALAM/HMK"/>
  </r>
  <r>
    <x v="2"/>
    <s v="VC00"/>
    <s v="Venta Repuesto"/>
    <x v="11"/>
    <x v="19"/>
    <x v="13"/>
    <x v="12"/>
    <x v="11"/>
    <s v="VCLN03PMHK"/>
    <s v="Venta Repuesto/Puerto Montt/HMK"/>
    <s v="RPTO/PTMONT/HMK"/>
  </r>
  <r>
    <x v="2"/>
    <s v="VC00"/>
    <s v="Venta Servicio"/>
    <x v="11"/>
    <x v="19"/>
    <x v="13"/>
    <x v="12"/>
    <x v="11"/>
    <s v="VCLN04PMHK"/>
    <s v="Venta Servicio/Puerto Montt/HMK"/>
    <s v="SERV/PTMONT/HMK"/>
  </r>
  <r>
    <x v="2"/>
    <s v="VC00"/>
    <s v="Rental Construcción"/>
    <x v="11"/>
    <x v="19"/>
    <x v="13"/>
    <x v="12"/>
    <x v="11"/>
    <s v="VCLN71PMHK"/>
    <s v="Rental Construcción/Puerto Montt/HMK"/>
    <s v="RNTCONS/PTMONT/HMK"/>
  </r>
  <r>
    <x v="2"/>
    <s v="VC00"/>
    <s v="Usados, Retoma, y AF"/>
    <x v="11"/>
    <x v="19"/>
    <x v="13"/>
    <x v="12"/>
    <x v="11"/>
    <s v="VCLN05PMHK"/>
    <s v="Usados, Retoma, y AF/Puerto Montt/HMK"/>
    <s v="USADOS/PTMONT/HMK"/>
  </r>
  <r>
    <x v="2"/>
    <s v="VC00"/>
    <s v="Venta Repuesto"/>
    <x v="14"/>
    <x v="20"/>
    <x v="13"/>
    <x v="12"/>
    <x v="11"/>
    <s v="VCLN03COHK"/>
    <s v="Venta Repuesto/Coquimbo/HMK"/>
    <s v="RPTO/COQUIM/HMK"/>
  </r>
  <r>
    <x v="2"/>
    <s v="VC00"/>
    <s v="Venta Servicio"/>
    <x v="14"/>
    <x v="20"/>
    <x v="13"/>
    <x v="12"/>
    <x v="11"/>
    <s v="VCLN04COHK"/>
    <s v="Venta Servicio/Coquimbo/HMK"/>
    <s v="SERV/COQUIM/HMK"/>
  </r>
  <r>
    <x v="2"/>
    <s v="VC00"/>
    <s v="Rental Construcción"/>
    <x v="14"/>
    <x v="20"/>
    <x v="13"/>
    <x v="12"/>
    <x v="11"/>
    <s v="VCLN71COHK"/>
    <s v="Rental Construcción/Coquimbo/HMK"/>
    <s v="RNTCONS/COQUIM/HMK"/>
  </r>
  <r>
    <x v="2"/>
    <s v="VC00"/>
    <s v="Usados, Retoma, y AF"/>
    <x v="14"/>
    <x v="20"/>
    <x v="13"/>
    <x v="12"/>
    <x v="11"/>
    <s v="VCLN05COHK"/>
    <s v="Usados, Retoma, y AF/Coquimbo/HMK"/>
    <s v="USADOS/COQUIM/HMK"/>
  </r>
  <r>
    <x v="2"/>
    <s v="VC00"/>
    <s v="Venta Repuesto"/>
    <x v="15"/>
    <x v="21"/>
    <x v="13"/>
    <x v="12"/>
    <x v="11"/>
    <s v="VCLN03OSHK"/>
    <s v="Venta Repuesto/Osorno/HMK"/>
    <s v="RPTO/OSORN/HMK"/>
  </r>
  <r>
    <x v="2"/>
    <s v="VC00"/>
    <s v="Venta Servicio"/>
    <x v="15"/>
    <x v="21"/>
    <x v="13"/>
    <x v="12"/>
    <x v="11"/>
    <s v="VCLN04OSHK"/>
    <s v="Venta Servicio/Osorno/HMK"/>
    <s v="SERV/OSORN/HMK"/>
  </r>
  <r>
    <x v="2"/>
    <s v="VC00"/>
    <s v="Rental Construcción"/>
    <x v="15"/>
    <x v="21"/>
    <x v="13"/>
    <x v="12"/>
    <x v="11"/>
    <s v="VCLN71OSHK"/>
    <s v="Rental Construcción/Osorno/HMK"/>
    <s v="RNTCONS/OSORN/HMK"/>
  </r>
  <r>
    <x v="2"/>
    <s v="VC00"/>
    <s v="Usados, Retoma, y AF"/>
    <x v="15"/>
    <x v="21"/>
    <x v="13"/>
    <x v="12"/>
    <x v="11"/>
    <s v="VCLN05OSHK"/>
    <s v="Usados, Retoma, y AF/Osorno/HMK"/>
    <s v="USADOS/OSORN/HMK"/>
  </r>
  <r>
    <x v="2"/>
    <s v="VC00"/>
    <s v="Venta Repuesto"/>
    <x v="8"/>
    <x v="14"/>
    <x v="14"/>
    <x v="13"/>
    <x v="12"/>
    <s v="VCLN03ANTB"/>
    <s v="Venta Repuesto/Antofagasta/TERBERG"/>
    <s v="RPTO/ANTOF/TERBG"/>
  </r>
  <r>
    <x v="2"/>
    <s v="VC00"/>
    <s v="Venta Servicio"/>
    <x v="8"/>
    <x v="14"/>
    <x v="14"/>
    <x v="13"/>
    <x v="12"/>
    <s v="VCLN04ANTB"/>
    <s v="Venta Servicio/Antofagasta/TERBERG"/>
    <s v="SERV/ANTOF/TERBG"/>
  </r>
  <r>
    <x v="2"/>
    <s v="VC00"/>
    <s v="Rental Gruas"/>
    <x v="8"/>
    <x v="14"/>
    <x v="14"/>
    <x v="13"/>
    <x v="12"/>
    <s v="VCLN72ANTB"/>
    <s v="Rental Gruas/Antofagasta/TERBERG"/>
    <s v="RNTGRUA/ANTOF/TERBG"/>
  </r>
  <r>
    <x v="2"/>
    <s v="VC00"/>
    <s v="Usados, Retoma, y AF"/>
    <x v="8"/>
    <x v="14"/>
    <x v="14"/>
    <x v="13"/>
    <x v="12"/>
    <s v="VCLN05ANTB"/>
    <s v="Usados, Retoma, y AF/Antofagasta/TERBERG"/>
    <s v="USADOS/ANTOF/TERBG"/>
  </r>
  <r>
    <x v="2"/>
    <s v="VC00"/>
    <s v="Venta Repuesto"/>
    <x v="6"/>
    <x v="15"/>
    <x v="14"/>
    <x v="13"/>
    <x v="12"/>
    <s v="VCLN03QCTB"/>
    <s v="Venta Repuesto/Quilicura/TERBERG"/>
    <s v="RPTO/QUILI/TERBG"/>
  </r>
  <r>
    <x v="2"/>
    <s v="VC00"/>
    <s v="Venta Servicio"/>
    <x v="6"/>
    <x v="15"/>
    <x v="14"/>
    <x v="13"/>
    <x v="12"/>
    <s v="VCLN04QCTB"/>
    <s v="Venta Servicio/Quilicura/TERBERG"/>
    <s v="SERV/QUILI/TERBG"/>
  </r>
  <r>
    <x v="2"/>
    <s v="VC00"/>
    <s v="Rental Gruas"/>
    <x v="6"/>
    <x v="15"/>
    <x v="14"/>
    <x v="13"/>
    <x v="12"/>
    <s v="VCLN72QCTB"/>
    <s v="Rental Gruas/Quilicura/TERBERG"/>
    <s v="RNTGRUA/QUILI/TERBG"/>
  </r>
  <r>
    <x v="2"/>
    <s v="VC00"/>
    <s v="Usados, Retoma, y AF"/>
    <x v="6"/>
    <x v="15"/>
    <x v="14"/>
    <x v="13"/>
    <x v="12"/>
    <s v="VCLN05QCTB"/>
    <s v="Usados, Retoma, y AF/Quilicura/TERBERG"/>
    <s v="USADOS/QUILI/TERBG"/>
  </r>
  <r>
    <x v="2"/>
    <s v="VC00"/>
    <s v="Venta Repuesto"/>
    <x v="10"/>
    <x v="16"/>
    <x v="14"/>
    <x v="13"/>
    <x v="12"/>
    <s v="VCLN03CUTB"/>
    <s v="Venta Repuesto/Curico/TERBERG"/>
    <s v="RPTO/CURIC/TERBG"/>
  </r>
  <r>
    <x v="2"/>
    <s v="VC00"/>
    <s v="Venta Servicio"/>
    <x v="10"/>
    <x v="16"/>
    <x v="14"/>
    <x v="13"/>
    <x v="12"/>
    <s v="VCLN04CUTB"/>
    <s v="Venta Servicio/Curico/TERBERG"/>
    <s v="SERV/CURIC/TERBG"/>
  </r>
  <r>
    <x v="2"/>
    <s v="VC00"/>
    <s v="Rental Gruas"/>
    <x v="10"/>
    <x v="16"/>
    <x v="14"/>
    <x v="13"/>
    <x v="12"/>
    <s v="VCLN72CUTB"/>
    <s v="Rental Gruas/Curico/TERBERG"/>
    <s v="RNTGRUA/CURIC/TERBG"/>
  </r>
  <r>
    <x v="2"/>
    <s v="VC00"/>
    <s v="Usados, Retoma, y AF"/>
    <x v="10"/>
    <x v="16"/>
    <x v="14"/>
    <x v="13"/>
    <x v="12"/>
    <s v="VCLN05CUTB"/>
    <s v="Usados, Retoma, y AF/Curico/TERBERG"/>
    <s v="USADOS/CURIC/TERBG"/>
  </r>
  <r>
    <x v="2"/>
    <s v="VC00"/>
    <s v="Venta Repuesto"/>
    <x v="12"/>
    <x v="17"/>
    <x v="14"/>
    <x v="13"/>
    <x v="12"/>
    <s v="VCLN03TATB"/>
    <s v="Venta Repuesto/Talcahuano/TERBERG"/>
    <s v="RPTO/TALCHU/TERBG"/>
  </r>
  <r>
    <x v="2"/>
    <s v="VC00"/>
    <s v="Venta Servicio"/>
    <x v="12"/>
    <x v="17"/>
    <x v="14"/>
    <x v="13"/>
    <x v="12"/>
    <s v="VCLN04TATB"/>
    <s v="Venta Servicio/Talcahuano/TERBERG"/>
    <s v="SERV/TALCHU/TERBG"/>
  </r>
  <r>
    <x v="2"/>
    <s v="VC00"/>
    <s v="Rental Gruas"/>
    <x v="12"/>
    <x v="17"/>
    <x v="14"/>
    <x v="13"/>
    <x v="12"/>
    <s v="VCLN72TATB"/>
    <s v="Rental Gruas/Talcahuano/TERBERG"/>
    <s v="RNTGRUA/TALCHU/TERBG"/>
  </r>
  <r>
    <x v="2"/>
    <s v="VC00"/>
    <s v="Usados, Retoma, y AF"/>
    <x v="12"/>
    <x v="17"/>
    <x v="14"/>
    <x v="13"/>
    <x v="12"/>
    <s v="VCLN05TATB"/>
    <s v="Usados, Retoma, y AF/Talcahuano/TERBERG"/>
    <s v="USADOS/TALCHU/TERBG"/>
  </r>
  <r>
    <x v="2"/>
    <s v="VC00"/>
    <s v="Venta Repuesto"/>
    <x v="9"/>
    <x v="18"/>
    <x v="14"/>
    <x v="13"/>
    <x v="12"/>
    <s v="VCLN03CATB"/>
    <s v="Venta Repuesto/Calama/TERBERG"/>
    <s v="RPTO/CALAM/TERBG"/>
  </r>
  <r>
    <x v="2"/>
    <s v="VC00"/>
    <s v="Venta Servicio"/>
    <x v="9"/>
    <x v="18"/>
    <x v="14"/>
    <x v="13"/>
    <x v="12"/>
    <s v="VCLN04CATB"/>
    <s v="Venta Servicio/Calama/TERBERG"/>
    <s v="SERV/CALAM/TERBG"/>
  </r>
  <r>
    <x v="2"/>
    <s v="VC00"/>
    <s v="Rental Gruas"/>
    <x v="9"/>
    <x v="18"/>
    <x v="14"/>
    <x v="13"/>
    <x v="12"/>
    <s v="VCLN72CATB"/>
    <s v="Rental Gruas/Calama/TERBERG"/>
    <s v="RNTGRUA/CALAM/TERBG"/>
  </r>
  <r>
    <x v="2"/>
    <s v="VC00"/>
    <s v="Usados, Retoma, y AF"/>
    <x v="9"/>
    <x v="18"/>
    <x v="14"/>
    <x v="13"/>
    <x v="12"/>
    <s v="VCLN05CATB"/>
    <s v="Usados, Retoma, y AF/Calama/TERBERG"/>
    <s v="USADOS/CALAM/TERBG"/>
  </r>
  <r>
    <x v="2"/>
    <s v="VC00"/>
    <s v="Venta Repuesto"/>
    <x v="11"/>
    <x v="19"/>
    <x v="14"/>
    <x v="13"/>
    <x v="12"/>
    <s v="VCLN03PMTB"/>
    <s v="Venta Repuesto/Puerto Montt/TERBERG"/>
    <s v="RPTO/PTMONT/TERBG"/>
  </r>
  <r>
    <x v="2"/>
    <s v="VC00"/>
    <s v="Venta Servicio"/>
    <x v="11"/>
    <x v="19"/>
    <x v="14"/>
    <x v="13"/>
    <x v="12"/>
    <s v="VCLN04PMTB"/>
    <s v="Venta Servicio/Puerto Montt/TERBERG"/>
    <s v="SERV/PTMONT/TERBG"/>
  </r>
  <r>
    <x v="2"/>
    <s v="VC00"/>
    <s v="Rental Gruas"/>
    <x v="11"/>
    <x v="19"/>
    <x v="14"/>
    <x v="13"/>
    <x v="12"/>
    <s v="VCLN72PMTB"/>
    <s v="Rental Gruas/Puerto Montt/TERBERG"/>
    <s v="RNTGRUA/PTMONT/TERBG"/>
  </r>
  <r>
    <x v="2"/>
    <s v="VC00"/>
    <s v="Usados, Retoma, y AF"/>
    <x v="11"/>
    <x v="19"/>
    <x v="14"/>
    <x v="13"/>
    <x v="12"/>
    <s v="VCLN05PMTB"/>
    <s v="Usados, Retoma, y AF/Pto Montt/TERBERG"/>
    <s v="USADOS/PTMONT/TERBG"/>
  </r>
  <r>
    <x v="2"/>
    <s v="VC00"/>
    <s v="Venta Repuesto"/>
    <x v="14"/>
    <x v="20"/>
    <x v="14"/>
    <x v="13"/>
    <x v="12"/>
    <s v="VCLN03COTB"/>
    <s v="Venta Repuesto/Coquimbo/TERBERG"/>
    <s v="RPTO/COQUIM/TERBG"/>
  </r>
  <r>
    <x v="2"/>
    <s v="VC00"/>
    <s v="Venta Servicio"/>
    <x v="14"/>
    <x v="20"/>
    <x v="14"/>
    <x v="13"/>
    <x v="12"/>
    <s v="VCLN04COTB"/>
    <s v="Venta Servicio/Coquimbo/TERBERG"/>
    <s v="SERV/COQUIM/TERBG"/>
  </r>
  <r>
    <x v="2"/>
    <s v="VC00"/>
    <s v="Rental Gruas"/>
    <x v="14"/>
    <x v="20"/>
    <x v="14"/>
    <x v="13"/>
    <x v="12"/>
    <s v="VCLN72COTB"/>
    <s v="Rental Gruas/Coquimbo/TERBERG"/>
    <s v="RNTGRUA/COQUIM/TERBG"/>
  </r>
  <r>
    <x v="2"/>
    <s v="VC00"/>
    <s v="Usados, Retoma, y AF"/>
    <x v="14"/>
    <x v="20"/>
    <x v="14"/>
    <x v="13"/>
    <x v="12"/>
    <s v="VCLN05COTB"/>
    <s v="Usados, Retoma, y AF/Coquimbo/TERBERG"/>
    <s v="USADOS/COQUIM/TERBG"/>
  </r>
  <r>
    <x v="2"/>
    <s v="VC00"/>
    <s v="Venta Repuesto"/>
    <x v="15"/>
    <x v="21"/>
    <x v="14"/>
    <x v="13"/>
    <x v="12"/>
    <s v="VCLN03OSTB"/>
    <s v="Venta Repuesto/Osorno/TERBERG"/>
    <s v="RPTO/OSORN/TERBG"/>
  </r>
  <r>
    <x v="2"/>
    <s v="VC00"/>
    <s v="Venta Servicio"/>
    <x v="15"/>
    <x v="21"/>
    <x v="14"/>
    <x v="13"/>
    <x v="12"/>
    <s v="VCLN04OSTB"/>
    <s v="Venta Servicio/Osorno/TERBERG"/>
    <s v="SERV/OSORN/TERBG"/>
  </r>
  <r>
    <x v="2"/>
    <s v="VC00"/>
    <s v="Rental Gruas"/>
    <x v="15"/>
    <x v="21"/>
    <x v="14"/>
    <x v="13"/>
    <x v="12"/>
    <s v="VCLN72OSTB"/>
    <s v="Rental Gruas/Osorno/TERBERG"/>
    <s v="RNTGRUA/OSORN/TERBG"/>
  </r>
  <r>
    <x v="2"/>
    <s v="VC00"/>
    <s v="Usados, Retoma, y AF"/>
    <x v="15"/>
    <x v="21"/>
    <x v="14"/>
    <x v="13"/>
    <x v="12"/>
    <s v="VCLN05OSTB"/>
    <s v="Usados, Retoma, y AF/Osorno/TERBERG"/>
    <s v="USADOS/OSORN/TERBG"/>
  </r>
  <r>
    <x v="2"/>
    <s v="VC00"/>
    <s v="Venta Repuesto"/>
    <x v="8"/>
    <x v="14"/>
    <x v="15"/>
    <x v="14"/>
    <x v="13"/>
    <s v="VCLN03ANMA"/>
    <s v="Venta Repuesto/Antofagasta/MAXIMAL"/>
    <s v="RPTO/ANTOF/MAXML"/>
  </r>
  <r>
    <x v="2"/>
    <s v="VC00"/>
    <s v="Venta Servicio"/>
    <x v="8"/>
    <x v="14"/>
    <x v="15"/>
    <x v="14"/>
    <x v="13"/>
    <s v="VCLN04ANMA"/>
    <s v="Venta Servicio/Antofagasta/MAXIMAL"/>
    <s v="SERV/ANTOF/MAXML"/>
  </r>
  <r>
    <x v="2"/>
    <s v="VC00"/>
    <s v="Rental Gruas"/>
    <x v="8"/>
    <x v="14"/>
    <x v="15"/>
    <x v="14"/>
    <x v="13"/>
    <s v="VCLN72ANMA"/>
    <s v="Rental Gruas/Antofagasta/MAXIMAL"/>
    <s v="RNTGRUA/ANTOF/MAXML"/>
  </r>
  <r>
    <x v="2"/>
    <s v="VC00"/>
    <s v="Usados, Retoma, y AF"/>
    <x v="8"/>
    <x v="14"/>
    <x v="15"/>
    <x v="14"/>
    <x v="13"/>
    <s v="VCLN05ANMA"/>
    <s v="Usados, Retoma, y AF/Antofagasta/MAXIMAL"/>
    <s v="USADOS/ANTOF/MAXML"/>
  </r>
  <r>
    <x v="2"/>
    <s v="VC00"/>
    <s v="Venta Repuesto"/>
    <x v="6"/>
    <x v="15"/>
    <x v="15"/>
    <x v="14"/>
    <x v="13"/>
    <s v="VCLN03QCMA"/>
    <s v="Venta Repuesto/Quilicura/MAXIMAL"/>
    <s v="RPTO/QUILI/MAXML"/>
  </r>
  <r>
    <x v="2"/>
    <s v="VC00"/>
    <s v="Venta Servicio"/>
    <x v="6"/>
    <x v="15"/>
    <x v="15"/>
    <x v="14"/>
    <x v="13"/>
    <s v="VCLN04QCMA"/>
    <s v="Venta Servicio/Quilicura/MAXIMAL"/>
    <s v="SERV/QUILI/MAXML"/>
  </r>
  <r>
    <x v="2"/>
    <s v="VC00"/>
    <s v="Rental Gruas"/>
    <x v="6"/>
    <x v="15"/>
    <x v="15"/>
    <x v="14"/>
    <x v="13"/>
    <s v="VCLN72QCMA"/>
    <s v="Rental Gruas/Quilicura/MAXIMAL"/>
    <s v="RNTGRUA/QUILI/MAXML"/>
  </r>
  <r>
    <x v="2"/>
    <s v="VC00"/>
    <s v="Usados, Retoma, y AF"/>
    <x v="6"/>
    <x v="15"/>
    <x v="15"/>
    <x v="14"/>
    <x v="13"/>
    <s v="VCLN05QCMA"/>
    <s v="Usados, Retoma, y AF/Quilicura/MAXIMAL"/>
    <s v="USADOS/QUILI/MAXML"/>
  </r>
  <r>
    <x v="2"/>
    <s v="VC00"/>
    <s v="Venta Repuesto"/>
    <x v="10"/>
    <x v="16"/>
    <x v="15"/>
    <x v="14"/>
    <x v="13"/>
    <s v="VCLN03CUMA"/>
    <s v="Venta Repuesto/Curico/MAXIMAL"/>
    <s v="RPTO/CURIC/MAXML"/>
  </r>
  <r>
    <x v="2"/>
    <s v="VC00"/>
    <s v="Venta Servicio"/>
    <x v="10"/>
    <x v="16"/>
    <x v="15"/>
    <x v="14"/>
    <x v="13"/>
    <s v="VCLN04CUMA"/>
    <s v="Venta Servicio/Curico/MAXIMAL"/>
    <s v="SERV/CURIC/MAXML"/>
  </r>
  <r>
    <x v="2"/>
    <s v="VC00"/>
    <s v="Rental Gruas"/>
    <x v="10"/>
    <x v="16"/>
    <x v="15"/>
    <x v="14"/>
    <x v="13"/>
    <s v="VCLN72CUMA"/>
    <s v="Rental Gruas/Curico/MAXIMAL"/>
    <s v="RNTGRUA/CURIC/MAXML"/>
  </r>
  <r>
    <x v="2"/>
    <s v="VC00"/>
    <s v="Usados, Retoma, y AF"/>
    <x v="10"/>
    <x v="16"/>
    <x v="15"/>
    <x v="14"/>
    <x v="13"/>
    <s v="VCLN05CUMA"/>
    <s v="Usados, Retoma, y AF/Curico/MAXIMAL"/>
    <s v="USADOS/CURIC/MAXML"/>
  </r>
  <r>
    <x v="2"/>
    <s v="VC00"/>
    <s v="Venta Repuesto"/>
    <x v="12"/>
    <x v="17"/>
    <x v="15"/>
    <x v="14"/>
    <x v="13"/>
    <s v="VCLN03TAMA"/>
    <s v="Venta Repuesto/Talcahuano/MAXIMAL"/>
    <s v="RPTO/TALCHU/MAXML"/>
  </r>
  <r>
    <x v="2"/>
    <s v="VC00"/>
    <s v="Venta Servicio"/>
    <x v="12"/>
    <x v="17"/>
    <x v="15"/>
    <x v="14"/>
    <x v="13"/>
    <s v="VCLN04TAMA"/>
    <s v="Venta Servicio/Talcahuano/MAXIMAL"/>
    <s v="SERV/TALCHU/MAXML"/>
  </r>
  <r>
    <x v="2"/>
    <s v="VC00"/>
    <s v="Rental Gruas"/>
    <x v="12"/>
    <x v="17"/>
    <x v="15"/>
    <x v="14"/>
    <x v="13"/>
    <s v="VCLN72TAMA"/>
    <s v="Rental Gruas/Talcahuano/MAXIMAL"/>
    <s v="RNTGRUA/TALCHU/MAXML"/>
  </r>
  <r>
    <x v="2"/>
    <s v="VC00"/>
    <s v="Usados, Retoma, y AF"/>
    <x v="12"/>
    <x v="17"/>
    <x v="15"/>
    <x v="14"/>
    <x v="13"/>
    <s v="VCLN05TAMA"/>
    <s v="Usados, Retoma, y AF/Talcahuano/MAXIMAL"/>
    <s v="USADOS/TALCHU/MAXML"/>
  </r>
  <r>
    <x v="2"/>
    <s v="VC00"/>
    <s v="Venta Repuesto"/>
    <x v="9"/>
    <x v="18"/>
    <x v="15"/>
    <x v="14"/>
    <x v="13"/>
    <s v="VCLN03CAMA"/>
    <s v="Venta Repuesto/Calama/MAXIMAL"/>
    <s v="RPTO/CALAM/MAXML"/>
  </r>
  <r>
    <x v="2"/>
    <s v="VC00"/>
    <s v="Venta Servicio"/>
    <x v="9"/>
    <x v="18"/>
    <x v="15"/>
    <x v="14"/>
    <x v="13"/>
    <s v="VCLN04CAMA"/>
    <s v="Venta Servicio/Calama/MAXIMAL"/>
    <s v="SERV/CALAM/MAXML"/>
  </r>
  <r>
    <x v="2"/>
    <s v="VC00"/>
    <s v="Rental Gruas"/>
    <x v="9"/>
    <x v="18"/>
    <x v="15"/>
    <x v="14"/>
    <x v="13"/>
    <s v="VCLN72CAMA"/>
    <s v="Rental Gruas/Calama/MAXIMAL"/>
    <s v="RNTGRUA/CALAM/MAXML"/>
  </r>
  <r>
    <x v="2"/>
    <s v="VC00"/>
    <s v="Usados, Retoma, y AF"/>
    <x v="9"/>
    <x v="18"/>
    <x v="15"/>
    <x v="14"/>
    <x v="13"/>
    <s v="VCLN05CAMA"/>
    <s v="Usados, Retoma, y AF/Calama/MAXIMAL"/>
    <s v="USADOS/CALAM/MAXML"/>
  </r>
  <r>
    <x v="2"/>
    <s v="VC00"/>
    <s v="Venta Repuesto"/>
    <x v="11"/>
    <x v="19"/>
    <x v="15"/>
    <x v="14"/>
    <x v="13"/>
    <s v="VCLN03PMMA"/>
    <s v="Venta Repuesto/Puerto Montt/MAXIMAL"/>
    <s v="RPTO/PTMONT/MAXML"/>
  </r>
  <r>
    <x v="2"/>
    <s v="VC00"/>
    <s v="Venta Servicio"/>
    <x v="11"/>
    <x v="19"/>
    <x v="15"/>
    <x v="14"/>
    <x v="13"/>
    <s v="VCLN04PMMA"/>
    <s v="Venta Servicio/Puerto Montt/MAXIMAL"/>
    <s v="SERV/PTMONT/MAXML"/>
  </r>
  <r>
    <x v="2"/>
    <s v="VC00"/>
    <s v="Rental Gruas"/>
    <x v="11"/>
    <x v="19"/>
    <x v="15"/>
    <x v="14"/>
    <x v="13"/>
    <s v="VCLN72PMMA"/>
    <s v="Rental Gruas/Puerto Montt/MAXIMAL"/>
    <s v="RNTGRUA/PTMONT/MAXML"/>
  </r>
  <r>
    <x v="2"/>
    <s v="VC00"/>
    <s v="Usados, Retoma, y AF"/>
    <x v="11"/>
    <x v="19"/>
    <x v="15"/>
    <x v="14"/>
    <x v="13"/>
    <s v="VCLN05PMMA"/>
    <s v="Usados, Retoma, y AF/Pto Montt/MAXIMAL"/>
    <s v="USADOS/PTMONT/MAXML"/>
  </r>
  <r>
    <x v="2"/>
    <s v="VC00"/>
    <s v="Venta Repuesto"/>
    <x v="14"/>
    <x v="20"/>
    <x v="15"/>
    <x v="14"/>
    <x v="13"/>
    <s v="VCLN03COMA"/>
    <s v="Venta Repuesto/Coquimbo/MAXIMAL"/>
    <s v="RPTO/COQUIM/MAXML"/>
  </r>
  <r>
    <x v="2"/>
    <s v="VC00"/>
    <s v="Venta Servicio"/>
    <x v="14"/>
    <x v="20"/>
    <x v="15"/>
    <x v="14"/>
    <x v="13"/>
    <s v="VCLN04COMA"/>
    <s v="Venta Servicio/Coquimbo/MAXIMAL"/>
    <s v="SERV/COQUIM/MAXML"/>
  </r>
  <r>
    <x v="2"/>
    <s v="VC00"/>
    <s v="Rental Gruas"/>
    <x v="14"/>
    <x v="20"/>
    <x v="15"/>
    <x v="14"/>
    <x v="13"/>
    <s v="VCLN72COMA"/>
    <s v="Rental Gruas/Coquimbo/MAXIMAL"/>
    <s v="RNTGRUA/COQUIM/MAXML"/>
  </r>
  <r>
    <x v="2"/>
    <s v="VC00"/>
    <s v="Usados, Retoma, y AF"/>
    <x v="14"/>
    <x v="20"/>
    <x v="15"/>
    <x v="14"/>
    <x v="13"/>
    <s v="VCLN05COMA"/>
    <s v="Usados, Retoma, y AF/Coquimbo/MAXIMAL"/>
    <s v="USADOS/COQUIM/MAXML"/>
  </r>
  <r>
    <x v="2"/>
    <s v="VC00"/>
    <s v="Venta Repuesto"/>
    <x v="15"/>
    <x v="21"/>
    <x v="15"/>
    <x v="14"/>
    <x v="13"/>
    <s v="VCLN03OSMA"/>
    <s v="Venta Repuesto/Osorno/MAXIMAL"/>
    <s v="RPTO/OSORN/MAXML"/>
  </r>
  <r>
    <x v="2"/>
    <s v="VC00"/>
    <s v="Venta Servicio"/>
    <x v="15"/>
    <x v="21"/>
    <x v="15"/>
    <x v="14"/>
    <x v="13"/>
    <s v="VCLN04OSMA"/>
    <s v="Venta Servicio/Osorno/MAXIMAL"/>
    <s v="SERV/OSORN/MAXML"/>
  </r>
  <r>
    <x v="2"/>
    <s v="VC00"/>
    <s v="Rental Gruas"/>
    <x v="15"/>
    <x v="21"/>
    <x v="15"/>
    <x v="14"/>
    <x v="13"/>
    <s v="VCLN72OSMA"/>
    <s v="Rental Gruas/Osorno/MAXIMAL"/>
    <s v="RNTGRUA/OSORN/MAXML"/>
  </r>
  <r>
    <x v="2"/>
    <s v="VC00"/>
    <s v="Usados, Retoma, y AF"/>
    <x v="15"/>
    <x v="21"/>
    <x v="15"/>
    <x v="14"/>
    <x v="13"/>
    <s v="VCLN05OSMA"/>
    <s v="Usados, Retoma, y AF/Osorno/MAXIMAL"/>
    <s v="USADOS/OSORN/MAXML"/>
  </r>
  <r>
    <x v="2"/>
    <s v="VC00"/>
    <s v="Venta Repuesto"/>
    <x v="8"/>
    <x v="14"/>
    <x v="16"/>
    <x v="15"/>
    <x v="14"/>
    <s v="VCLN03ANLG"/>
    <s v="Venta Repuesto/Antofagasta/LIUGONG"/>
    <s v="RPTO/ANTOF/LIUGN"/>
  </r>
  <r>
    <x v="2"/>
    <s v="VC00"/>
    <s v="Venta Servicio"/>
    <x v="8"/>
    <x v="14"/>
    <x v="16"/>
    <x v="15"/>
    <x v="14"/>
    <s v="VCLN04ANLG"/>
    <s v="Venta Servicio/Antofagasta/LIUGONG"/>
    <s v="SERV/ANTOF/LIUGN"/>
  </r>
  <r>
    <x v="2"/>
    <s v="VC00"/>
    <s v="Rental Construcción"/>
    <x v="8"/>
    <x v="14"/>
    <x v="16"/>
    <x v="15"/>
    <x v="14"/>
    <s v="VCLN71ANLG"/>
    <s v="Rental Construcción/Antofagasta/LIUGONG"/>
    <s v="RNTCONS/ANTOF/LIUGN"/>
  </r>
  <r>
    <x v="2"/>
    <s v="VC00"/>
    <s v="Usados, Retoma, y AF"/>
    <x v="8"/>
    <x v="14"/>
    <x v="16"/>
    <x v="15"/>
    <x v="14"/>
    <s v="VCLN05ANLG"/>
    <s v="Usados, Retoma, y AF/Antofagasta/LIUGONG"/>
    <s v="USADOS/ANTOF/LIUGN"/>
  </r>
  <r>
    <x v="2"/>
    <s v="VC00"/>
    <s v="Venta Repuesto"/>
    <x v="6"/>
    <x v="15"/>
    <x v="16"/>
    <x v="15"/>
    <x v="14"/>
    <s v="VCLN03QCLG"/>
    <s v="Venta Repuesto/Quilicura/LIUGONG"/>
    <s v="RPTO/QUILI/LIUGN"/>
  </r>
  <r>
    <x v="2"/>
    <s v="VC00"/>
    <s v="Venta Servicio"/>
    <x v="6"/>
    <x v="15"/>
    <x v="16"/>
    <x v="15"/>
    <x v="14"/>
    <s v="VCLN04QCLG"/>
    <s v="Venta Servicio/Quilicura/LIUGONG"/>
    <s v="SERV/QUILI/LIUGN"/>
  </r>
  <r>
    <x v="2"/>
    <s v="VC00"/>
    <s v="Rental Construcción"/>
    <x v="6"/>
    <x v="15"/>
    <x v="16"/>
    <x v="15"/>
    <x v="14"/>
    <s v="VCLN71QCLG"/>
    <s v="Rental Construcción/Quilicura/LIUGONG"/>
    <s v="RNTCONS/QUILI/LIUGN"/>
  </r>
  <r>
    <x v="2"/>
    <s v="VC00"/>
    <s v="Usados, Retoma, y AF"/>
    <x v="6"/>
    <x v="15"/>
    <x v="16"/>
    <x v="15"/>
    <x v="14"/>
    <s v="VCLN05QCLG"/>
    <s v="Usados, Retoma, y AF/Quilicura/LIUGONG"/>
    <s v="USADOS/QUILI/LIUGN"/>
  </r>
  <r>
    <x v="2"/>
    <s v="VC00"/>
    <s v="Venta Repuesto"/>
    <x v="10"/>
    <x v="16"/>
    <x v="16"/>
    <x v="15"/>
    <x v="14"/>
    <s v="VCLN03CULG"/>
    <s v="Venta Repuesto/Curico/LIUGONG"/>
    <s v="RPTO/CURIC/LIUGN"/>
  </r>
  <r>
    <x v="2"/>
    <s v="VC00"/>
    <s v="Venta Servicio"/>
    <x v="10"/>
    <x v="16"/>
    <x v="16"/>
    <x v="15"/>
    <x v="14"/>
    <s v="VCLN04CULG"/>
    <s v="Venta Servicio/Curico/LIUGONG"/>
    <s v="SERV/CURIC/LIUGN"/>
  </r>
  <r>
    <x v="2"/>
    <s v="VC00"/>
    <s v="Rental Construcción"/>
    <x v="10"/>
    <x v="16"/>
    <x v="16"/>
    <x v="15"/>
    <x v="14"/>
    <s v="VCLN71CULG"/>
    <s v="Rental Construcción/Curico/LIUGONG"/>
    <s v="RNTCONS/CURIC/LIUGN"/>
  </r>
  <r>
    <x v="2"/>
    <s v="VC00"/>
    <s v="Usados, Retoma, y AF"/>
    <x v="10"/>
    <x v="16"/>
    <x v="16"/>
    <x v="15"/>
    <x v="14"/>
    <s v="VCLN05CULG"/>
    <s v="Usados, Retoma, y AF/Curico/LIUGONG"/>
    <s v="USADOS/CURIC/LIUGN"/>
  </r>
  <r>
    <x v="2"/>
    <s v="VC00"/>
    <s v="Venta Repuesto"/>
    <x v="12"/>
    <x v="17"/>
    <x v="16"/>
    <x v="15"/>
    <x v="14"/>
    <s v="VCLN03TALG"/>
    <s v="Venta Repuesto/Talcahuano/LIUGONG"/>
    <s v="RPTO/TALCHU/LIUGN"/>
  </r>
  <r>
    <x v="2"/>
    <s v="VC00"/>
    <s v="Venta Servicio"/>
    <x v="12"/>
    <x v="17"/>
    <x v="16"/>
    <x v="15"/>
    <x v="14"/>
    <s v="VCLN04TALG"/>
    <s v="Venta Servicio/Talcahuano/LIUGONG"/>
    <s v="SERV/TALCHU/LIUGN"/>
  </r>
  <r>
    <x v="2"/>
    <s v="VC00"/>
    <s v="Rental Construcción"/>
    <x v="12"/>
    <x v="17"/>
    <x v="16"/>
    <x v="15"/>
    <x v="14"/>
    <s v="VCLN71TALG"/>
    <s v="Rental Construcción/Talcahuano/LIUGONG"/>
    <s v="RNTCONS/TALCHU/LIUGN"/>
  </r>
  <r>
    <x v="2"/>
    <s v="VC00"/>
    <s v="Usados, Retoma, y AF"/>
    <x v="12"/>
    <x v="17"/>
    <x v="16"/>
    <x v="15"/>
    <x v="14"/>
    <s v="VCLN05TALG"/>
    <s v="Usados, Retoma, y AF/Talcahuano/LIUGONG"/>
    <s v="USADOS/TALCHU/LIUGN"/>
  </r>
  <r>
    <x v="2"/>
    <s v="VC00"/>
    <s v="Venta Repuesto"/>
    <x v="9"/>
    <x v="18"/>
    <x v="16"/>
    <x v="15"/>
    <x v="14"/>
    <s v="VCLN03CALG"/>
    <s v="Venta Repuesto/Calama/LIUGONG"/>
    <s v="RPTO/CALAM/LIUGN"/>
  </r>
  <r>
    <x v="2"/>
    <s v="VC00"/>
    <s v="Venta Servicio"/>
    <x v="9"/>
    <x v="18"/>
    <x v="16"/>
    <x v="15"/>
    <x v="14"/>
    <s v="VCLN04CALG"/>
    <s v="Venta Servicio/Calama/LIUGONG"/>
    <s v="SERV/CALAM/LIUGN"/>
  </r>
  <r>
    <x v="2"/>
    <s v="VC00"/>
    <s v="Rental Construcción"/>
    <x v="9"/>
    <x v="18"/>
    <x v="16"/>
    <x v="15"/>
    <x v="14"/>
    <s v="VCLN71CALG"/>
    <s v="Rental Construcción/Calama/LIUGONG"/>
    <s v="RNTCONS/CALAM/LIUGN"/>
  </r>
  <r>
    <x v="2"/>
    <s v="VC00"/>
    <s v="Usados, Retoma, y AF"/>
    <x v="9"/>
    <x v="18"/>
    <x v="16"/>
    <x v="15"/>
    <x v="14"/>
    <s v="VCLN05CALG"/>
    <s v="Usados, Retoma, y AF/Calama/LIUGONG"/>
    <s v="USADOS/CALAM/LIUGN"/>
  </r>
  <r>
    <x v="2"/>
    <s v="VC00"/>
    <s v="Venta Repuesto"/>
    <x v="11"/>
    <x v="19"/>
    <x v="16"/>
    <x v="15"/>
    <x v="14"/>
    <s v="VCLN03PMLG"/>
    <s v="Venta Repuesto/Puerto Montt/LIUGONG"/>
    <s v="RPTO/PTMONT/LIUGN"/>
  </r>
  <r>
    <x v="2"/>
    <s v="VC00"/>
    <s v="Venta Servicio"/>
    <x v="11"/>
    <x v="19"/>
    <x v="16"/>
    <x v="15"/>
    <x v="14"/>
    <s v="VCLN04PMLG"/>
    <s v="Venta Servicio/Puerto Montt/LIUGONG"/>
    <s v="SERV/PTMONT/LIUGN"/>
  </r>
  <r>
    <x v="2"/>
    <s v="VC00"/>
    <s v="Rental Construcción"/>
    <x v="11"/>
    <x v="19"/>
    <x v="16"/>
    <x v="15"/>
    <x v="14"/>
    <s v="VCLN71PMLG"/>
    <s v="Rental Construcción/Puerto Montt/LIUGONG"/>
    <s v="RNTCONS/PTMONT/LIUGN"/>
  </r>
  <r>
    <x v="2"/>
    <s v="VC00"/>
    <s v="Usados, Retoma, y AF"/>
    <x v="11"/>
    <x v="19"/>
    <x v="16"/>
    <x v="15"/>
    <x v="14"/>
    <s v="VCLN05PMLG"/>
    <s v="Usados, Retoma, y AF/Pto Montt/LIUGONG"/>
    <s v="USADOS/PTMONT/LIUGN"/>
  </r>
  <r>
    <x v="2"/>
    <s v="VC00"/>
    <s v="Venta Repuesto"/>
    <x v="14"/>
    <x v="20"/>
    <x v="16"/>
    <x v="15"/>
    <x v="14"/>
    <s v="VCLN03COLG"/>
    <s v="Venta Repuesto/Coquimbo/LIUGONG"/>
    <s v="RPTO/COQUIM/LIUGN"/>
  </r>
  <r>
    <x v="2"/>
    <s v="VC00"/>
    <s v="Venta Servicio"/>
    <x v="14"/>
    <x v="20"/>
    <x v="16"/>
    <x v="15"/>
    <x v="14"/>
    <s v="VCLN04COLG"/>
    <s v="Venta Servicio/Coquimbo/LIUGONG"/>
    <s v="SERV/COQUIM/LIUGN"/>
  </r>
  <r>
    <x v="2"/>
    <s v="VC00"/>
    <s v="Rental Construcción"/>
    <x v="14"/>
    <x v="20"/>
    <x v="16"/>
    <x v="15"/>
    <x v="14"/>
    <s v="VCLN71COLG"/>
    <s v="Rental Construcción/Coquimbo/LIUGONG"/>
    <s v="RNTCONS/COQUIM/LIUGN"/>
  </r>
  <r>
    <x v="2"/>
    <s v="VC00"/>
    <s v="Usados, Retoma, y AF"/>
    <x v="14"/>
    <x v="20"/>
    <x v="16"/>
    <x v="15"/>
    <x v="14"/>
    <s v="VCLN05COLG"/>
    <s v="Usados, Retoma, y AF/Coquimbo/LIUGONG"/>
    <s v="USADOS/COQUIM/LIUGN"/>
  </r>
  <r>
    <x v="2"/>
    <s v="VC00"/>
    <s v="Venta Repuesto"/>
    <x v="15"/>
    <x v="21"/>
    <x v="16"/>
    <x v="15"/>
    <x v="14"/>
    <s v="VCLN03OSLG"/>
    <s v="Venta Repuesto/Osorno/LIUGONG"/>
    <s v="RPTO/OSORN/LIUGN"/>
  </r>
  <r>
    <x v="2"/>
    <s v="VC00"/>
    <s v="Venta Servicio"/>
    <x v="15"/>
    <x v="21"/>
    <x v="16"/>
    <x v="15"/>
    <x v="14"/>
    <s v="VCLN04OSLG"/>
    <s v="Venta Servicio/Osorno/LIUGONG"/>
    <s v="SERV/OSORN/LIUGN"/>
  </r>
  <r>
    <x v="2"/>
    <s v="VC00"/>
    <s v="Rental Construcción"/>
    <x v="15"/>
    <x v="21"/>
    <x v="16"/>
    <x v="15"/>
    <x v="14"/>
    <s v="VCLN71OSLG"/>
    <s v="Rental Construcción/Osorno/LIUGONG"/>
    <s v="RNTCONS/OSORN/LIUGN"/>
  </r>
  <r>
    <x v="2"/>
    <s v="VC00"/>
    <s v="Usados, Retoma, y AF"/>
    <x v="15"/>
    <x v="21"/>
    <x v="16"/>
    <x v="15"/>
    <x v="14"/>
    <s v="VCLN05OSLG"/>
    <s v="Usados, Retoma, y AF/Osorno/LIUGONG"/>
    <s v="USADOS/OSORN/LIUGN"/>
  </r>
  <r>
    <x v="2"/>
    <s v="VC00"/>
    <s v="Venta Repuesto"/>
    <x v="8"/>
    <x v="14"/>
    <x v="2"/>
    <x v="2"/>
    <x v="2"/>
    <s v="VCLN03ANOO"/>
    <s v="Venta Repuesto/Antofagasta/TdasOtrsMrcas"/>
    <s v="RPTO/ANTOF/TODAS"/>
  </r>
  <r>
    <x v="2"/>
    <s v="VC00"/>
    <s v="Venta Servicio"/>
    <x v="8"/>
    <x v="14"/>
    <x v="2"/>
    <x v="2"/>
    <x v="2"/>
    <s v="VCLN04ANOO"/>
    <s v="Venta Servicio/Antofagasta/TdasOtrsMrcas"/>
    <s v="SERV/ANTOF/TODAS"/>
  </r>
  <r>
    <x v="2"/>
    <s v="VC00"/>
    <s v="Rental Construcción"/>
    <x v="8"/>
    <x v="14"/>
    <x v="2"/>
    <x v="2"/>
    <x v="2"/>
    <s v="VCLN71ANOO"/>
    <s v="Rental Const/Antofagasta/TdasOtrsMrcas"/>
    <s v="RNTCONS/ANTOF/TODAS"/>
  </r>
  <r>
    <x v="2"/>
    <s v="VC00"/>
    <s v="Usados, Retoma, y AF"/>
    <x v="8"/>
    <x v="14"/>
    <x v="2"/>
    <x v="2"/>
    <x v="2"/>
    <s v="VCLN05ANOO"/>
    <s v="Usados AF/Antofagasta/TdasOtrsMrcas"/>
    <s v="USADOS/ANTOF/TODAS"/>
  </r>
  <r>
    <x v="2"/>
    <s v="VC00"/>
    <s v="Venta Repuesto"/>
    <x v="6"/>
    <x v="15"/>
    <x v="2"/>
    <x v="2"/>
    <x v="2"/>
    <s v="VCLN03QCOO"/>
    <s v="Venta Repuesto/Quilicura/TdasOtrsMrcas"/>
    <s v="RPTO/QUILI/TODAS"/>
  </r>
  <r>
    <x v="2"/>
    <s v="VC00"/>
    <s v="Venta Servicio"/>
    <x v="6"/>
    <x v="15"/>
    <x v="2"/>
    <x v="2"/>
    <x v="2"/>
    <s v="VCLN04QCOO"/>
    <s v="Venta Servicio/Quilicura/TdasOtrsMrcas"/>
    <s v="SERV/QUILI/TODAS"/>
  </r>
  <r>
    <x v="2"/>
    <s v="VC00"/>
    <s v="Rental Construcción"/>
    <x v="6"/>
    <x v="15"/>
    <x v="2"/>
    <x v="2"/>
    <x v="2"/>
    <s v="VCLN71QCOO"/>
    <s v="Rental Const/Quilicura/TdasOtrsMrcas"/>
    <s v="RNTCONS/QUILI/TODAS"/>
  </r>
  <r>
    <x v="2"/>
    <s v="VC00"/>
    <s v="Usados, Retoma, y AF"/>
    <x v="6"/>
    <x v="15"/>
    <x v="2"/>
    <x v="2"/>
    <x v="2"/>
    <s v="VCLN05QCOO"/>
    <s v="Usados AF/Quilicura/TdasOtrsMrcas"/>
    <s v="USADOS/QUILI/TODAS"/>
  </r>
  <r>
    <x v="2"/>
    <s v="VC00"/>
    <s v="Venta Repuesto"/>
    <x v="10"/>
    <x v="16"/>
    <x v="2"/>
    <x v="2"/>
    <x v="2"/>
    <s v="VCLN03CUOO"/>
    <s v="Venta Repuesto/Curico/TODAS/OTRAS MARCAS"/>
    <s v="RPTO/CURIC/TODAS"/>
  </r>
  <r>
    <x v="2"/>
    <s v="VC00"/>
    <s v="Venta Servicio"/>
    <x v="10"/>
    <x v="16"/>
    <x v="2"/>
    <x v="2"/>
    <x v="2"/>
    <s v="VCLN04CUOO"/>
    <s v="Venta Servicio/Curico/TODAS/OTRAS MARCAS"/>
    <s v="SERV/CURIC/TODAS"/>
  </r>
  <r>
    <x v="2"/>
    <s v="VC00"/>
    <s v="Rental Construcción"/>
    <x v="10"/>
    <x v="16"/>
    <x v="2"/>
    <x v="2"/>
    <x v="2"/>
    <s v="VCLN71CUOO"/>
    <s v="Rental Construcción/Curico/TdasOtrsMrcas"/>
    <s v="RNTCONS/CURIC/TODAS"/>
  </r>
  <r>
    <x v="2"/>
    <s v="VC00"/>
    <s v="Usados, Retoma, y AF"/>
    <x v="10"/>
    <x v="16"/>
    <x v="2"/>
    <x v="2"/>
    <x v="2"/>
    <s v="VCLN05CUOO"/>
    <s v="Usados AF/Curico/TdasOtrsMrcas"/>
    <s v="USADOS/CURIC/TODAS"/>
  </r>
  <r>
    <x v="2"/>
    <s v="VC00"/>
    <s v="Venta Repuesto"/>
    <x v="12"/>
    <x v="17"/>
    <x v="2"/>
    <x v="2"/>
    <x v="2"/>
    <s v="VCLN03TAOO"/>
    <s v="Venta Repuesto/Talcahuano/TdasOtrsMrcas"/>
    <s v="RPTO/TALCHU/TODAS"/>
  </r>
  <r>
    <x v="2"/>
    <s v="VC00"/>
    <s v="Venta Servicio"/>
    <x v="12"/>
    <x v="17"/>
    <x v="2"/>
    <x v="2"/>
    <x v="2"/>
    <s v="VCLN04TAOO"/>
    <s v="Venta Servicio/Talcahuano/TdasOtrsMrcas"/>
    <s v="SERV/TALCHU/TODAS"/>
  </r>
  <r>
    <x v="2"/>
    <s v="VC00"/>
    <s v="Rental Construcción"/>
    <x v="12"/>
    <x v="17"/>
    <x v="2"/>
    <x v="2"/>
    <x v="2"/>
    <s v="VCLN71TAOO"/>
    <s v="Rental Const/Talcahuano/TdasOtrsMrcas"/>
    <s v="RNTCONS/TALCHU/TODAS"/>
  </r>
  <r>
    <x v="2"/>
    <s v="VC00"/>
    <s v="Usados, Retoma, y AF"/>
    <x v="12"/>
    <x v="17"/>
    <x v="2"/>
    <x v="2"/>
    <x v="2"/>
    <s v="VCLN05TAOO"/>
    <s v="Usados AF/Talcahuano/TdasOtrsMrcas"/>
    <s v="USADOS/TALCHU/TODAS"/>
  </r>
  <r>
    <x v="2"/>
    <s v="VC00"/>
    <s v="Venta Repuesto"/>
    <x v="9"/>
    <x v="18"/>
    <x v="2"/>
    <x v="2"/>
    <x v="2"/>
    <s v="VCLN03CAOO"/>
    <s v="Venta Repuesto/Calama/TODAS/OTRAS MARCAS"/>
    <s v="RPTO/CALAM/TODAS"/>
  </r>
  <r>
    <x v="2"/>
    <s v="VC00"/>
    <s v="Venta Servicio"/>
    <x v="9"/>
    <x v="18"/>
    <x v="2"/>
    <x v="2"/>
    <x v="2"/>
    <s v="VCLN04CAOO"/>
    <s v="Venta Servicio/Calama/TODAS/OTRAS MARCAS"/>
    <s v="SERV/CALAM/TODAS"/>
  </r>
  <r>
    <x v="2"/>
    <s v="VC00"/>
    <s v="Rental Construcción"/>
    <x v="9"/>
    <x v="18"/>
    <x v="2"/>
    <x v="2"/>
    <x v="2"/>
    <s v="VCLN71CAOO"/>
    <s v="Rental Construcción/Calama/TdasOtrsMrcas"/>
    <s v="RNTCONS/CALAM/TODAS"/>
  </r>
  <r>
    <x v="2"/>
    <s v="VC00"/>
    <s v="Usados, Retoma, y AF"/>
    <x v="9"/>
    <x v="18"/>
    <x v="2"/>
    <x v="2"/>
    <x v="2"/>
    <s v="VCLN05CAOO"/>
    <s v="Usados AF/Calama/TdasOtrsMrcas"/>
    <s v="USADOS/CALAM/TODAS"/>
  </r>
  <r>
    <x v="2"/>
    <s v="VC00"/>
    <s v="Venta Repuesto"/>
    <x v="11"/>
    <x v="19"/>
    <x v="2"/>
    <x v="2"/>
    <x v="2"/>
    <s v="VCLN03PMOO"/>
    <s v="Venta Repuesto/Pto Montt/TdasOtrsMrcas"/>
    <s v="RPTO/PTMONT/TODAS"/>
  </r>
  <r>
    <x v="2"/>
    <s v="VC00"/>
    <s v="Venta Servicio"/>
    <x v="11"/>
    <x v="19"/>
    <x v="2"/>
    <x v="2"/>
    <x v="2"/>
    <s v="VCLN04PMOO"/>
    <s v="Venta Servicio/Pto Montt/TdasOtrsMrcas"/>
    <s v="SERV/PTMONT/TODAS"/>
  </r>
  <r>
    <x v="2"/>
    <s v="VC00"/>
    <s v="Rental Construcción"/>
    <x v="11"/>
    <x v="19"/>
    <x v="2"/>
    <x v="2"/>
    <x v="2"/>
    <s v="VCLN71PMOO"/>
    <s v="Rental Const/Pto Montt/TdasOtrsMrcas"/>
    <s v="RNTCONS/PTMONT/TODAS"/>
  </r>
  <r>
    <x v="2"/>
    <s v="VC00"/>
    <s v="Usados, Retoma, y AF"/>
    <x v="11"/>
    <x v="19"/>
    <x v="2"/>
    <x v="2"/>
    <x v="2"/>
    <s v="VCLN05PMOO"/>
    <s v="Usados AF/Puerto Montt/TdasOtrsMrcas"/>
    <s v="USADOS/PTMONT/TODAS"/>
  </r>
  <r>
    <x v="2"/>
    <s v="VC00"/>
    <s v="Venta Repuesto"/>
    <x v="14"/>
    <x v="20"/>
    <x v="2"/>
    <x v="2"/>
    <x v="2"/>
    <s v="VCLN03COOO"/>
    <s v="Venta Repuesto/Coquimbo/TdasOtrsMrcas"/>
    <s v="RPTO/COQUIM/TODAS"/>
  </r>
  <r>
    <x v="2"/>
    <s v="VC00"/>
    <s v="Venta Servicio"/>
    <x v="14"/>
    <x v="20"/>
    <x v="2"/>
    <x v="2"/>
    <x v="2"/>
    <s v="VCLN04COOO"/>
    <s v="Venta Servicio/Coquimbo/TdasOtrsMrcas"/>
    <s v="SERV/COQUIM/TODAS"/>
  </r>
  <r>
    <x v="2"/>
    <s v="VC00"/>
    <s v="Rental Construcción"/>
    <x v="14"/>
    <x v="20"/>
    <x v="2"/>
    <x v="2"/>
    <x v="2"/>
    <s v="VCLN71COOO"/>
    <s v="Rental Const/Coquimbo/TdasOtrsMrcas"/>
    <s v="RNTCONS/COQUIM/TODAS"/>
  </r>
  <r>
    <x v="2"/>
    <s v="VC00"/>
    <s v="Usados, Retoma, y AF"/>
    <x v="14"/>
    <x v="20"/>
    <x v="2"/>
    <x v="2"/>
    <x v="2"/>
    <s v="VCLN05COOO"/>
    <s v="Usados AF/Coquimbo/TdasOtrsMrcas"/>
    <s v="USADOS/COQUIM/TODAS"/>
  </r>
  <r>
    <x v="2"/>
    <s v="VC00"/>
    <s v="Venta Repuesto"/>
    <x v="15"/>
    <x v="21"/>
    <x v="2"/>
    <x v="2"/>
    <x v="2"/>
    <s v="VCLN03OSOO"/>
    <s v="Venta Repuesto/Osorno/TODAS/OTRAS MARCAS"/>
    <s v="RPTO/OSORN/TODAS"/>
  </r>
  <r>
    <x v="2"/>
    <s v="VC00"/>
    <s v="Venta Servicio"/>
    <x v="15"/>
    <x v="21"/>
    <x v="2"/>
    <x v="2"/>
    <x v="2"/>
    <s v="VCLN04OSOO"/>
    <s v="Venta Servicio/Osorno/TODAS/OTRAS MARCAS"/>
    <s v="SERV/OSORN/TODAS"/>
  </r>
  <r>
    <x v="2"/>
    <s v="VC00"/>
    <s v="Rental Construcción"/>
    <x v="15"/>
    <x v="21"/>
    <x v="2"/>
    <x v="2"/>
    <x v="2"/>
    <s v="VCLN71OSOO"/>
    <s v="Rental Construcción/Osorno/TdasOtrsMrcas"/>
    <s v="RNTCONS/OSORN/TODAS"/>
  </r>
  <r>
    <x v="2"/>
    <s v="VC00"/>
    <s v="Usados, Retoma, y AF"/>
    <x v="15"/>
    <x v="21"/>
    <x v="2"/>
    <x v="2"/>
    <x v="2"/>
    <s v="VCLN05OSOO"/>
    <s v="Usados AF/Osorno/TdasOtrsMrcas"/>
    <s v="USADOS/OSORN/TODAS"/>
  </r>
  <r>
    <x v="2"/>
    <s v="VC00"/>
    <s v="Vta. Unidades Nuevas"/>
    <x v="8"/>
    <x v="14"/>
    <x v="12"/>
    <x v="11"/>
    <x v="10"/>
    <s v="VCLN01ANHY"/>
    <s v="Vta. Unidades Nuevas/Antofagasta/HYSTER"/>
    <s v="VTAUNID/ANTOF/HYSTR"/>
  </r>
  <r>
    <x v="2"/>
    <s v="VC00"/>
    <s v="Vta. Unidades Nuevas"/>
    <x v="6"/>
    <x v="15"/>
    <x v="12"/>
    <x v="11"/>
    <x v="10"/>
    <s v="VCLN01QCHY"/>
    <s v="Vta. Unidades Nuevas/Quilicura/HYSTER"/>
    <s v="VTAUNID/QUILI/HYSTR"/>
  </r>
  <r>
    <x v="2"/>
    <s v="VC00"/>
    <s v="Vta. Unidades Nuevas"/>
    <x v="10"/>
    <x v="16"/>
    <x v="12"/>
    <x v="11"/>
    <x v="10"/>
    <s v="VCLN01CUHY"/>
    <s v="Vta. Unidades Nuevas/Curico/HYSTER"/>
    <s v="VTAUNID/CURIC/HYSTR"/>
  </r>
  <r>
    <x v="2"/>
    <s v="VC00"/>
    <s v="Vta. Unidades Nuevas"/>
    <x v="12"/>
    <x v="17"/>
    <x v="12"/>
    <x v="11"/>
    <x v="10"/>
    <s v="VCLN01TAHY"/>
    <s v="Vta. Unidades Nuevas/Talcahuano/HYSTER"/>
    <s v="VTAUNID/TALCHU/HYSTR"/>
  </r>
  <r>
    <x v="2"/>
    <s v="VC00"/>
    <s v="Vta. Unidades Nuevas"/>
    <x v="9"/>
    <x v="18"/>
    <x v="12"/>
    <x v="11"/>
    <x v="10"/>
    <s v="VCLN01CAHY"/>
    <s v="Vta. Unidades Nuevas/Calama/HYSTER"/>
    <s v="VTAUNID/CALAM/HYSTR"/>
  </r>
  <r>
    <x v="2"/>
    <s v="VC00"/>
    <s v="Vta. Unidades Nuevas"/>
    <x v="11"/>
    <x v="19"/>
    <x v="12"/>
    <x v="11"/>
    <x v="10"/>
    <s v="VCLN01PMHY"/>
    <s v="Vta. Unidades Nuevas/Puerto Montt/HYSTER"/>
    <s v="VTAUNID/PTMONT/HYSTR"/>
  </r>
  <r>
    <x v="2"/>
    <s v="VC00"/>
    <s v="Vta. Unidades Nuevas"/>
    <x v="14"/>
    <x v="20"/>
    <x v="12"/>
    <x v="11"/>
    <x v="10"/>
    <s v="VCLN01COHY"/>
    <s v="Vta. Unidades Nuevas/Coquimbo/HYSTER"/>
    <s v="VTAUNID/COQUIM/HYSTR"/>
  </r>
  <r>
    <x v="2"/>
    <s v="VC00"/>
    <s v="Vta. Unidades Nuevas"/>
    <x v="15"/>
    <x v="21"/>
    <x v="12"/>
    <x v="11"/>
    <x v="10"/>
    <s v="VCLN01OSHY"/>
    <s v="Vta. Unidades Nuevas/Osorno/HYSTER"/>
    <s v="VTAUNID/OSORN/HYSTR"/>
  </r>
  <r>
    <x v="2"/>
    <s v="VC00"/>
    <s v="Vta. Unidades Nuevas"/>
    <x v="8"/>
    <x v="14"/>
    <x v="13"/>
    <x v="12"/>
    <x v="11"/>
    <s v="VCLN01ANHK"/>
    <s v="Vta. Unidades Nuevas/Antofagasta/HMK"/>
    <s v="VTAUNID/ANTOF/HMK"/>
  </r>
  <r>
    <x v="2"/>
    <s v="VC00"/>
    <s v="Vta. Unidades Nuevas"/>
    <x v="6"/>
    <x v="15"/>
    <x v="13"/>
    <x v="12"/>
    <x v="11"/>
    <s v="VCLN01QCHK"/>
    <s v="Vta. Unidades Nuevas/Quilicura/HMK"/>
    <s v="VTAUNID/QUILI/HMK"/>
  </r>
  <r>
    <x v="2"/>
    <s v="VC00"/>
    <s v="Vta. Unidades Nuevas"/>
    <x v="10"/>
    <x v="16"/>
    <x v="13"/>
    <x v="12"/>
    <x v="11"/>
    <s v="VCLN01CUHK"/>
    <s v="Vta. Unidades Nuevas/Curico/HMK"/>
    <s v="VTAUNID/CURIC/HMK"/>
  </r>
  <r>
    <x v="2"/>
    <s v="VC00"/>
    <s v="Vta. Unidades Nuevas"/>
    <x v="12"/>
    <x v="17"/>
    <x v="13"/>
    <x v="12"/>
    <x v="11"/>
    <s v="VCLN01TAHK"/>
    <s v="Vta. Unidades Nuevas/Talcahuano/HMK"/>
    <s v="VTAUNID/TALCHU/HMK"/>
  </r>
  <r>
    <x v="2"/>
    <s v="VC00"/>
    <s v="Vta. Unidades Nuevas"/>
    <x v="9"/>
    <x v="18"/>
    <x v="13"/>
    <x v="12"/>
    <x v="11"/>
    <s v="VCLN01CAHK"/>
    <s v="Vta. Unidades Nuevas/Calama/HMK"/>
    <s v="VTAUNID/CALAM/HMK"/>
  </r>
  <r>
    <x v="2"/>
    <s v="VC00"/>
    <s v="Vta. Unidades Nuevas"/>
    <x v="11"/>
    <x v="19"/>
    <x v="13"/>
    <x v="12"/>
    <x v="11"/>
    <s v="VCLN01PMHK"/>
    <s v="Vta. Unidades Nuevas/Puerto Montt/HMK"/>
    <s v="VTAUNID/PTMONT/HMK"/>
  </r>
  <r>
    <x v="2"/>
    <s v="VC00"/>
    <s v="Vta. Unidades Nuevas"/>
    <x v="14"/>
    <x v="20"/>
    <x v="13"/>
    <x v="12"/>
    <x v="11"/>
    <s v="VCLN01COHK"/>
    <s v="Vta. Unidades Nuevas/Coquimbo/HMK"/>
    <s v="VTAUNID/COQUIM/HMK"/>
  </r>
  <r>
    <x v="2"/>
    <s v="VC00"/>
    <s v="Vta. Unidades Nuevas"/>
    <x v="15"/>
    <x v="21"/>
    <x v="13"/>
    <x v="12"/>
    <x v="11"/>
    <s v="VCLN01OSHK"/>
    <s v="Vta. Unidades Nuevas/Osorno/HMK"/>
    <s v="VTAUNID/OSORN/HMK"/>
  </r>
  <r>
    <x v="2"/>
    <s v="VC00"/>
    <s v="Vta. Unidades Nuevas"/>
    <x v="8"/>
    <x v="14"/>
    <x v="14"/>
    <x v="13"/>
    <x v="12"/>
    <s v="VCLN01ANTB"/>
    <s v="Vta. Unidades Nuevas/Antofagasta/TERBERG"/>
    <s v="VTAUNID/ANTOF/TERBG"/>
  </r>
  <r>
    <x v="2"/>
    <s v="VC00"/>
    <s v="Vta. Unidades Nuevas"/>
    <x v="6"/>
    <x v="15"/>
    <x v="14"/>
    <x v="13"/>
    <x v="12"/>
    <s v="VCLN01QCTB"/>
    <s v="Vta. Unidades Nuevas/Quilicura/TERBERG"/>
    <s v="VTAUNID/QUILI/TERBG"/>
  </r>
  <r>
    <x v="2"/>
    <s v="VC00"/>
    <s v="Vta. Unidades Nuevas"/>
    <x v="10"/>
    <x v="16"/>
    <x v="14"/>
    <x v="13"/>
    <x v="12"/>
    <s v="VCLN01CUTB"/>
    <s v="Vta. Unidades Nuevas/Curico/TERBERG"/>
    <s v="VTAUNID/CURIC/TERBG"/>
  </r>
  <r>
    <x v="2"/>
    <s v="VC00"/>
    <s v="Vta. Unidades Nuevas"/>
    <x v="12"/>
    <x v="17"/>
    <x v="14"/>
    <x v="13"/>
    <x v="12"/>
    <s v="VCLN01TATB"/>
    <s v="Vta. Unidades Nuevas/Talcahuano/TERBERG"/>
    <s v="VTAUNID/TALCHU/TERBG"/>
  </r>
  <r>
    <x v="2"/>
    <s v="VC00"/>
    <s v="Vta. Unidades Nuevas"/>
    <x v="9"/>
    <x v="18"/>
    <x v="14"/>
    <x v="13"/>
    <x v="12"/>
    <s v="VCLN01CATB"/>
    <s v="Vta. Unidades Nuevas/Calama/TERBERG"/>
    <s v="VTAUNID/CALAM/TERBG"/>
  </r>
  <r>
    <x v="2"/>
    <s v="VC00"/>
    <s v="Vta. Unidades Nuevas"/>
    <x v="11"/>
    <x v="19"/>
    <x v="14"/>
    <x v="13"/>
    <x v="12"/>
    <s v="VCLN01PMTB"/>
    <s v="Vta. Unidades Nuevas/Pto Montt/TERBERG"/>
    <s v="VTAUNID/PTMONT/TERBG"/>
  </r>
  <r>
    <x v="2"/>
    <s v="VC00"/>
    <s v="Vta. Unidades Nuevas"/>
    <x v="14"/>
    <x v="20"/>
    <x v="14"/>
    <x v="13"/>
    <x v="12"/>
    <s v="VCLN01COTB"/>
    <s v="Vta. Unidades Nuevas/Coquimbo/TERBERG"/>
    <s v="VTAUNID/COQUIM/TERBG"/>
  </r>
  <r>
    <x v="2"/>
    <s v="VC00"/>
    <s v="Vta. Unidades Nuevas"/>
    <x v="15"/>
    <x v="21"/>
    <x v="14"/>
    <x v="13"/>
    <x v="12"/>
    <s v="VCLN01OSTB"/>
    <s v="Vta. Unidades Nuevas/Osorno/TERBERG"/>
    <s v="VTAUNID/OSORN/TERBG"/>
  </r>
  <r>
    <x v="2"/>
    <s v="VC00"/>
    <s v="Vta. Unidades Nuevas"/>
    <x v="8"/>
    <x v="14"/>
    <x v="15"/>
    <x v="14"/>
    <x v="13"/>
    <s v="VCLN01ANMA"/>
    <s v="Vta. Unidades Nuevas/Antofagasta/MAXIMAL"/>
    <s v="VTAUNID/ANTOF/MAXML"/>
  </r>
  <r>
    <x v="2"/>
    <s v="VC00"/>
    <s v="Vta. Unidades Nuevas"/>
    <x v="6"/>
    <x v="15"/>
    <x v="15"/>
    <x v="14"/>
    <x v="13"/>
    <s v="VCLN01QCMA"/>
    <s v="Vta. Unidades Nuevas/Quilicura/MAXIMAL"/>
    <s v="VTAUNID/QUILI/MAXML"/>
  </r>
  <r>
    <x v="2"/>
    <s v="VC00"/>
    <s v="Vta. Unidades Nuevas"/>
    <x v="10"/>
    <x v="16"/>
    <x v="15"/>
    <x v="14"/>
    <x v="13"/>
    <s v="VCLN01CUMA"/>
    <s v="Vta. Unidades Nuevas/Curico/MAXIMAL"/>
    <s v="VTAUNID/CURIC/MAXML"/>
  </r>
  <r>
    <x v="2"/>
    <s v="VC00"/>
    <s v="Vta. Unidades Nuevas"/>
    <x v="12"/>
    <x v="17"/>
    <x v="15"/>
    <x v="14"/>
    <x v="13"/>
    <s v="VCLN01TAMA"/>
    <s v="Vta. Unidades Nuevas/Talcahuano/MAXIMAL"/>
    <s v="VTAUNID/TALCHU/MAXML"/>
  </r>
  <r>
    <x v="2"/>
    <s v="VC00"/>
    <s v="Vta. Unidades Nuevas"/>
    <x v="9"/>
    <x v="18"/>
    <x v="15"/>
    <x v="14"/>
    <x v="13"/>
    <s v="VCLN01CAMA"/>
    <s v="Vta. Unidades Nuevas/Calama/MAXIMAL"/>
    <s v="VTAUNID/CALAM/MAXML"/>
  </r>
  <r>
    <x v="2"/>
    <s v="VC00"/>
    <s v="Vta. Unidades Nuevas"/>
    <x v="11"/>
    <x v="19"/>
    <x v="15"/>
    <x v="14"/>
    <x v="13"/>
    <s v="VCLN01PMMA"/>
    <s v="Vta. Unidades Nuevas/Pto Montt/MAXIMAL"/>
    <s v="VTAUNID/PTMONT/MAXML"/>
  </r>
  <r>
    <x v="2"/>
    <s v="VC00"/>
    <s v="Vta. Unidades Nuevas"/>
    <x v="14"/>
    <x v="20"/>
    <x v="15"/>
    <x v="14"/>
    <x v="13"/>
    <s v="VCLN01COMA"/>
    <s v="Vta. Unidades Nuevas/Coquimbo/MAXIMAL"/>
    <s v="VTAUNID/COQUIM/MAXML"/>
  </r>
  <r>
    <x v="2"/>
    <s v="VC00"/>
    <s v="Vta. Unidades Nuevas"/>
    <x v="15"/>
    <x v="21"/>
    <x v="15"/>
    <x v="14"/>
    <x v="13"/>
    <s v="VCLN01OSMA"/>
    <s v="Vta. Unidades Nuevas/Osorno/MAXIMAL"/>
    <s v="VTAUNID/OSORN/MAXML"/>
  </r>
  <r>
    <x v="2"/>
    <s v="VC00"/>
    <s v="Vta. Unidades Nuevas"/>
    <x v="8"/>
    <x v="14"/>
    <x v="16"/>
    <x v="15"/>
    <x v="14"/>
    <s v="VCLN01ANLG"/>
    <s v="Vta. Unidades Nuevas/Antofagasta/LIUGONG"/>
    <s v="VTAUNID/ANTOF/LIUGN"/>
  </r>
  <r>
    <x v="2"/>
    <s v="VC00"/>
    <s v="Vta. Unidades Nuevas"/>
    <x v="6"/>
    <x v="15"/>
    <x v="16"/>
    <x v="15"/>
    <x v="14"/>
    <s v="VCLN01QCLG"/>
    <s v="Vta. Unidades Nuevas/Quilicura/LIUGONG"/>
    <s v="VTAUNID/QUILI/LIUGN"/>
  </r>
  <r>
    <x v="2"/>
    <s v="VC00"/>
    <s v="Vta. Unidades Nuevas"/>
    <x v="10"/>
    <x v="16"/>
    <x v="16"/>
    <x v="15"/>
    <x v="14"/>
    <s v="VCLN01CULG"/>
    <s v="Vta. Unidades Nuevas/Curico/LIUGONG"/>
    <s v="VTAUNID/CURIC/LIUGN"/>
  </r>
  <r>
    <x v="2"/>
    <s v="VC00"/>
    <s v="Vta. Unidades Nuevas"/>
    <x v="12"/>
    <x v="17"/>
    <x v="16"/>
    <x v="15"/>
    <x v="14"/>
    <s v="VCLN01TALG"/>
    <s v="Vta. Unidades Nuevas/Talcahuano/LIUGONG"/>
    <s v="VTAUNID/TALCHU/LIUGN"/>
  </r>
  <r>
    <x v="2"/>
    <s v="VC00"/>
    <s v="Vta. Unidades Nuevas"/>
    <x v="9"/>
    <x v="18"/>
    <x v="16"/>
    <x v="15"/>
    <x v="14"/>
    <s v="VCLN01CALG"/>
    <s v="Vta. Unidades Nuevas/Calama/LIUGONG"/>
    <s v="VTAUNID/CALAM/LIUGN"/>
  </r>
  <r>
    <x v="2"/>
    <s v="VC00"/>
    <s v="Vta. Unidades Nuevas"/>
    <x v="11"/>
    <x v="19"/>
    <x v="16"/>
    <x v="15"/>
    <x v="14"/>
    <s v="VCLN01PMLG"/>
    <s v="Vta. Unidades Nuevas/Pto Montt/LIUGONG"/>
    <s v="VTAUNID/PTMONT/LIUGN"/>
  </r>
  <r>
    <x v="2"/>
    <s v="VC00"/>
    <s v="Vta. Unidades Nuevas"/>
    <x v="14"/>
    <x v="20"/>
    <x v="16"/>
    <x v="15"/>
    <x v="14"/>
    <s v="VCLN01COLG"/>
    <s v="Vta. Unidades Nuevas/Coquimbo/LIUGONG"/>
    <s v="VTAUNID/COQUIM/LIUGN"/>
  </r>
  <r>
    <x v="2"/>
    <s v="VC00"/>
    <s v="Vta. Unidades Nuevas"/>
    <x v="15"/>
    <x v="21"/>
    <x v="16"/>
    <x v="15"/>
    <x v="14"/>
    <s v="VCLN01OSLG"/>
    <s v="Vta. Unidades Nuevas/Osorno/LIUGONG"/>
    <s v="VTAUNID/OSORN/LIUGN"/>
  </r>
  <r>
    <x v="2"/>
    <s v="VC00"/>
    <s v="Vta. Unidades Nuevas"/>
    <x v="8"/>
    <x v="14"/>
    <x v="2"/>
    <x v="2"/>
    <x v="2"/>
    <s v="VCLN01ANOO"/>
    <s v="VtaUnidNuevas/Antofagasta/TdasOtrsMrcas"/>
    <s v="VTAUNID/ANTOF/TODAS"/>
  </r>
  <r>
    <x v="2"/>
    <s v="VC00"/>
    <s v="Vta. Unidades Nuevas"/>
    <x v="6"/>
    <x v="15"/>
    <x v="2"/>
    <x v="2"/>
    <x v="2"/>
    <s v="VCLN01QCOO"/>
    <s v="VtaUnidNuevas/Quilicura/TdasOtrsMrcas"/>
    <s v="VTAUNID/QUILI/TODAS"/>
  </r>
  <r>
    <x v="2"/>
    <s v="VC00"/>
    <s v="Vta. Unidades Nuevas"/>
    <x v="10"/>
    <x v="16"/>
    <x v="2"/>
    <x v="2"/>
    <x v="2"/>
    <s v="VCLN01CUOO"/>
    <s v="VtaUnidNuevas/Curico/TdasOtrsMrcas"/>
    <s v="VTAUNID/CURIC/TODAS"/>
  </r>
  <r>
    <x v="2"/>
    <s v="VC00"/>
    <s v="Vta. Unidades Nuevas"/>
    <x v="12"/>
    <x v="17"/>
    <x v="2"/>
    <x v="2"/>
    <x v="2"/>
    <s v="VCLN01TAOO"/>
    <s v="VtaUnidNuevas/Talcahuano/TdasOtrsMrcas"/>
    <s v="VTAUNID/TALCHU/TODAS"/>
  </r>
  <r>
    <x v="2"/>
    <s v="VC00"/>
    <s v="Vta. Unidades Nuevas"/>
    <x v="9"/>
    <x v="18"/>
    <x v="2"/>
    <x v="2"/>
    <x v="2"/>
    <s v="VCLN01CAOO"/>
    <s v="VtaUnidNuevas/Calama/TdasOtrsMrcas"/>
    <s v="VTAUNID/CALAM/TODAS"/>
  </r>
  <r>
    <x v="2"/>
    <s v="VC00"/>
    <s v="Vta. Unidades Nuevas"/>
    <x v="11"/>
    <x v="19"/>
    <x v="2"/>
    <x v="2"/>
    <x v="2"/>
    <s v="VCLN01PMOO"/>
    <s v="VtaUnidNuevas/Puerto Montt/TdasOtrsMrcas"/>
    <s v="VTAUNID/PTMONT/TODAS"/>
  </r>
  <r>
    <x v="2"/>
    <s v="VC00"/>
    <s v="Vta. Unidades Nuevas"/>
    <x v="14"/>
    <x v="20"/>
    <x v="2"/>
    <x v="2"/>
    <x v="2"/>
    <s v="VCLN01COOO"/>
    <s v="VtaUnidNuevas/Coquimbo/TdasOtrsMrcas"/>
    <s v="VTAUNID/COQUIM/TODAS"/>
  </r>
  <r>
    <x v="2"/>
    <s v="VC00"/>
    <s v="Vta. Unidades Nuevas"/>
    <x v="15"/>
    <x v="21"/>
    <x v="2"/>
    <x v="2"/>
    <x v="2"/>
    <s v="VCLN01OSOO"/>
    <s v="VtaUnidNuevas/Osorno/TdasOtrsMrcas"/>
    <s v="VTAUNID/OSORN/TODAS"/>
  </r>
  <r>
    <x v="2"/>
    <s v="VC00"/>
    <s v="Rental Gruas"/>
    <x v="8"/>
    <x v="14"/>
    <x v="2"/>
    <x v="2"/>
    <x v="2"/>
    <s v="VCLN72ANOO"/>
    <s v="Rental Gruas/Antofagasta/TdasOtrsMrcas"/>
    <s v="RNTGRUA/ANTOF/TODAS"/>
  </r>
  <r>
    <x v="2"/>
    <s v="VC00"/>
    <s v="Rental Gruas"/>
    <x v="6"/>
    <x v="15"/>
    <x v="2"/>
    <x v="2"/>
    <x v="2"/>
    <s v="VCLN72QCOO"/>
    <s v="Rental Gruas/Quilicura/TdasOtrsMrcas"/>
    <s v="RNTGRUA/QUILI/TODAS"/>
  </r>
  <r>
    <x v="2"/>
    <s v="VC00"/>
    <s v="Rental Gruas"/>
    <x v="10"/>
    <x v="16"/>
    <x v="2"/>
    <x v="2"/>
    <x v="2"/>
    <s v="VCLN72CUOO"/>
    <s v="Rental Gruas/Curico/TODAS/OTRAS MARCAS"/>
    <s v="RNTGRUA/CURIC/TODAS"/>
  </r>
  <r>
    <x v="2"/>
    <s v="VC00"/>
    <s v="Rental Gruas"/>
    <x v="12"/>
    <x v="17"/>
    <x v="2"/>
    <x v="2"/>
    <x v="2"/>
    <s v="VCLN72TAOO"/>
    <s v="Rental Gruas/Talcahuano/TdasOtrsMrcas"/>
    <s v="RNTGRUA/TALCHU/TODAS"/>
  </r>
  <r>
    <x v="2"/>
    <s v="VC00"/>
    <s v="Rental Gruas"/>
    <x v="9"/>
    <x v="18"/>
    <x v="2"/>
    <x v="2"/>
    <x v="2"/>
    <s v="VCLN72CAOO"/>
    <s v="Rental Gruas/Calama/TODAS/OTRAS MARCAS"/>
    <s v="RNTGRUA/CALAM/TODAS"/>
  </r>
  <r>
    <x v="2"/>
    <s v="VC00"/>
    <s v="Rental Gruas"/>
    <x v="11"/>
    <x v="19"/>
    <x v="2"/>
    <x v="2"/>
    <x v="2"/>
    <s v="VCLN72PMOO"/>
    <s v="Rental Gruas/Puerto Montt/TdasOtrsMrcas"/>
    <s v="RNTGRUA/PTMONT/TODAS"/>
  </r>
  <r>
    <x v="2"/>
    <s v="VC00"/>
    <s v="Rental Gruas"/>
    <x v="14"/>
    <x v="20"/>
    <x v="2"/>
    <x v="2"/>
    <x v="2"/>
    <s v="VCLN72COOO"/>
    <s v="Rental Gruas/Coquimbo/TODAS/OTRAS MARCAS"/>
    <s v="RNTGRUA/COQUIM/TODAS"/>
  </r>
  <r>
    <x v="2"/>
    <s v="VC00"/>
    <s v="Rental Gruas"/>
    <x v="15"/>
    <x v="21"/>
    <x v="2"/>
    <x v="2"/>
    <x v="2"/>
    <s v="VCLN72OSOO"/>
    <s v="Rental Gruas/Osorno/TODAS/OTRAS MARCAS"/>
    <s v="RNTGRUA/OSORN/TODAS"/>
  </r>
  <r>
    <x v="2"/>
    <s v="VC00"/>
    <s v="Vta. Electromovilidad Unidades Nuevas"/>
    <x v="8"/>
    <x v="14"/>
    <x v="12"/>
    <x v="11"/>
    <x v="10"/>
    <s v="VCLN02ANHY"/>
    <s v="Vta.Elect.Unid.Nuevas/Antofagasta/HYSTER"/>
    <s v="ELECTM/ANTOF/HYSTR"/>
  </r>
  <r>
    <x v="2"/>
    <s v="VC00"/>
    <s v="Vta. Electromovilidad Unidades Nuevas"/>
    <x v="6"/>
    <x v="15"/>
    <x v="12"/>
    <x v="11"/>
    <x v="10"/>
    <s v="VCLN02QCHY"/>
    <s v="Vta.Elect.Unid.Nuevas/Quilicura/HYSTER"/>
    <s v="ELECTM/QUILI/HYSTR"/>
  </r>
  <r>
    <x v="2"/>
    <s v="VC00"/>
    <s v="Vta. Electromovilidad Unidades Nuevas"/>
    <x v="10"/>
    <x v="16"/>
    <x v="12"/>
    <x v="11"/>
    <x v="10"/>
    <s v="VCLN02CUHY"/>
    <s v="Vta.Elect.Unid.Nuevas/Curico/HYSTER"/>
    <s v="ELECTM/CURIC/HYSTR"/>
  </r>
  <r>
    <x v="2"/>
    <s v="VC00"/>
    <s v="Vta. Electromovilidad Unidades Nuevas"/>
    <x v="12"/>
    <x v="17"/>
    <x v="12"/>
    <x v="11"/>
    <x v="10"/>
    <s v="VCLN02TAHY"/>
    <s v="Vta.Elect.Unid.Nuevas/Talcahuano/HYSTER"/>
    <s v="ELECTM/TALCHU/HYSTR"/>
  </r>
  <r>
    <x v="2"/>
    <s v="VC00"/>
    <s v="Vta. Electromovilidad Unidades Nuevas"/>
    <x v="9"/>
    <x v="18"/>
    <x v="12"/>
    <x v="11"/>
    <x v="10"/>
    <s v="VCLN02CAHY"/>
    <s v="Vta.Elect.Unid.Nuevas/Calama/HYSTER"/>
    <s v="ELECTM/CALAM/HYSTR"/>
  </r>
  <r>
    <x v="2"/>
    <s v="VC00"/>
    <s v="Vta. Electromovilidad Unidades Nuevas"/>
    <x v="11"/>
    <x v="19"/>
    <x v="12"/>
    <x v="11"/>
    <x v="10"/>
    <s v="VCLN02PMHY"/>
    <s v="Vta.Elect.Unid.Nuevas/Pto Montt/HYSTER"/>
    <s v="ELECTM/PTMONT/HYSTR"/>
  </r>
  <r>
    <x v="2"/>
    <s v="VC00"/>
    <s v="Vta. Electromovilidad Unidades Nuevas"/>
    <x v="14"/>
    <x v="20"/>
    <x v="12"/>
    <x v="11"/>
    <x v="10"/>
    <s v="VCLN02COHY"/>
    <s v="Vta.Elect.Unid.Nuevas/Coquimbo/HYSTER"/>
    <s v="ELECTM/COQUIM/HYSTR"/>
  </r>
  <r>
    <x v="2"/>
    <s v="VC00"/>
    <s v="Vta. Electromovilidad Unidades Nuevas"/>
    <x v="15"/>
    <x v="21"/>
    <x v="12"/>
    <x v="11"/>
    <x v="10"/>
    <s v="VCLN02OSHY"/>
    <s v="Vta.Elect.Unid.Nuevas/Osorno/HYSTER"/>
    <s v="ELECTM/OSORN/HYSTR"/>
  </r>
  <r>
    <x v="2"/>
    <s v="VC00"/>
    <s v="Vta. Electromovilidad Unidades Nuevas"/>
    <x v="8"/>
    <x v="14"/>
    <x v="16"/>
    <x v="15"/>
    <x v="14"/>
    <s v="VCLN02ANLG"/>
    <s v="Vta.Elect.UnidNuevas/Antofagasta/LIUGONG"/>
    <s v="ELECTM/ANTOF/LIUGN"/>
  </r>
  <r>
    <x v="2"/>
    <s v="VC00"/>
    <s v="Vta. Electromovilidad Unidades Nuevas"/>
    <x v="6"/>
    <x v="15"/>
    <x v="16"/>
    <x v="15"/>
    <x v="14"/>
    <s v="VCLN02QCLG"/>
    <s v="Vta.Elect.Unid.Nuevas/Quilicura/LIUGONG"/>
    <s v="ELECTM/QUILI/LIUGN"/>
  </r>
  <r>
    <x v="2"/>
    <s v="VC00"/>
    <s v="Vta. Electromovilidad Unidades Nuevas"/>
    <x v="10"/>
    <x v="16"/>
    <x v="16"/>
    <x v="15"/>
    <x v="14"/>
    <s v="VCLN02CULG"/>
    <s v="Vta.Elect.Unid.Nuevas/Curico/LIUGONG"/>
    <s v="ELECTM/CURIC/LIUGN"/>
  </r>
  <r>
    <x v="2"/>
    <s v="VC00"/>
    <s v="Vta. Electromovilidad Unidades Nuevas"/>
    <x v="12"/>
    <x v="17"/>
    <x v="16"/>
    <x v="15"/>
    <x v="14"/>
    <s v="VCLN02TALG"/>
    <s v="Vta.Elect.Unid.Nuevas/Talcahuano/LIUGONG"/>
    <s v="ELECTM/TALCHU/LIUGN"/>
  </r>
  <r>
    <x v="2"/>
    <s v="VC00"/>
    <s v="Vta. Electromovilidad Unidades Nuevas"/>
    <x v="9"/>
    <x v="18"/>
    <x v="16"/>
    <x v="15"/>
    <x v="14"/>
    <s v="VCLN02CALG"/>
    <s v="Vta.Elect.Unid.Nuevas/Calama/LIUGONG"/>
    <s v="ELECTM/CALAM/LIUGN"/>
  </r>
  <r>
    <x v="2"/>
    <s v="VC00"/>
    <s v="Vta. Electromovilidad Unidades Nuevas"/>
    <x v="11"/>
    <x v="19"/>
    <x v="16"/>
    <x v="15"/>
    <x v="14"/>
    <s v="VCLN02PMLG"/>
    <s v="VtaElect.UnidNuevas/Puerto Montt/LIUGONG"/>
    <s v="ELECTM/PTMONT/LIUGN"/>
  </r>
  <r>
    <x v="2"/>
    <s v="VC00"/>
    <s v="Vta. Electromovilidad Unidades Nuevas"/>
    <x v="14"/>
    <x v="20"/>
    <x v="16"/>
    <x v="15"/>
    <x v="14"/>
    <s v="VCLN02COLG"/>
    <s v="Vta.Elect.Unid.Nuevas/Coquimbo/LIUGONG"/>
    <s v="ELECTM/COQUIM/LIUGN"/>
  </r>
  <r>
    <x v="2"/>
    <s v="VC00"/>
    <s v="Vta. Electromovilidad Unidades Nuevas"/>
    <x v="15"/>
    <x v="21"/>
    <x v="16"/>
    <x v="15"/>
    <x v="14"/>
    <s v="VCLN02OSLG"/>
    <s v="Vta.Elect.Unid.Nuevas/Osorno/LIUGONG"/>
    <s v="ELECTM/OSORN/LIUGN"/>
  </r>
  <r>
    <x v="2"/>
    <s v="VC00"/>
    <s v="Vta. Electromovilidad Unidades Nuevas"/>
    <x v="8"/>
    <x v="14"/>
    <x v="14"/>
    <x v="13"/>
    <x v="12"/>
    <s v="VCLN02ANTB"/>
    <s v="Vta.Elect.UnidNuevas/Antofagasta/TERBERG"/>
    <s v="ELECTM/ANTOF/TERBG"/>
  </r>
  <r>
    <x v="2"/>
    <s v="VC00"/>
    <s v="Vta. Electromovilidad Unidades Nuevas"/>
    <x v="6"/>
    <x v="15"/>
    <x v="14"/>
    <x v="13"/>
    <x v="12"/>
    <s v="VCLN02QCTB"/>
    <s v="Vta.Elect.Unid.Nuevas/Quilicura/TERBERG"/>
    <s v="ELECTM/QUILI/TERBG"/>
  </r>
  <r>
    <x v="2"/>
    <s v="VC00"/>
    <s v="Vta. Electromovilidad Unidades Nuevas"/>
    <x v="10"/>
    <x v="16"/>
    <x v="14"/>
    <x v="13"/>
    <x v="12"/>
    <s v="VCLN02CUTB"/>
    <s v="Vta.Elect.Unid.Nuevas/Curico/TERBERG"/>
    <s v="ELECTM/CURIC/TERBG"/>
  </r>
  <r>
    <x v="2"/>
    <s v="VC00"/>
    <s v="Vta. Electromovilidad Unidades Nuevas"/>
    <x v="12"/>
    <x v="17"/>
    <x v="14"/>
    <x v="13"/>
    <x v="12"/>
    <s v="VCLN02TATB"/>
    <s v="Vta.Elect.Unid.Nuevas/Talcahuano/TERBERG"/>
    <s v="ELECTM/TALCHU/TERBG"/>
  </r>
  <r>
    <x v="2"/>
    <s v="VC00"/>
    <s v="Vta. Electromovilidad Unidades Nuevas"/>
    <x v="9"/>
    <x v="18"/>
    <x v="14"/>
    <x v="13"/>
    <x v="12"/>
    <s v="VCLN02CATB"/>
    <s v="Vta.Elect.Unid.Nuevas/Calama/TERBERG"/>
    <s v="ELECTM/CALAM/TERBG"/>
  </r>
  <r>
    <x v="2"/>
    <s v="VC00"/>
    <s v="Vta. Electromovilidad Unidades Nuevas"/>
    <x v="11"/>
    <x v="19"/>
    <x v="14"/>
    <x v="13"/>
    <x v="12"/>
    <s v="VCLN02PMTB"/>
    <s v="VtaElect.UnidNuevas/Puerto Montt/TERBERG"/>
    <s v="ELECTM/PTMONT/TERBG"/>
  </r>
  <r>
    <x v="2"/>
    <s v="VC00"/>
    <s v="Vta. Electromovilidad Unidades Nuevas"/>
    <x v="14"/>
    <x v="20"/>
    <x v="14"/>
    <x v="13"/>
    <x v="12"/>
    <s v="VCLN02COTB"/>
    <s v="Vta.Elect.Unid.Nuevas/Coquimbo/TERBERG"/>
    <s v="ELECTM/COQUIM/TERBG"/>
  </r>
  <r>
    <x v="2"/>
    <s v="VC00"/>
    <s v="Vta. Electromovilidad Unidades Nuevas"/>
    <x v="15"/>
    <x v="21"/>
    <x v="14"/>
    <x v="13"/>
    <x v="12"/>
    <s v="VCLN02OSTB"/>
    <s v="Vta.Elect.Unid.Nuevas/Osorno/TERBERG"/>
    <s v="ELECTM/OSORN/TERBG"/>
  </r>
  <r>
    <x v="2"/>
    <s v="VC00"/>
    <s v="Vta. Electromovilidad Unidades Nuevas"/>
    <x v="8"/>
    <x v="14"/>
    <x v="15"/>
    <x v="14"/>
    <x v="13"/>
    <s v="VCLN02ANMA"/>
    <s v="VtaElect.UnidNuevas/Antofagasta/MAXIMAL"/>
    <s v="ELECTM/ANTOF/MAXML"/>
  </r>
  <r>
    <x v="2"/>
    <s v="VC00"/>
    <s v="Vta. Electromovilidad Unidades Nuevas"/>
    <x v="6"/>
    <x v="15"/>
    <x v="15"/>
    <x v="14"/>
    <x v="13"/>
    <s v="VCLN02QCMA"/>
    <s v="Vta.Elect.Unid.Nuevas/Quilicura/MAXIMAL"/>
    <s v="ELECTM/QUILI/MAXML"/>
  </r>
  <r>
    <x v="2"/>
    <s v="VC00"/>
    <s v="Vta. Electromovilidad Unidades Nuevas"/>
    <x v="10"/>
    <x v="16"/>
    <x v="15"/>
    <x v="14"/>
    <x v="13"/>
    <s v="VCLN02CUMA"/>
    <s v="Vta.Elect.Unid.Nuevas/Curico/MAXIMAL"/>
    <s v="ELECTM/CURIC/MAXML"/>
  </r>
  <r>
    <x v="2"/>
    <s v="VC00"/>
    <s v="Vta. Electromovilidad Unidades Nuevas"/>
    <x v="12"/>
    <x v="17"/>
    <x v="15"/>
    <x v="14"/>
    <x v="13"/>
    <s v="VCLN02TAMA"/>
    <s v="Vta.Elect.Unid.Nuevas/Talcahuano/MAXIMAL"/>
    <s v="ELECTM/TALCHU/MAXML"/>
  </r>
  <r>
    <x v="2"/>
    <s v="VC00"/>
    <s v="Vta. Electromovilidad Unidades Nuevas"/>
    <x v="9"/>
    <x v="18"/>
    <x v="15"/>
    <x v="14"/>
    <x v="13"/>
    <s v="VCLN02CAMA"/>
    <s v="Vta.Elect.Unid.Nuevas/Calama/MAXIMAL"/>
    <s v="ELECTM/CALAM/MAXML"/>
  </r>
  <r>
    <x v="2"/>
    <s v="VC00"/>
    <s v="Vta. Electromovilidad Unidades Nuevas"/>
    <x v="11"/>
    <x v="19"/>
    <x v="15"/>
    <x v="14"/>
    <x v="13"/>
    <s v="VCLN02PMMA"/>
    <s v="VtaElect.UnidNuevas/Puerto Montt/MAXIMAL"/>
    <s v="ELECTM/PTMONT/MAXML"/>
  </r>
  <r>
    <x v="2"/>
    <s v="VC00"/>
    <s v="Vta. Electromovilidad Unidades Nuevas"/>
    <x v="14"/>
    <x v="20"/>
    <x v="15"/>
    <x v="14"/>
    <x v="13"/>
    <s v="VCLN02COMA"/>
    <s v="Vta.Elect.Unid.Nuevas/Coquimbo/MAXIMAL"/>
    <s v="ELECTM/COQUIM/MAXML"/>
  </r>
  <r>
    <x v="2"/>
    <s v="VC00"/>
    <s v="Vta. Electromovilidad Unidades Nuevas"/>
    <x v="15"/>
    <x v="21"/>
    <x v="15"/>
    <x v="14"/>
    <x v="13"/>
    <s v="VCLN02OSMA"/>
    <s v="Vta.Elect.Unid.Nuevas/Osorno/MAXIMAL"/>
    <s v="ELECTM/OSORN/MAXML"/>
  </r>
  <r>
    <x v="3"/>
    <s v="VD00"/>
    <s v="Venta Repuesto"/>
    <x v="8"/>
    <x v="22"/>
    <x v="16"/>
    <x v="15"/>
    <x v="14"/>
    <s v="VDLN03ANLG"/>
    <s v="Venta Repuesto/Antofagasta/LIUGONG"/>
    <s v="RPTO/ANTOF/LIUGN"/>
  </r>
  <r>
    <x v="3"/>
    <s v="VD00"/>
    <s v="Venta Servicio"/>
    <x v="8"/>
    <x v="22"/>
    <x v="16"/>
    <x v="15"/>
    <x v="14"/>
    <s v="VDLN04ANLG"/>
    <s v="Venta Servicio/Antofagasta/LIUGONG"/>
    <s v="SERV/ANTOF/LIUGN"/>
  </r>
  <r>
    <x v="3"/>
    <s v="VD00"/>
    <s v="Rental Construcción"/>
    <x v="8"/>
    <x v="22"/>
    <x v="16"/>
    <x v="15"/>
    <x v="14"/>
    <s v="VDLN71ANLG"/>
    <s v="Rental Construcción/Antofagasta/LIUGONG"/>
    <s v="RNTCONS/ANTOF/LIUGN"/>
  </r>
  <r>
    <x v="3"/>
    <s v="VD00"/>
    <s v="Usados, Retoma, y AF"/>
    <x v="8"/>
    <x v="22"/>
    <x v="16"/>
    <x v="15"/>
    <x v="14"/>
    <s v="VDLN05ANLG"/>
    <s v="Usados, Retoma, y AF/Antofagasta/LIUGONG"/>
    <s v="USADOS/ANTOF/LIUGN"/>
  </r>
  <r>
    <x v="3"/>
    <s v="VD00"/>
    <s v="Venta Repuesto"/>
    <x v="6"/>
    <x v="23"/>
    <x v="16"/>
    <x v="15"/>
    <x v="14"/>
    <s v="VDLN03QCLG"/>
    <s v="Venta Repuesto/Quilicura/LIUGONG"/>
    <s v="RPTO/QUILI/LIUGN"/>
  </r>
  <r>
    <x v="3"/>
    <s v="VD00"/>
    <s v="Venta Servicio"/>
    <x v="6"/>
    <x v="23"/>
    <x v="16"/>
    <x v="15"/>
    <x v="14"/>
    <s v="VDLN04QCLG"/>
    <s v="Venta Servicio/Quilicura/LIUGONG"/>
    <s v="SERV/QUILI/LIUGN"/>
  </r>
  <r>
    <x v="3"/>
    <s v="VD00"/>
    <s v="Rental Construcción"/>
    <x v="6"/>
    <x v="23"/>
    <x v="16"/>
    <x v="15"/>
    <x v="14"/>
    <s v="VDLN71QCLG"/>
    <s v="Rental Construcción/Quilicura/LIUGONG"/>
    <s v="RNTCONS/QUILI/LIUGN"/>
  </r>
  <r>
    <x v="3"/>
    <s v="VD00"/>
    <s v="Usados, Retoma, y AF"/>
    <x v="6"/>
    <x v="23"/>
    <x v="16"/>
    <x v="15"/>
    <x v="14"/>
    <s v="VDLN05QCLG"/>
    <s v="Usados, Retoma, y AF/Quilicura/LIUGONG"/>
    <s v="USADOS/QUILI/LIUGN"/>
  </r>
  <r>
    <x v="3"/>
    <s v="VD00"/>
    <s v="Venta Repuesto"/>
    <x v="10"/>
    <x v="24"/>
    <x v="16"/>
    <x v="15"/>
    <x v="14"/>
    <s v="VDLN03CULG"/>
    <s v="Venta Repuesto/Curico/LIUGONG"/>
    <s v="RPTO/CURIC/LIUGN"/>
  </r>
  <r>
    <x v="3"/>
    <s v="VD00"/>
    <s v="Venta Servicio"/>
    <x v="10"/>
    <x v="24"/>
    <x v="16"/>
    <x v="15"/>
    <x v="14"/>
    <s v="VDLN04CULG"/>
    <s v="Venta Servicio/Curico/LIUGONG"/>
    <s v="SERV/CURIC/LIUGN"/>
  </r>
  <r>
    <x v="3"/>
    <s v="VD00"/>
    <s v="Rental Construcción"/>
    <x v="10"/>
    <x v="24"/>
    <x v="16"/>
    <x v="15"/>
    <x v="14"/>
    <s v="VDLN71CULG"/>
    <s v="Rental Construcción/Curico/LIUGONG"/>
    <s v="RNTCONS/CURIC/LIUGN"/>
  </r>
  <r>
    <x v="3"/>
    <s v="VD00"/>
    <s v="Usados, Retoma, y AF"/>
    <x v="10"/>
    <x v="24"/>
    <x v="16"/>
    <x v="15"/>
    <x v="14"/>
    <s v="VDLN05CULG"/>
    <s v="Usados, Retoma, y AF/Curico/LIUGONG"/>
    <s v="USADOS/CURIC/LIUGN"/>
  </r>
  <r>
    <x v="3"/>
    <s v="VD00"/>
    <s v="Venta Repuesto"/>
    <x v="12"/>
    <x v="25"/>
    <x v="16"/>
    <x v="15"/>
    <x v="14"/>
    <s v="VDLN03TALG"/>
    <s v="Venta Repuesto/Talcahuano/LIUGONG"/>
    <s v="RPTO/TALCHU/LIUGN"/>
  </r>
  <r>
    <x v="3"/>
    <s v="VD00"/>
    <s v="Venta Servicio"/>
    <x v="12"/>
    <x v="25"/>
    <x v="16"/>
    <x v="15"/>
    <x v="14"/>
    <s v="VDLN04TALG"/>
    <s v="Venta Servicio/Talcahuano/LIUGONG"/>
    <s v="SERV/TALCHU/LIUGN"/>
  </r>
  <r>
    <x v="3"/>
    <s v="VD00"/>
    <s v="Rental Construcción"/>
    <x v="12"/>
    <x v="25"/>
    <x v="16"/>
    <x v="15"/>
    <x v="14"/>
    <s v="VDLN71TALG"/>
    <s v="Rental Construcción/Talcahuano/LIUGONG"/>
    <s v="RNTCONS/TALCHU/LIUGN"/>
  </r>
  <r>
    <x v="3"/>
    <s v="VD00"/>
    <s v="Usados, Retoma, y AF"/>
    <x v="12"/>
    <x v="25"/>
    <x v="16"/>
    <x v="15"/>
    <x v="14"/>
    <s v="VDLN05TALG"/>
    <s v="Usados, Retoma, y AF/Talcahuano/LIUGONG"/>
    <s v="USADOS/TALCHU/LIUGN"/>
  </r>
  <r>
    <x v="3"/>
    <s v="VD00"/>
    <s v="Venta Repuesto"/>
    <x v="9"/>
    <x v="26"/>
    <x v="16"/>
    <x v="15"/>
    <x v="14"/>
    <s v="VDLN03CALG"/>
    <s v="Venta Repuesto/Calama/LIUGONG"/>
    <s v="RPTO/CALAM/LIUGN"/>
  </r>
  <r>
    <x v="3"/>
    <s v="VD00"/>
    <s v="Venta Servicio"/>
    <x v="9"/>
    <x v="26"/>
    <x v="16"/>
    <x v="15"/>
    <x v="14"/>
    <s v="VDLN04CALG"/>
    <s v="Venta Servicio/Calama/LIUGONG"/>
    <s v="SERV/CALAM/LIUGN"/>
  </r>
  <r>
    <x v="3"/>
    <s v="VD00"/>
    <s v="Rental Construcción"/>
    <x v="9"/>
    <x v="26"/>
    <x v="16"/>
    <x v="15"/>
    <x v="14"/>
    <s v="VDLN71CALG"/>
    <s v="Rental Construcción/Calama/LIUGONG"/>
    <s v="RNTCONS/CALAM/LIUGN"/>
  </r>
  <r>
    <x v="3"/>
    <s v="VD00"/>
    <s v="Usados, Retoma, y AF"/>
    <x v="9"/>
    <x v="26"/>
    <x v="16"/>
    <x v="15"/>
    <x v="14"/>
    <s v="VDLN05CALG"/>
    <s v="Usados, Retoma, y AF/Calama/LIUGONG"/>
    <s v="USADOS/CALAM/LIUGN"/>
  </r>
  <r>
    <x v="3"/>
    <s v="VD00"/>
    <s v="Venta Repuesto"/>
    <x v="11"/>
    <x v="27"/>
    <x v="16"/>
    <x v="15"/>
    <x v="14"/>
    <s v="VDLN03PMLG"/>
    <s v="Venta Repuesto/Puerto Montt/LIUGONG"/>
    <s v="RPTO/PTMONT/LIUGN"/>
  </r>
  <r>
    <x v="3"/>
    <s v="VD00"/>
    <s v="Venta Servicio"/>
    <x v="11"/>
    <x v="27"/>
    <x v="16"/>
    <x v="15"/>
    <x v="14"/>
    <s v="VDLN04PMLG"/>
    <s v="Venta Servicio/Puerto Montt/LIUGONG"/>
    <s v="SERV/PTMONT/LIUGN"/>
  </r>
  <r>
    <x v="3"/>
    <s v="VD00"/>
    <s v="Rental Construcción"/>
    <x v="11"/>
    <x v="27"/>
    <x v="16"/>
    <x v="15"/>
    <x v="14"/>
    <s v="VDLN71PMLG"/>
    <s v="Rental Construcción/Puerto Montt/LIUGONG"/>
    <s v="RNTCONS/PTMONT/LIUGN"/>
  </r>
  <r>
    <x v="3"/>
    <s v="VD00"/>
    <s v="Usados, Retoma, y AF"/>
    <x v="11"/>
    <x v="27"/>
    <x v="16"/>
    <x v="15"/>
    <x v="14"/>
    <s v="VDLN05PMLG"/>
    <s v="Usados AF/Puerto Montt/LIUGONG"/>
    <s v="USADOS/PTMONT/LIUGN"/>
  </r>
  <r>
    <x v="3"/>
    <s v="VD00"/>
    <s v="Venta Repuesto"/>
    <x v="14"/>
    <x v="28"/>
    <x v="16"/>
    <x v="15"/>
    <x v="14"/>
    <s v="VDLN03COLG"/>
    <s v="Venta Repuesto/Coquimbo/LIUGONG"/>
    <s v="RPTO/COQUIM/LIUGN"/>
  </r>
  <r>
    <x v="3"/>
    <s v="VD00"/>
    <s v="Venta Servicio"/>
    <x v="14"/>
    <x v="28"/>
    <x v="16"/>
    <x v="15"/>
    <x v="14"/>
    <s v="VDLN04COLG"/>
    <s v="Venta Servicio/Coquimbo/LIUGONG"/>
    <s v="SERV/COQUIM/LIUGN"/>
  </r>
  <r>
    <x v="3"/>
    <s v="VD00"/>
    <s v="Rental Construcción"/>
    <x v="14"/>
    <x v="28"/>
    <x v="16"/>
    <x v="15"/>
    <x v="14"/>
    <s v="VDLN71COLG"/>
    <s v="Rental Construcción/Coquimbo/LIUGONG"/>
    <s v="RNTCONS/COQUIM/LIUGN"/>
  </r>
  <r>
    <x v="3"/>
    <s v="VD00"/>
    <s v="Usados, Retoma, y AF"/>
    <x v="14"/>
    <x v="28"/>
    <x v="16"/>
    <x v="15"/>
    <x v="14"/>
    <s v="VDLN05COLG"/>
    <s v="Usados, Retoma, y AF/Coquimbo/LIUGONG"/>
    <s v="USADOS/COQUIM/LIUGN"/>
  </r>
  <r>
    <x v="3"/>
    <s v="VD00"/>
    <s v="Venta Repuesto"/>
    <x v="15"/>
    <x v="29"/>
    <x v="16"/>
    <x v="15"/>
    <x v="14"/>
    <s v="VDLN03OSLG"/>
    <s v="Venta Repuesto/Osorno/LIUGONG"/>
    <s v="RPTO/OSORN/LIUGN"/>
  </r>
  <r>
    <x v="3"/>
    <s v="VD00"/>
    <s v="Venta Servicio"/>
    <x v="15"/>
    <x v="29"/>
    <x v="16"/>
    <x v="15"/>
    <x v="14"/>
    <s v="VDLN04OSLG"/>
    <s v="Venta Servicio/Osorno/LIUGONG"/>
    <s v="SERV/OSORN/LIUGN"/>
  </r>
  <r>
    <x v="3"/>
    <s v="VD00"/>
    <s v="Rental Construcción"/>
    <x v="15"/>
    <x v="29"/>
    <x v="16"/>
    <x v="15"/>
    <x v="14"/>
    <s v="VDLN71OSLG"/>
    <s v="Rental Construcción/Osorno/LIUGONG"/>
    <s v="RNTCONS/OSORN/LIUGN"/>
  </r>
  <r>
    <x v="3"/>
    <s v="VD00"/>
    <s v="Usados, Retoma, y AF"/>
    <x v="15"/>
    <x v="29"/>
    <x v="16"/>
    <x v="15"/>
    <x v="14"/>
    <s v="VDLN05OSLG"/>
    <s v="Usados, Retoma, y AF/Osorno/LIUGONG"/>
    <s v="USADOS/OSORN/LIUGN"/>
  </r>
  <r>
    <x v="3"/>
    <s v="VD00"/>
    <s v="Vta. Unidades Nuevas"/>
    <x v="8"/>
    <x v="22"/>
    <x v="16"/>
    <x v="15"/>
    <x v="14"/>
    <s v="VDLN01ANLG"/>
    <s v="Vta. Unidades Nuevas/Antofagasta/LIUGONG"/>
    <s v="VTAUNID/ANTOF/LIUGN"/>
  </r>
  <r>
    <x v="3"/>
    <s v="VD00"/>
    <s v="Vta. Unidades Nuevas"/>
    <x v="6"/>
    <x v="23"/>
    <x v="16"/>
    <x v="15"/>
    <x v="14"/>
    <s v="VDLN01QCLG"/>
    <s v="Vta. Unidades Nuevas/Quilicura/LIUGONG"/>
    <s v="VTAUNID/QUILI/LIUGN"/>
  </r>
  <r>
    <x v="3"/>
    <s v="VD00"/>
    <s v="Vta. Unidades Nuevas"/>
    <x v="10"/>
    <x v="24"/>
    <x v="16"/>
    <x v="15"/>
    <x v="14"/>
    <s v="VDLN01CULG"/>
    <s v="Vta. Unidades Nuevas/Curico/LIUGONG"/>
    <s v="VTAUNID/CURIC/LIUGN"/>
  </r>
  <r>
    <x v="3"/>
    <s v="VD00"/>
    <s v="Vta. Unidades Nuevas"/>
    <x v="12"/>
    <x v="25"/>
    <x v="16"/>
    <x v="15"/>
    <x v="14"/>
    <s v="VDLN01TALG"/>
    <s v="Vta. Unidades Nuevas/Talcahuano/LIUGONG"/>
    <s v="VTAUNID/TALCHU/LIUGN"/>
  </r>
  <r>
    <x v="3"/>
    <s v="VD00"/>
    <s v="Vta. Unidades Nuevas"/>
    <x v="9"/>
    <x v="26"/>
    <x v="16"/>
    <x v="15"/>
    <x v="14"/>
    <s v="VDLN01CALG"/>
    <s v="Vta. Unidades Nuevas/Calama/LIUGONG"/>
    <s v="VTAUNID/CALAM/LIUGN"/>
  </r>
  <r>
    <x v="3"/>
    <s v="VD00"/>
    <s v="Vta. Unidades Nuevas"/>
    <x v="11"/>
    <x v="27"/>
    <x v="16"/>
    <x v="15"/>
    <x v="14"/>
    <s v="VDLN01PMLG"/>
    <s v="Vta. Unid. Nuevas/Puerto Montt/LIUGONG"/>
    <s v="VTAUNID/PTMONT/LIUGN"/>
  </r>
  <r>
    <x v="3"/>
    <s v="VD00"/>
    <s v="Vta. Unidades Nuevas"/>
    <x v="14"/>
    <x v="28"/>
    <x v="16"/>
    <x v="15"/>
    <x v="14"/>
    <s v="VDLN01COLG"/>
    <s v="Vta. Unidades Nuevas/Coquimbo/LIUGONG"/>
    <s v="VTAUNID/COQUIM/LIUGN"/>
  </r>
  <r>
    <x v="3"/>
    <s v="VD00"/>
    <s v="Vta. Unidades Nuevas"/>
    <x v="15"/>
    <x v="29"/>
    <x v="16"/>
    <x v="15"/>
    <x v="14"/>
    <s v="VDLN01OSLG"/>
    <s v="Vta. Unidades Nuevas/Osorno/LIUGONG"/>
    <s v="VTAUNID/OSORN/LIUGN"/>
  </r>
  <r>
    <x v="3"/>
    <s v="VD00"/>
    <s v="Vta. Electromovilidad Unidades Nuevas"/>
    <x v="8"/>
    <x v="22"/>
    <x v="16"/>
    <x v="15"/>
    <x v="14"/>
    <s v="VDLN02ANLG"/>
    <s v="Vta.Elect.UnidNuevas/Antofagasta/LIUGONG"/>
    <s v="ELECTM/ANTOF/LIUGN"/>
  </r>
  <r>
    <x v="3"/>
    <s v="VD00"/>
    <s v="Vta. Electromovilidad Unidades Nuevas"/>
    <x v="6"/>
    <x v="23"/>
    <x v="16"/>
    <x v="15"/>
    <x v="14"/>
    <s v="VDLN02QCLG"/>
    <s v="Vta.Elect.Unid.Nuevas/Quilicura/LIUGONG"/>
    <s v="ELECTM/QUILI/LIUGN"/>
  </r>
  <r>
    <x v="3"/>
    <s v="VD00"/>
    <s v="Vta. Electromovilidad Unidades Nuevas"/>
    <x v="10"/>
    <x v="24"/>
    <x v="16"/>
    <x v="15"/>
    <x v="14"/>
    <s v="VDLN02CULG"/>
    <s v="Vta.Elect.Unid.Nuevas/Curico/LIUGONG"/>
    <s v="ELECTM/CURIC/LIUGN"/>
  </r>
  <r>
    <x v="3"/>
    <s v="VD00"/>
    <s v="Vta. Electromovilidad Unidades Nuevas"/>
    <x v="12"/>
    <x v="25"/>
    <x v="16"/>
    <x v="15"/>
    <x v="14"/>
    <s v="VDLN02TALG"/>
    <s v="Vta.Elect.Unid.Nuevas/Talcahuano/LIUGONG"/>
    <s v="ELECTM/TALCHU/LIUGN"/>
  </r>
  <r>
    <x v="3"/>
    <s v="VD00"/>
    <s v="Vta. Electromovilidad Unidades Nuevas"/>
    <x v="9"/>
    <x v="26"/>
    <x v="16"/>
    <x v="15"/>
    <x v="14"/>
    <s v="VDLN02CALG"/>
    <s v="Vta.Elect.Unid.Nuevas/Calama/LIUGONG"/>
    <s v="ELECTM/CALAM/LIUGN"/>
  </r>
  <r>
    <x v="3"/>
    <s v="VD00"/>
    <s v="Vta. Electromovilidad Unidades Nuevas"/>
    <x v="11"/>
    <x v="27"/>
    <x v="16"/>
    <x v="15"/>
    <x v="14"/>
    <s v="VDLN02PMLG"/>
    <s v="VtaElect.UnidNuevas/Puerto Montt/LIUGONG"/>
    <s v="ELECTM/PTMONT/LIUGN"/>
  </r>
  <r>
    <x v="3"/>
    <s v="VD00"/>
    <s v="Vta. Electromovilidad Unidades Nuevas"/>
    <x v="14"/>
    <x v="28"/>
    <x v="16"/>
    <x v="15"/>
    <x v="14"/>
    <s v="VDLN02COLG"/>
    <s v="Vta.Elect.Unid.Nuevas/Coquimbo/LIUGONG"/>
    <s v="ELECTM/COQUIM/LIUGN"/>
  </r>
  <r>
    <x v="3"/>
    <s v="VD00"/>
    <s v="Vta. Electromovilidad Unidades Nuevas"/>
    <x v="15"/>
    <x v="29"/>
    <x v="16"/>
    <x v="15"/>
    <x v="14"/>
    <s v="VDLN02OSLG"/>
    <s v="Vta.Elect.Unid.Nuevas/Osorno/LIUGONG"/>
    <s v="ELECTM/OSORN/LIUGN"/>
  </r>
  <r>
    <x v="4"/>
    <s v="VE00"/>
    <s v="Venta Repuesto"/>
    <x v="8"/>
    <x v="30"/>
    <x v="15"/>
    <x v="14"/>
    <x v="13"/>
    <s v="VELN03ANMA"/>
    <s v="Venta Repuesto/Antofagasta/MAXIMAL"/>
    <s v="RPTO/ANTOF/MAXML"/>
  </r>
  <r>
    <x v="4"/>
    <s v="VE00"/>
    <s v="Venta Servicio"/>
    <x v="8"/>
    <x v="30"/>
    <x v="15"/>
    <x v="14"/>
    <x v="13"/>
    <s v="VELN04ANMA"/>
    <s v="Venta Servicio/Antofagasta/MAXIMAL"/>
    <s v="SERV/ANTOF/MAXML"/>
  </r>
  <r>
    <x v="4"/>
    <s v="VE00"/>
    <s v="Rental Gruas"/>
    <x v="8"/>
    <x v="30"/>
    <x v="15"/>
    <x v="14"/>
    <x v="13"/>
    <s v="VELN72ANMA"/>
    <s v="Rental Gruas/Antofagasta/MAXIMAL"/>
    <s v="RNTGRUA/ANTOF/MAXML"/>
  </r>
  <r>
    <x v="4"/>
    <s v="VE00"/>
    <s v="Usados, Retoma, y AF"/>
    <x v="8"/>
    <x v="30"/>
    <x v="15"/>
    <x v="14"/>
    <x v="13"/>
    <s v="VELN05ANMA"/>
    <s v="Usados, Retoma, y AF/Antofagasta/MAXIMAL"/>
    <s v="USADOS/ANTOF/MAXML"/>
  </r>
  <r>
    <x v="4"/>
    <s v="VE00"/>
    <s v="Venta Repuesto"/>
    <x v="6"/>
    <x v="30"/>
    <x v="15"/>
    <x v="14"/>
    <x v="13"/>
    <s v="VELN03QCMA"/>
    <s v="Venta Repuesto/Quilicura/MAXIMAL"/>
    <s v="RPTO/QUILI/MAXML"/>
  </r>
  <r>
    <x v="4"/>
    <s v="VE00"/>
    <s v="Venta Servicio"/>
    <x v="6"/>
    <x v="30"/>
    <x v="15"/>
    <x v="14"/>
    <x v="13"/>
    <s v="VELN04QCMA"/>
    <s v="Venta Servicio/Quilicura/MAXIMAL"/>
    <s v="SERV/QUILI/MAXML"/>
  </r>
  <r>
    <x v="4"/>
    <s v="VE00"/>
    <s v="Rental Gruas"/>
    <x v="6"/>
    <x v="30"/>
    <x v="15"/>
    <x v="14"/>
    <x v="13"/>
    <s v="VELN72QCMA"/>
    <s v="Rental Gruas/Quilicura/MAXIMAL"/>
    <s v="RNTGRUA/QUILI/MAXML"/>
  </r>
  <r>
    <x v="4"/>
    <s v="VE00"/>
    <s v="Usados, Retoma, y AF"/>
    <x v="6"/>
    <x v="30"/>
    <x v="15"/>
    <x v="14"/>
    <x v="13"/>
    <s v="VELN05QCMA"/>
    <s v="Usados, Retoma, y AF/Quilicura/MAXIMAL"/>
    <s v="USADOS/QUILI/MAXML"/>
  </r>
  <r>
    <x v="4"/>
    <s v="VE00"/>
    <s v="Venta Repuesto"/>
    <x v="10"/>
    <x v="30"/>
    <x v="15"/>
    <x v="14"/>
    <x v="13"/>
    <s v="VELN03CUMA"/>
    <s v="Venta Repuesto/Curico/MAXIMAL"/>
    <s v="RPTO/CURIC/MAXML"/>
  </r>
  <r>
    <x v="4"/>
    <s v="VE00"/>
    <s v="Venta Servicio"/>
    <x v="10"/>
    <x v="30"/>
    <x v="15"/>
    <x v="14"/>
    <x v="13"/>
    <s v="VELN04CUMA"/>
    <s v="Venta Servicio/Curico/MAXIMAL"/>
    <s v="SERV/CURIC/MAXML"/>
  </r>
  <r>
    <x v="4"/>
    <s v="VE00"/>
    <s v="Rental Gruas"/>
    <x v="10"/>
    <x v="30"/>
    <x v="15"/>
    <x v="14"/>
    <x v="13"/>
    <s v="VELN72CUMA"/>
    <s v="Rental Gruas/Curico/MAXIMAL"/>
    <s v="RNTGRUA/CURIC/MAXML"/>
  </r>
  <r>
    <x v="4"/>
    <s v="VE00"/>
    <s v="Usados, Retoma, y AF"/>
    <x v="10"/>
    <x v="30"/>
    <x v="15"/>
    <x v="14"/>
    <x v="13"/>
    <s v="VELN05CUMA"/>
    <s v="Usados, Retoma, y AF/Curico/MAXIMAL"/>
    <s v="USADOS/CURIC/MAXML"/>
  </r>
  <r>
    <x v="4"/>
    <s v="VE00"/>
    <s v="Venta Repuesto"/>
    <x v="12"/>
    <x v="30"/>
    <x v="15"/>
    <x v="14"/>
    <x v="13"/>
    <s v="VELN03TAMA"/>
    <s v="Venta Repuesto/Talcahuano/MAXIMAL"/>
    <s v="RPTO/TALCHU/MAXML"/>
  </r>
  <r>
    <x v="4"/>
    <s v="VE00"/>
    <s v="Venta Servicio"/>
    <x v="12"/>
    <x v="30"/>
    <x v="15"/>
    <x v="14"/>
    <x v="13"/>
    <s v="VELN04TAMA"/>
    <s v="Venta Servicio/Talcahuano/MAXIMAL"/>
    <s v="SERV/TALCHU/MAXML"/>
  </r>
  <r>
    <x v="4"/>
    <s v="VE00"/>
    <s v="Rental Gruas"/>
    <x v="12"/>
    <x v="30"/>
    <x v="15"/>
    <x v="14"/>
    <x v="13"/>
    <s v="VELN72TAMA"/>
    <s v="Rental Gruas/Talcahuano/MAXIMAL"/>
    <s v="RNTGRUA/TALCHU/MAXML"/>
  </r>
  <r>
    <x v="4"/>
    <s v="VE00"/>
    <s v="Usados, Retoma, y AF"/>
    <x v="12"/>
    <x v="30"/>
    <x v="15"/>
    <x v="14"/>
    <x v="13"/>
    <s v="VELN05TAMA"/>
    <s v="Usados, Retoma, y AF/Talcahuano/MAXIMAL"/>
    <s v="USADOS/TALCHU/MAXML"/>
  </r>
  <r>
    <x v="4"/>
    <s v="VE00"/>
    <s v="Venta Repuesto"/>
    <x v="9"/>
    <x v="30"/>
    <x v="15"/>
    <x v="14"/>
    <x v="13"/>
    <s v="VELN03CAMA"/>
    <s v="Venta Repuesto/Calama/MAXIMAL"/>
    <s v="RPTO/CALAM/MAXML"/>
  </r>
  <r>
    <x v="4"/>
    <s v="VE00"/>
    <s v="Venta Servicio"/>
    <x v="9"/>
    <x v="30"/>
    <x v="15"/>
    <x v="14"/>
    <x v="13"/>
    <s v="VELN04CAMA"/>
    <s v="Venta Servicio/Calama/MAXIMAL"/>
    <s v="SERV/CALAM/MAXML"/>
  </r>
  <r>
    <x v="4"/>
    <s v="VE00"/>
    <s v="Rental Gruas"/>
    <x v="9"/>
    <x v="30"/>
    <x v="15"/>
    <x v="14"/>
    <x v="13"/>
    <s v="VELN72CAMA"/>
    <s v="Rental Gruas/Calama/MAXIMAL"/>
    <s v="RNTGRUA/CALAM/MAXML"/>
  </r>
  <r>
    <x v="4"/>
    <s v="VE00"/>
    <s v="Usados, Retoma, y AF"/>
    <x v="9"/>
    <x v="30"/>
    <x v="15"/>
    <x v="14"/>
    <x v="13"/>
    <s v="VELN05CAMA"/>
    <s v="Usados, Retoma, y AF/Calama/MAXIMAL"/>
    <s v="USADOS/CALAM/MAXML"/>
  </r>
  <r>
    <x v="4"/>
    <s v="VE00"/>
    <s v="Venta Repuesto"/>
    <x v="11"/>
    <x v="30"/>
    <x v="15"/>
    <x v="14"/>
    <x v="13"/>
    <s v="VELN03PMMA"/>
    <s v="Venta Repuesto/Puerto Montt/MAXIMAL"/>
    <s v="RPTO/PTMONT/MAXML"/>
  </r>
  <r>
    <x v="4"/>
    <s v="VE00"/>
    <s v="Venta Servicio"/>
    <x v="11"/>
    <x v="30"/>
    <x v="15"/>
    <x v="14"/>
    <x v="13"/>
    <s v="VELN04PMMA"/>
    <s v="Venta Servicio/Puerto Montt/MAXIMAL"/>
    <s v="SERV/PTMONT/MAXML"/>
  </r>
  <r>
    <x v="4"/>
    <s v="VE00"/>
    <s v="Rental Gruas"/>
    <x v="11"/>
    <x v="30"/>
    <x v="15"/>
    <x v="14"/>
    <x v="13"/>
    <s v="VELN72PMMA"/>
    <s v="Rental Gruas/Puerto Montt/MAXIMAL"/>
    <s v="RNTGRUA/PTMONT/MAXML"/>
  </r>
  <r>
    <x v="4"/>
    <s v="VE00"/>
    <s v="Usados, Retoma, y AF"/>
    <x v="11"/>
    <x v="30"/>
    <x v="15"/>
    <x v="14"/>
    <x v="13"/>
    <s v="VELN05PMMA"/>
    <s v="Usados AF/Puerto Montt/MAXIMAL"/>
    <s v="USADOS/PTMONT/MAXML"/>
  </r>
  <r>
    <x v="4"/>
    <s v="VE00"/>
    <s v="Venta Repuesto"/>
    <x v="14"/>
    <x v="30"/>
    <x v="15"/>
    <x v="14"/>
    <x v="13"/>
    <s v="VELN03COMA"/>
    <s v="Venta Repuesto/Coquimbo/MAXIMAL"/>
    <s v="RPTO/COQUIM/MAXML"/>
  </r>
  <r>
    <x v="4"/>
    <s v="VE00"/>
    <s v="Venta Servicio"/>
    <x v="14"/>
    <x v="30"/>
    <x v="15"/>
    <x v="14"/>
    <x v="13"/>
    <s v="VELN04COMA"/>
    <s v="Venta Servicio/Coquimbo/MAXIMAL"/>
    <s v="SERV/COQUIM/MAXML"/>
  </r>
  <r>
    <x v="4"/>
    <s v="VE00"/>
    <s v="Rental Gruas"/>
    <x v="14"/>
    <x v="30"/>
    <x v="15"/>
    <x v="14"/>
    <x v="13"/>
    <s v="VELN72COMA"/>
    <s v="Rental Gruas/Coquimbo/MAXIMAL"/>
    <s v="RNTGRUA/COQUIM/MAXML"/>
  </r>
  <r>
    <x v="4"/>
    <s v="VE00"/>
    <s v="Usados, Retoma, y AF"/>
    <x v="14"/>
    <x v="30"/>
    <x v="15"/>
    <x v="14"/>
    <x v="13"/>
    <s v="VELN05COMA"/>
    <s v="Usados, Retoma, y AF/Coquimbo/MAXIMAL"/>
    <s v="USADOS/COQUIM/MAXML"/>
  </r>
  <r>
    <x v="4"/>
    <s v="VE00"/>
    <s v="Venta Repuesto"/>
    <x v="15"/>
    <x v="30"/>
    <x v="15"/>
    <x v="14"/>
    <x v="13"/>
    <s v="VELN03OSMA"/>
    <s v="Venta Repuesto/Osorno/MAXIMAL"/>
    <s v="RPTO/OSORN/MAXML"/>
  </r>
  <r>
    <x v="4"/>
    <s v="VE00"/>
    <s v="Venta Servicio"/>
    <x v="15"/>
    <x v="30"/>
    <x v="15"/>
    <x v="14"/>
    <x v="13"/>
    <s v="VELN04OSMA"/>
    <s v="Venta Servicio/Osorno/MAXIMAL"/>
    <s v="SERV/OSORN/MAXML"/>
  </r>
  <r>
    <x v="4"/>
    <s v="VE00"/>
    <s v="Rental Gruas"/>
    <x v="15"/>
    <x v="30"/>
    <x v="15"/>
    <x v="14"/>
    <x v="13"/>
    <s v="VELN72OSMA"/>
    <s v="Rental Gruas/Osorno/MAXIMAL"/>
    <s v="RNTGRUA/OSORN/MAXML"/>
  </r>
  <r>
    <x v="4"/>
    <s v="VE00"/>
    <s v="Usados, Retoma, y AF"/>
    <x v="15"/>
    <x v="30"/>
    <x v="15"/>
    <x v="14"/>
    <x v="13"/>
    <s v="VELN05OSMA"/>
    <s v="Usados, Retoma, y AF/Osorno/MAXIMAL"/>
    <s v="USADOS/OSORN/MAXML"/>
  </r>
  <r>
    <x v="4"/>
    <s v="VE00"/>
    <s v="Vta. Unidades Nuevas"/>
    <x v="8"/>
    <x v="30"/>
    <x v="15"/>
    <x v="14"/>
    <x v="13"/>
    <s v="VELN01QCMA"/>
    <s v="Vta. Unidades Nuevas/Antofagasta/MAXIMAL"/>
    <s v="VTAUNID/ANTOF/MAXML"/>
  </r>
  <r>
    <x v="4"/>
    <s v="VE00"/>
    <s v="Vta. Unidades Nuevas"/>
    <x v="6"/>
    <x v="30"/>
    <x v="15"/>
    <x v="14"/>
    <x v="13"/>
    <s v="VELN01QCMA"/>
    <s v="Vta. Unidades Nuevas/Quilicura/MAXIMAL"/>
    <s v="VTAUNID/QUILI/MAXML"/>
  </r>
  <r>
    <x v="4"/>
    <s v="VE00"/>
    <s v="Vta. Unidades Nuevas"/>
    <x v="10"/>
    <x v="30"/>
    <x v="15"/>
    <x v="14"/>
    <x v="13"/>
    <s v="VELN01QCMA"/>
    <s v="Vta. Unidades Nuevas/Curico/MAXIMAL"/>
    <s v="VTAUNID/CURIC/MAXML"/>
  </r>
  <r>
    <x v="4"/>
    <s v="VE00"/>
    <s v="Vta. Unidades Nuevas"/>
    <x v="12"/>
    <x v="30"/>
    <x v="15"/>
    <x v="14"/>
    <x v="13"/>
    <s v="VELN01QCMA"/>
    <s v="Vta. Unidades Nuevas/Talcahuano/MAXIMAL"/>
    <s v="VTAUNID/TALCHU/MAXML"/>
  </r>
  <r>
    <x v="4"/>
    <s v="VE00"/>
    <s v="Vta. Unidades Nuevas"/>
    <x v="9"/>
    <x v="30"/>
    <x v="15"/>
    <x v="14"/>
    <x v="13"/>
    <s v="VELN01QCMA"/>
    <s v="Vta. Unidades Nuevas/Calama/MAXIMAL"/>
    <s v="VTAUNID/CALAM/MAXML"/>
  </r>
  <r>
    <x v="4"/>
    <s v="VE00"/>
    <s v="Vta. Unidades Nuevas"/>
    <x v="11"/>
    <x v="30"/>
    <x v="15"/>
    <x v="14"/>
    <x v="13"/>
    <s v="VELN01QCMA"/>
    <s v="Vta. Unid. Nuevas/Puerto Montt/MAXIMAL"/>
    <s v="VTAUNID/PTMONT/MAXML"/>
  </r>
  <r>
    <x v="4"/>
    <s v="VE00"/>
    <s v="Vta. Unidades Nuevas"/>
    <x v="14"/>
    <x v="30"/>
    <x v="15"/>
    <x v="14"/>
    <x v="13"/>
    <s v="VELN01QCMA"/>
    <s v="Vta. Unidades Nuevas/Coquimbo/MAXIMAL"/>
    <s v="VTAUNID/COQUIM/MAXML"/>
  </r>
  <r>
    <x v="4"/>
    <s v="VE00"/>
    <s v="Vta. Unidades Nuevas"/>
    <x v="15"/>
    <x v="30"/>
    <x v="15"/>
    <x v="14"/>
    <x v="13"/>
    <s v="VELN01QCMA"/>
    <s v="Vta. Unidades Nuevas/Osorno/MAXIMAL"/>
    <s v="VTAUNID/OSORN/MAXML"/>
  </r>
  <r>
    <x v="4"/>
    <s v="VE00"/>
    <s v="Vta. Electromovilidad Unidades Nuevas"/>
    <x v="8"/>
    <x v="30"/>
    <x v="15"/>
    <x v="14"/>
    <x v="13"/>
    <s v="VELN02QCMA"/>
    <s v="Vta.Elect.UnidNuevas/Antofagasta/MAXIMAL"/>
    <s v="ELECTM/ANTOF/MAXML"/>
  </r>
  <r>
    <x v="4"/>
    <s v="VE00"/>
    <s v="Vta. Electromovilidad Unidades Nuevas"/>
    <x v="6"/>
    <x v="30"/>
    <x v="15"/>
    <x v="14"/>
    <x v="13"/>
    <s v="VELN02QCMA"/>
    <s v="Vta.Elect.Unid.Nuevas/Quilicura/MAXIMAL"/>
    <s v="ELECTM/QUILI/MAXML"/>
  </r>
  <r>
    <x v="4"/>
    <s v="VE00"/>
    <s v="Vta. Electromovilidad Unidades Nuevas"/>
    <x v="10"/>
    <x v="30"/>
    <x v="15"/>
    <x v="14"/>
    <x v="13"/>
    <s v="VELN02QCMA"/>
    <s v="Vta.Elect.Unid.Nuevas/Curico/MAXIMAL"/>
    <s v="ELECTM/CURIC/MAXML"/>
  </r>
  <r>
    <x v="4"/>
    <s v="VE00"/>
    <s v="Vta. Electromovilidad Unidades Nuevas"/>
    <x v="12"/>
    <x v="30"/>
    <x v="15"/>
    <x v="14"/>
    <x v="13"/>
    <s v="VELN02QCMA"/>
    <s v="Vta.Elect.Unid.Nuevas/Talcahuano/MAXIMAL"/>
    <s v="ELECTM/TALCHU/MAXML"/>
  </r>
  <r>
    <x v="4"/>
    <s v="VE00"/>
    <s v="Vta. Electromovilidad Unidades Nuevas"/>
    <x v="9"/>
    <x v="30"/>
    <x v="15"/>
    <x v="14"/>
    <x v="13"/>
    <s v="VELN02QCMA"/>
    <s v="Vta.Elect.Unid.Nuevas/Calama/MAXIMAL"/>
    <s v="ELECTM/CALAM/MAXML"/>
  </r>
  <r>
    <x v="4"/>
    <s v="VE00"/>
    <s v="Vta. Electromovilidad Unidades Nuevas"/>
    <x v="11"/>
    <x v="30"/>
    <x v="15"/>
    <x v="14"/>
    <x v="13"/>
    <s v="VELN02QCMA"/>
    <s v="VtaElect.UnidNuevas/Puerto Montt/MAXIMAL"/>
    <s v="ELECTM/PTMONT/MAXML"/>
  </r>
  <r>
    <x v="4"/>
    <s v="VE00"/>
    <s v="Vta. Electromovilidad Unidades Nuevas"/>
    <x v="14"/>
    <x v="30"/>
    <x v="15"/>
    <x v="14"/>
    <x v="13"/>
    <s v="VELN02QCMA"/>
    <s v="Vta.Elect.Unid.Nuevas/Coquimbo/MAXIMAL"/>
    <s v="ELECTM/COQUIM/MAXML"/>
  </r>
  <r>
    <x v="4"/>
    <s v="VE00"/>
    <s v="Vta. Electromovilidad Unidades Nuevas"/>
    <x v="15"/>
    <x v="30"/>
    <x v="15"/>
    <x v="14"/>
    <x v="13"/>
    <s v="VELN02QCMA"/>
    <s v="Vta.Elect.Unid.Nuevas/Osorno/MAXIMAL"/>
    <s v="ELECTM/OSORN/MAXML"/>
  </r>
  <r>
    <x v="5"/>
    <m/>
    <m/>
    <x v="16"/>
    <x v="31"/>
    <x v="17"/>
    <x v="16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00F99-41F9-41C3-ADCC-4D9E325AF066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F143" firstHeaderRow="1" firstDataRow="1" firstDataCol="6"/>
  <pivotFields count="11">
    <pivotField axis="axisRow" compact="0" outline="0" showAll="0" defaultSubtotal="0">
      <items count="6">
        <item x="1"/>
        <item x="0"/>
        <item x="4"/>
        <item x="2"/>
        <item x="3"/>
        <item x="5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7">
        <item x="8"/>
        <item x="9"/>
        <item x="14"/>
        <item x="10"/>
        <item x="0"/>
        <item x="1"/>
        <item x="2"/>
        <item x="3"/>
        <item x="4"/>
        <item x="15"/>
        <item x="5"/>
        <item x="11"/>
        <item x="6"/>
        <item x="12"/>
        <item x="13"/>
        <item x="7"/>
        <item x="16"/>
      </items>
    </pivotField>
    <pivotField axis="axisRow" compact="0" outline="0" showAll="0" defaultSubtotal="0">
      <items count="32">
        <item x="11"/>
        <item x="8"/>
        <item x="7"/>
        <item x="9"/>
        <item x="12"/>
        <item x="13"/>
        <item x="10"/>
        <item x="15"/>
        <item x="18"/>
        <item x="14"/>
        <item x="20"/>
        <item x="16"/>
        <item x="17"/>
        <item x="19"/>
        <item x="21"/>
        <item x="23"/>
        <item x="26"/>
        <item x="22"/>
        <item x="28"/>
        <item x="24"/>
        <item x="25"/>
        <item x="27"/>
        <item x="29"/>
        <item x="30"/>
        <item x="5"/>
        <item x="2"/>
        <item x="1"/>
        <item x="3"/>
        <item x="6"/>
        <item x="4"/>
        <item x="0"/>
        <item x="31"/>
      </items>
    </pivotField>
    <pivotField axis="axisRow" compact="0" outline="0" showAll="0" defaultSubtotal="0">
      <items count="18">
        <item x="3"/>
        <item x="10"/>
        <item x="4"/>
        <item x="13"/>
        <item x="12"/>
        <item x="11"/>
        <item x="8"/>
        <item x="5"/>
        <item x="1"/>
        <item x="16"/>
        <item x="6"/>
        <item x="0"/>
        <item x="15"/>
        <item x="9"/>
        <item x="14"/>
        <item x="2"/>
        <item x="7"/>
        <item x="17"/>
      </items>
    </pivotField>
    <pivotField axis="axisRow" compact="0" outline="0" showAll="0" defaultSubtotal="0">
      <items count="17">
        <item x="3"/>
        <item x="4"/>
        <item x="12"/>
        <item x="11"/>
        <item x="10"/>
        <item x="8"/>
        <item x="5"/>
        <item x="1"/>
        <item x="15"/>
        <item x="6"/>
        <item x="0"/>
        <item x="14"/>
        <item x="9"/>
        <item x="13"/>
        <item x="7"/>
        <item x="2"/>
        <item x="16"/>
      </items>
    </pivotField>
    <pivotField axis="axisRow" compact="0" outline="0" showAll="0" defaultSubtotal="0">
      <items count="16">
        <item x="8"/>
        <item x="9"/>
        <item x="13"/>
        <item x="10"/>
        <item x="11"/>
        <item x="12"/>
        <item x="14"/>
        <item x="5"/>
        <item x="7"/>
        <item x="1"/>
        <item x="3"/>
        <item x="6"/>
        <item x="0"/>
        <item x="4"/>
        <item x="2"/>
        <item x="15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6">
    <field x="7"/>
    <field x="6"/>
    <field x="5"/>
    <field x="0"/>
    <field x="4"/>
    <field x="3"/>
  </rowFields>
  <rowItems count="140">
    <i>
      <x/>
      <x/>
      <x v="1"/>
      <x/>
      <x/>
      <x v="12"/>
    </i>
    <i r="4">
      <x v="1"/>
      <x v="1"/>
    </i>
    <i r="4">
      <x v="2"/>
      <x/>
    </i>
    <i r="4">
      <x v="3"/>
      <x v="3"/>
    </i>
    <i r="4">
      <x v="4"/>
      <x v="13"/>
    </i>
    <i r="4">
      <x v="5"/>
      <x v="14"/>
    </i>
    <i r="4">
      <x v="6"/>
      <x v="11"/>
    </i>
    <i>
      <x v="1"/>
      <x v="4"/>
      <x v="5"/>
      <x/>
      <x/>
      <x v="12"/>
    </i>
    <i r="4">
      <x v="1"/>
      <x v="1"/>
    </i>
    <i r="4">
      <x v="2"/>
      <x/>
    </i>
    <i r="4">
      <x v="3"/>
      <x v="3"/>
    </i>
    <i r="4">
      <x v="4"/>
      <x v="13"/>
    </i>
    <i r="4">
      <x v="5"/>
      <x v="14"/>
    </i>
    <i r="4">
      <x v="6"/>
      <x v="11"/>
    </i>
    <i>
      <x v="2"/>
      <x v="11"/>
      <x v="12"/>
      <x v="2"/>
      <x v="23"/>
      <x/>
    </i>
    <i r="5">
      <x v="1"/>
    </i>
    <i r="5">
      <x v="2"/>
    </i>
    <i r="5">
      <x v="3"/>
    </i>
    <i r="5">
      <x v="9"/>
    </i>
    <i r="5">
      <x v="11"/>
    </i>
    <i r="5">
      <x v="12"/>
    </i>
    <i r="5">
      <x v="13"/>
    </i>
    <i r="3">
      <x v="3"/>
      <x v="7"/>
      <x v="12"/>
    </i>
    <i r="4">
      <x v="8"/>
      <x v="1"/>
    </i>
    <i r="4">
      <x v="9"/>
      <x/>
    </i>
    <i r="4">
      <x v="10"/>
      <x v="2"/>
    </i>
    <i r="4">
      <x v="11"/>
      <x v="3"/>
    </i>
    <i r="4">
      <x v="12"/>
      <x v="13"/>
    </i>
    <i r="4">
      <x v="13"/>
      <x v="11"/>
    </i>
    <i r="4">
      <x v="14"/>
      <x v="9"/>
    </i>
    <i>
      <x v="3"/>
      <x v="3"/>
      <x v="4"/>
      <x v="3"/>
      <x v="7"/>
      <x v="12"/>
    </i>
    <i r="4">
      <x v="8"/>
      <x v="1"/>
    </i>
    <i r="4">
      <x v="9"/>
      <x/>
    </i>
    <i r="4">
      <x v="10"/>
      <x v="2"/>
    </i>
    <i r="4">
      <x v="11"/>
      <x v="3"/>
    </i>
    <i r="4">
      <x v="12"/>
      <x v="13"/>
    </i>
    <i r="4">
      <x v="13"/>
      <x v="11"/>
    </i>
    <i r="4">
      <x v="14"/>
      <x v="9"/>
    </i>
    <i>
      <x v="4"/>
      <x v="2"/>
      <x v="3"/>
      <x v="3"/>
      <x v="7"/>
      <x v="12"/>
    </i>
    <i r="4">
      <x v="8"/>
      <x v="1"/>
    </i>
    <i r="4">
      <x v="9"/>
      <x/>
    </i>
    <i r="4">
      <x v="10"/>
      <x v="2"/>
    </i>
    <i r="4">
      <x v="11"/>
      <x v="3"/>
    </i>
    <i r="4">
      <x v="12"/>
      <x v="13"/>
    </i>
    <i r="4">
      <x v="13"/>
      <x v="11"/>
    </i>
    <i r="4">
      <x v="14"/>
      <x v="9"/>
    </i>
    <i>
      <x v="5"/>
      <x v="13"/>
      <x v="14"/>
      <x v="3"/>
      <x v="7"/>
      <x v="12"/>
    </i>
    <i r="4">
      <x v="8"/>
      <x v="1"/>
    </i>
    <i r="4">
      <x v="9"/>
      <x/>
    </i>
    <i r="4">
      <x v="10"/>
      <x v="2"/>
    </i>
    <i r="4">
      <x v="11"/>
      <x v="3"/>
    </i>
    <i r="4">
      <x v="12"/>
      <x v="13"/>
    </i>
    <i r="4">
      <x v="13"/>
      <x v="11"/>
    </i>
    <i r="4">
      <x v="14"/>
      <x v="9"/>
    </i>
    <i>
      <x v="6"/>
      <x v="8"/>
      <x v="9"/>
      <x v="3"/>
      <x v="7"/>
      <x v="12"/>
    </i>
    <i r="4">
      <x v="8"/>
      <x v="1"/>
    </i>
    <i r="4">
      <x v="9"/>
      <x/>
    </i>
    <i r="4">
      <x v="10"/>
      <x v="2"/>
    </i>
    <i r="4">
      <x v="11"/>
      <x v="3"/>
    </i>
    <i r="4">
      <x v="12"/>
      <x v="13"/>
    </i>
    <i r="4">
      <x v="13"/>
      <x v="11"/>
    </i>
    <i r="4">
      <x v="14"/>
      <x v="9"/>
    </i>
    <i r="3">
      <x v="4"/>
      <x v="15"/>
      <x v="12"/>
    </i>
    <i r="4">
      <x v="16"/>
      <x v="1"/>
    </i>
    <i r="4">
      <x v="17"/>
      <x/>
    </i>
    <i r="4">
      <x v="18"/>
      <x v="2"/>
    </i>
    <i r="4">
      <x v="19"/>
      <x v="3"/>
    </i>
    <i r="4">
      <x v="20"/>
      <x v="13"/>
    </i>
    <i r="4">
      <x v="21"/>
      <x v="11"/>
    </i>
    <i r="4">
      <x v="22"/>
      <x v="9"/>
    </i>
    <i>
      <x v="7"/>
      <x v="6"/>
      <x v="7"/>
      <x v="1"/>
      <x v="24"/>
      <x v="12"/>
    </i>
    <i r="4">
      <x v="25"/>
      <x v="7"/>
    </i>
    <i r="4">
      <x v="27"/>
      <x v="8"/>
    </i>
    <i r="4">
      <x v="29"/>
      <x v="10"/>
    </i>
    <i>
      <x v="8"/>
      <x v="14"/>
      <x v="16"/>
      <x v="1"/>
      <x v="24"/>
      <x v="12"/>
    </i>
    <i r="4">
      <x v="25"/>
      <x v="7"/>
    </i>
    <i r="4">
      <x v="27"/>
      <x v="8"/>
    </i>
    <i r="4">
      <x v="29"/>
      <x v="10"/>
    </i>
    <i>
      <x v="9"/>
      <x v="7"/>
      <x v="8"/>
      <x v="1"/>
      <x v="24"/>
      <x v="12"/>
    </i>
    <i r="4">
      <x v="26"/>
      <x v="5"/>
    </i>
    <i r="4">
      <x v="27"/>
      <x v="8"/>
    </i>
    <i>
      <x v="10"/>
      <x/>
      <x/>
      <x/>
      <x/>
      <x v="12"/>
    </i>
    <i r="4">
      <x v="1"/>
      <x v="1"/>
    </i>
    <i r="4">
      <x v="2"/>
      <x/>
    </i>
    <i r="4">
      <x v="3"/>
      <x v="3"/>
    </i>
    <i r="4">
      <x v="4"/>
      <x v="13"/>
    </i>
    <i r="4">
      <x v="5"/>
      <x v="14"/>
    </i>
    <i r="4">
      <x v="6"/>
      <x v="11"/>
    </i>
    <i r="3">
      <x v="1"/>
      <x v="24"/>
      <x v="12"/>
    </i>
    <i r="4">
      <x v="25"/>
      <x v="7"/>
    </i>
    <i r="4">
      <x v="27"/>
      <x v="8"/>
    </i>
    <i r="4">
      <x v="29"/>
      <x v="10"/>
    </i>
    <i>
      <x v="11"/>
      <x v="9"/>
      <x v="10"/>
      <x v="1"/>
      <x v="24"/>
      <x v="12"/>
    </i>
    <i r="4">
      <x v="25"/>
      <x v="7"/>
    </i>
    <i r="4">
      <x v="27"/>
      <x v="8"/>
    </i>
    <i r="4">
      <x v="29"/>
      <x v="10"/>
    </i>
    <i>
      <x v="12"/>
      <x v="10"/>
      <x v="11"/>
      <x v="1"/>
      <x v="24"/>
      <x v="12"/>
    </i>
    <i r="4">
      <x v="25"/>
      <x v="6"/>
    </i>
    <i r="4">
      <x v="27"/>
      <x v="8"/>
    </i>
    <i r="4">
      <x v="28"/>
      <x v="15"/>
    </i>
    <i r="4">
      <x v="29"/>
      <x v="10"/>
    </i>
    <i r="4">
      <x v="30"/>
      <x v="4"/>
    </i>
    <i>
      <x v="13"/>
      <x v="1"/>
      <x v="2"/>
      <x/>
      <x/>
      <x v="12"/>
    </i>
    <i r="4">
      <x v="1"/>
      <x v="1"/>
    </i>
    <i r="4">
      <x v="2"/>
      <x/>
    </i>
    <i r="4">
      <x v="3"/>
      <x v="3"/>
    </i>
    <i r="4">
      <x v="4"/>
      <x v="13"/>
    </i>
    <i r="4">
      <x v="5"/>
      <x v="14"/>
    </i>
    <i r="4">
      <x v="6"/>
      <x v="11"/>
    </i>
    <i r="3">
      <x v="1"/>
      <x v="24"/>
      <x v="12"/>
    </i>
    <i r="4">
      <x v="25"/>
      <x v="7"/>
    </i>
    <i r="4">
      <x v="27"/>
      <x v="8"/>
    </i>
    <i r="4">
      <x v="29"/>
      <x v="10"/>
    </i>
    <i>
      <x v="14"/>
      <x v="5"/>
      <x v="6"/>
      <x v="1"/>
      <x v="24"/>
      <x v="12"/>
    </i>
    <i r="4">
      <x v="27"/>
      <x v="8"/>
    </i>
    <i r="1">
      <x v="12"/>
      <x v="13"/>
      <x v="1"/>
      <x v="24"/>
      <x v="12"/>
    </i>
    <i r="4">
      <x v="25"/>
      <x v="7"/>
    </i>
    <i r="4">
      <x v="27"/>
      <x v="8"/>
    </i>
    <i r="4">
      <x v="29"/>
      <x v="10"/>
    </i>
    <i r="1">
      <x v="15"/>
      <x v="15"/>
      <x/>
      <x/>
      <x v="12"/>
    </i>
    <i r="4">
      <x v="1"/>
      <x v="1"/>
    </i>
    <i r="4">
      <x v="2"/>
      <x/>
    </i>
    <i r="4">
      <x v="3"/>
      <x v="3"/>
    </i>
    <i r="4">
      <x v="4"/>
      <x v="13"/>
    </i>
    <i r="4">
      <x v="5"/>
      <x v="14"/>
    </i>
    <i r="4">
      <x v="6"/>
      <x v="11"/>
    </i>
    <i r="3">
      <x v="1"/>
      <x v="24"/>
      <x v="12"/>
    </i>
    <i r="4">
      <x v="25"/>
      <x v="7"/>
    </i>
    <i r="4">
      <x v="26"/>
      <x v="5"/>
    </i>
    <i r="4">
      <x v="27"/>
      <x v="8"/>
    </i>
    <i r="4">
      <x v="29"/>
      <x v="10"/>
    </i>
    <i r="3">
      <x v="3"/>
      <x v="7"/>
      <x v="12"/>
    </i>
    <i r="4">
      <x v="8"/>
      <x v="1"/>
    </i>
    <i r="4">
      <x v="9"/>
      <x/>
    </i>
    <i r="4">
      <x v="10"/>
      <x v="2"/>
    </i>
    <i r="4">
      <x v="11"/>
      <x v="3"/>
    </i>
    <i r="4">
      <x v="12"/>
      <x v="13"/>
    </i>
    <i r="4">
      <x v="13"/>
      <x v="11"/>
    </i>
    <i r="4">
      <x v="14"/>
      <x v="9"/>
    </i>
    <i>
      <x v="15"/>
      <x v="16"/>
      <x v="17"/>
      <x v="5"/>
      <x v="31"/>
      <x v="16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A6BFB-12B3-45AF-AC44-0948A7E2AE15}" name="Tabla1" displayName="Tabla1" ref="A1:K642" totalsRowShown="0" headerRowDxfId="17" dataDxfId="16">
  <autoFilter ref="A1:K642" xr:uid="{38CA6BFB-12B3-45AF-AC44-0948A7E2AE15}">
    <filterColumn colId="1">
      <filters>
        <filter val="VF00"/>
      </filters>
    </filterColumn>
    <filterColumn colId="2">
      <filters>
        <filter val="Vta. Unidades Nuevas"/>
      </filters>
    </filterColumn>
    <filterColumn colId="5">
      <filters>
        <filter val="FAW"/>
      </filters>
    </filterColumn>
  </autoFilter>
  <tableColumns count="11">
    <tableColumn id="4" xr3:uid="{6B475EEE-8F04-43E0-BBF1-9C505CE1D6C1}" name="SOCIEDAD" dataDxfId="15"/>
    <tableColumn id="1" xr3:uid="{20C8FF69-21B7-43D4-80A1-DDF397151F37}" name="COD_SOCIEDAD" dataDxfId="14">
      <calculatedColumnFormula>_xlfn.XLOOKUP(Tabla1[[#This Row],[SOCIEDAD]],centros!D:D,centros!E:E)</calculatedColumnFormula>
    </tableColumn>
    <tableColumn id="6" xr3:uid="{FA66FCB3-9A9D-470F-9EB7-D7584EFB8652}" name="AREA_LINEA_NEGOCIO" dataDxfId="13"/>
    <tableColumn id="7" xr3:uid="{6F438D83-8C61-4DBE-ABF1-0D94FA137BCC}" name="LOCALIDAD" dataDxfId="12"/>
    <tableColumn id="2" xr3:uid="{A7D1584E-0B42-488D-9E31-105EC177895B}" name="CENTRO" dataDxfId="11">
      <calculatedColumnFormula>IFERROR(INDEX(centros!$H$2:$H$45,MATCH(TRIM(Tabla1[[#This Row],[SOCIEDAD]])&amp;"|"&amp;TRIM(Tabla1[[#This Row],[LOCALIDAD]]),centros!$G$2:$G$45,0)),"REVISAR")</calculatedColumnFormula>
    </tableColumn>
    <tableColumn id="8" xr3:uid="{A9E9074E-A62D-45D5-A07A-E6CCC79C11B8}" name="MARCA" dataDxfId="10"/>
    <tableColumn id="3" xr3:uid="{74EC7B9C-6885-41D8-ABE6-F5631FEE0C8D}" name="COD_MARCA" dataDxfId="9">
      <calculatedColumnFormula>_xlfn.XLOOKUP(Tabla1[[#This Row],[MARCA]],MARCAS!E:E,MARCAS!F:F)</calculatedColumnFormula>
    </tableColumn>
    <tableColumn id="5" xr3:uid="{E9A9466E-AF7F-4D01-ADA7-E72F37532403}" name="COD_FABRICANTE" dataDxfId="8">
      <calculatedColumnFormula>_xlfn.XLOOKUP(Tabla1[[#This Row],[MARCA]],MARCAS!C:C,MARCAS!A:A)</calculatedColumnFormula>
    </tableColumn>
    <tableColumn id="15" xr3:uid="{B12D3282-381C-4D03-AA73-2698EC5D1E9B}" name="COD_CEBE" dataDxfId="7"/>
    <tableColumn id="16" xr3:uid="{159A9295-C181-4D01-8F78-49D24633F621}" name="NOM_CODIGO_CEBE" dataDxfId="6"/>
    <tableColumn id="17" xr3:uid="{F77BDB26-A465-490D-BEE0-53B243EBF801}" name="NOM_CORTO_CEB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" dT="2026-08-27T18:26:24.81" personId="{3FDED682-F6D1-45E0-A234-1F3BC32C6AB8}" id="{10D64BE0-3DC9-408F-A4A7-436C9F99E42C}">
    <text>Validar con Joaco</text>
  </threadedComment>
  <threadedComment ref="O4" dT="2026-08-27T18:26:24.81" personId="{3FDED682-F6D1-45E0-A234-1F3BC32C6AB8}" id="{BEC9B4B9-7E73-47C5-97C1-E41EF72517D2}">
    <text>Validar con Joaco</text>
  </threadedComment>
  <threadedComment ref="I11" dT="2026-08-27T18:26:13.48" personId="{3FDED682-F6D1-45E0-A234-1F3BC32C6AB8}" id="{54B96DE1-97D1-49BE-89D7-8EAFB1A2F808}">
    <text>Validar con Fran Madariaga si se debe ampliar LG a TTM (pensando en rental, entendiendo que la importación y venta de lo de stock será x TTMQ)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C28421-A93D-4A84-9649-9E23588CD5B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e158d2b-de9a-475c-9eb2-7ff5190b5ec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2389-B2A3-448D-8C7F-FA89C929748E}">
  <dimension ref="A3:F143"/>
  <sheetViews>
    <sheetView workbookViewId="0">
      <selection activeCell="N18" sqref="N18"/>
    </sheetView>
  </sheetViews>
  <sheetFormatPr baseColWidth="10" defaultColWidth="11.42578125" defaultRowHeight="15" x14ac:dyDescent="0.25"/>
  <cols>
    <col min="1" max="1" width="29.28515625" bestFit="1" customWidth="1"/>
    <col min="2" max="2" width="22.42578125" bestFit="1" customWidth="1"/>
    <col min="3" max="3" width="23.85546875" bestFit="1" customWidth="1"/>
    <col min="4" max="6" width="21.85546875" bestFit="1" customWidth="1"/>
    <col min="7" max="16" width="6" bestFit="1" customWidth="1"/>
    <col min="17" max="17" width="11" bestFit="1" customWidth="1"/>
    <col min="18" max="18" width="12.5703125" bestFit="1" customWidth="1"/>
  </cols>
  <sheetData>
    <row r="3" spans="1:6" x14ac:dyDescent="0.2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E5" t="s">
        <v>12</v>
      </c>
      <c r="F5" t="s">
        <v>13</v>
      </c>
    </row>
    <row r="6" spans="1:6" x14ac:dyDescent="0.25">
      <c r="E6" t="s">
        <v>14</v>
      </c>
      <c r="F6" t="s">
        <v>15</v>
      </c>
    </row>
    <row r="7" spans="1:6" x14ac:dyDescent="0.25">
      <c r="E7" t="s">
        <v>16</v>
      </c>
      <c r="F7" t="s">
        <v>17</v>
      </c>
    </row>
    <row r="8" spans="1:6" x14ac:dyDescent="0.25">
      <c r="E8" t="s">
        <v>18</v>
      </c>
      <c r="F8" t="s">
        <v>19</v>
      </c>
    </row>
    <row r="9" spans="1:6" x14ac:dyDescent="0.25">
      <c r="E9" t="s">
        <v>20</v>
      </c>
      <c r="F9" t="s">
        <v>21</v>
      </c>
    </row>
    <row r="10" spans="1:6" x14ac:dyDescent="0.25">
      <c r="E10" t="s">
        <v>22</v>
      </c>
      <c r="F10" t="s">
        <v>23</v>
      </c>
    </row>
    <row r="11" spans="1:6" x14ac:dyDescent="0.25">
      <c r="A11" t="s">
        <v>24</v>
      </c>
      <c r="B11" t="s">
        <v>25</v>
      </c>
      <c r="C11" t="s">
        <v>26</v>
      </c>
      <c r="D11" t="s">
        <v>9</v>
      </c>
      <c r="E11" t="s">
        <v>10</v>
      </c>
      <c r="F11" t="s">
        <v>11</v>
      </c>
    </row>
    <row r="12" spans="1:6" x14ac:dyDescent="0.25">
      <c r="E12" t="s">
        <v>12</v>
      </c>
      <c r="F12" t="s">
        <v>13</v>
      </c>
    </row>
    <row r="13" spans="1:6" x14ac:dyDescent="0.25">
      <c r="E13" t="s">
        <v>14</v>
      </c>
      <c r="F13" t="s">
        <v>15</v>
      </c>
    </row>
    <row r="14" spans="1:6" x14ac:dyDescent="0.25">
      <c r="E14" t="s">
        <v>16</v>
      </c>
      <c r="F14" t="s">
        <v>17</v>
      </c>
    </row>
    <row r="15" spans="1:6" x14ac:dyDescent="0.25">
      <c r="E15" t="s">
        <v>18</v>
      </c>
      <c r="F15" t="s">
        <v>19</v>
      </c>
    </row>
    <row r="16" spans="1:6" x14ac:dyDescent="0.25">
      <c r="E16" t="s">
        <v>20</v>
      </c>
      <c r="F16" t="s">
        <v>21</v>
      </c>
    </row>
    <row r="17" spans="1:6" x14ac:dyDescent="0.25">
      <c r="E17" t="s">
        <v>22</v>
      </c>
      <c r="F17" t="s">
        <v>23</v>
      </c>
    </row>
    <row r="18" spans="1:6" x14ac:dyDescent="0.25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15</v>
      </c>
    </row>
    <row r="19" spans="1:6" x14ac:dyDescent="0.25">
      <c r="F19" t="s">
        <v>13</v>
      </c>
    </row>
    <row r="20" spans="1:6" x14ac:dyDescent="0.25">
      <c r="F20" t="s">
        <v>32</v>
      </c>
    </row>
    <row r="21" spans="1:6" x14ac:dyDescent="0.25">
      <c r="F21" t="s">
        <v>17</v>
      </c>
    </row>
    <row r="22" spans="1:6" x14ac:dyDescent="0.25">
      <c r="F22" t="s">
        <v>33</v>
      </c>
    </row>
    <row r="23" spans="1:6" x14ac:dyDescent="0.25">
      <c r="F23" t="s">
        <v>23</v>
      </c>
    </row>
    <row r="24" spans="1:6" x14ac:dyDescent="0.25">
      <c r="F24" t="s">
        <v>11</v>
      </c>
    </row>
    <row r="25" spans="1:6" x14ac:dyDescent="0.25">
      <c r="F25" t="s">
        <v>19</v>
      </c>
    </row>
    <row r="26" spans="1:6" x14ac:dyDescent="0.25">
      <c r="D26" t="s">
        <v>34</v>
      </c>
      <c r="E26" t="s">
        <v>35</v>
      </c>
      <c r="F26" t="s">
        <v>11</v>
      </c>
    </row>
    <row r="27" spans="1:6" x14ac:dyDescent="0.25">
      <c r="E27" t="s">
        <v>36</v>
      </c>
      <c r="F27" t="s">
        <v>13</v>
      </c>
    </row>
    <row r="28" spans="1:6" x14ac:dyDescent="0.25">
      <c r="E28" t="s">
        <v>37</v>
      </c>
      <c r="F28" t="s">
        <v>15</v>
      </c>
    </row>
    <row r="29" spans="1:6" x14ac:dyDescent="0.25">
      <c r="E29" t="s">
        <v>38</v>
      </c>
      <c r="F29" t="s">
        <v>32</v>
      </c>
    </row>
    <row r="30" spans="1:6" x14ac:dyDescent="0.25">
      <c r="E30" t="s">
        <v>39</v>
      </c>
      <c r="F30" t="s">
        <v>17</v>
      </c>
    </row>
    <row r="31" spans="1:6" x14ac:dyDescent="0.25">
      <c r="E31" t="s">
        <v>40</v>
      </c>
      <c r="F31" t="s">
        <v>19</v>
      </c>
    </row>
    <row r="32" spans="1:6" x14ac:dyDescent="0.25">
      <c r="E32" t="s">
        <v>41</v>
      </c>
      <c r="F32" t="s">
        <v>23</v>
      </c>
    </row>
    <row r="33" spans="1:6" x14ac:dyDescent="0.25">
      <c r="E33" t="s">
        <v>42</v>
      </c>
      <c r="F33" t="s">
        <v>33</v>
      </c>
    </row>
    <row r="34" spans="1:6" x14ac:dyDescent="0.25">
      <c r="A34" t="s">
        <v>43</v>
      </c>
      <c r="B34" t="s">
        <v>44</v>
      </c>
      <c r="C34" t="s">
        <v>45</v>
      </c>
      <c r="D34" t="s">
        <v>34</v>
      </c>
      <c r="E34" t="s">
        <v>35</v>
      </c>
      <c r="F34" t="s">
        <v>11</v>
      </c>
    </row>
    <row r="35" spans="1:6" x14ac:dyDescent="0.25">
      <c r="E35" t="s">
        <v>36</v>
      </c>
      <c r="F35" t="s">
        <v>13</v>
      </c>
    </row>
    <row r="36" spans="1:6" x14ac:dyDescent="0.25">
      <c r="E36" t="s">
        <v>37</v>
      </c>
      <c r="F36" t="s">
        <v>15</v>
      </c>
    </row>
    <row r="37" spans="1:6" x14ac:dyDescent="0.25">
      <c r="E37" t="s">
        <v>38</v>
      </c>
      <c r="F37" t="s">
        <v>32</v>
      </c>
    </row>
    <row r="38" spans="1:6" x14ac:dyDescent="0.25">
      <c r="E38" t="s">
        <v>39</v>
      </c>
      <c r="F38" t="s">
        <v>17</v>
      </c>
    </row>
    <row r="39" spans="1:6" x14ac:dyDescent="0.25">
      <c r="E39" t="s">
        <v>40</v>
      </c>
      <c r="F39" t="s">
        <v>19</v>
      </c>
    </row>
    <row r="40" spans="1:6" x14ac:dyDescent="0.25">
      <c r="E40" t="s">
        <v>41</v>
      </c>
      <c r="F40" t="s">
        <v>23</v>
      </c>
    </row>
    <row r="41" spans="1:6" x14ac:dyDescent="0.25">
      <c r="E41" t="s">
        <v>42</v>
      </c>
      <c r="F41" t="s">
        <v>33</v>
      </c>
    </row>
    <row r="42" spans="1:6" x14ac:dyDescent="0.25">
      <c r="A42" t="s">
        <v>46</v>
      </c>
      <c r="B42" t="s">
        <v>47</v>
      </c>
      <c r="C42" t="s">
        <v>48</v>
      </c>
      <c r="D42" t="s">
        <v>34</v>
      </c>
      <c r="E42" t="s">
        <v>35</v>
      </c>
      <c r="F42" t="s">
        <v>11</v>
      </c>
    </row>
    <row r="43" spans="1:6" x14ac:dyDescent="0.25">
      <c r="E43" t="s">
        <v>36</v>
      </c>
      <c r="F43" t="s">
        <v>13</v>
      </c>
    </row>
    <row r="44" spans="1:6" x14ac:dyDescent="0.25">
      <c r="E44" t="s">
        <v>37</v>
      </c>
      <c r="F44" t="s">
        <v>15</v>
      </c>
    </row>
    <row r="45" spans="1:6" x14ac:dyDescent="0.25">
      <c r="E45" t="s">
        <v>38</v>
      </c>
      <c r="F45" t="s">
        <v>32</v>
      </c>
    </row>
    <row r="46" spans="1:6" x14ac:dyDescent="0.25">
      <c r="E46" t="s">
        <v>39</v>
      </c>
      <c r="F46" t="s">
        <v>17</v>
      </c>
    </row>
    <row r="47" spans="1:6" x14ac:dyDescent="0.25">
      <c r="E47" t="s">
        <v>40</v>
      </c>
      <c r="F47" t="s">
        <v>19</v>
      </c>
    </row>
    <row r="48" spans="1:6" x14ac:dyDescent="0.25">
      <c r="E48" t="s">
        <v>41</v>
      </c>
      <c r="F48" t="s">
        <v>23</v>
      </c>
    </row>
    <row r="49" spans="1:6" x14ac:dyDescent="0.25">
      <c r="E49" t="s">
        <v>42</v>
      </c>
      <c r="F49" t="s">
        <v>33</v>
      </c>
    </row>
    <row r="50" spans="1:6" x14ac:dyDescent="0.25">
      <c r="A50" t="s">
        <v>49</v>
      </c>
      <c r="B50" t="s">
        <v>50</v>
      </c>
      <c r="C50" t="s">
        <v>51</v>
      </c>
      <c r="D50" t="s">
        <v>34</v>
      </c>
      <c r="E50" t="s">
        <v>35</v>
      </c>
      <c r="F50" t="s">
        <v>11</v>
      </c>
    </row>
    <row r="51" spans="1:6" x14ac:dyDescent="0.25">
      <c r="E51" t="s">
        <v>36</v>
      </c>
      <c r="F51" t="s">
        <v>13</v>
      </c>
    </row>
    <row r="52" spans="1:6" x14ac:dyDescent="0.25">
      <c r="E52" t="s">
        <v>37</v>
      </c>
      <c r="F52" t="s">
        <v>15</v>
      </c>
    </row>
    <row r="53" spans="1:6" x14ac:dyDescent="0.25">
      <c r="E53" t="s">
        <v>38</v>
      </c>
      <c r="F53" t="s">
        <v>32</v>
      </c>
    </row>
    <row r="54" spans="1:6" x14ac:dyDescent="0.25">
      <c r="E54" t="s">
        <v>39</v>
      </c>
      <c r="F54" t="s">
        <v>17</v>
      </c>
    </row>
    <row r="55" spans="1:6" x14ac:dyDescent="0.25">
      <c r="E55" t="s">
        <v>40</v>
      </c>
      <c r="F55" t="s">
        <v>19</v>
      </c>
    </row>
    <row r="56" spans="1:6" x14ac:dyDescent="0.25">
      <c r="E56" t="s">
        <v>41</v>
      </c>
      <c r="F56" t="s">
        <v>23</v>
      </c>
    </row>
    <row r="57" spans="1:6" x14ac:dyDescent="0.25">
      <c r="E57" t="s">
        <v>42</v>
      </c>
      <c r="F57" t="s">
        <v>33</v>
      </c>
    </row>
    <row r="58" spans="1:6" x14ac:dyDescent="0.25">
      <c r="A58" t="s">
        <v>52</v>
      </c>
      <c r="B58" t="s">
        <v>53</v>
      </c>
      <c r="C58" t="s">
        <v>54</v>
      </c>
      <c r="D58" t="s">
        <v>34</v>
      </c>
      <c r="E58" t="s">
        <v>35</v>
      </c>
      <c r="F58" t="s">
        <v>11</v>
      </c>
    </row>
    <row r="59" spans="1:6" x14ac:dyDescent="0.25">
      <c r="E59" t="s">
        <v>36</v>
      </c>
      <c r="F59" t="s">
        <v>13</v>
      </c>
    </row>
    <row r="60" spans="1:6" x14ac:dyDescent="0.25">
      <c r="E60" t="s">
        <v>37</v>
      </c>
      <c r="F60" t="s">
        <v>15</v>
      </c>
    </row>
    <row r="61" spans="1:6" x14ac:dyDescent="0.25">
      <c r="E61" t="s">
        <v>38</v>
      </c>
      <c r="F61" t="s">
        <v>32</v>
      </c>
    </row>
    <row r="62" spans="1:6" x14ac:dyDescent="0.25">
      <c r="E62" t="s">
        <v>39</v>
      </c>
      <c r="F62" t="s">
        <v>17</v>
      </c>
    </row>
    <row r="63" spans="1:6" x14ac:dyDescent="0.25">
      <c r="E63" t="s">
        <v>40</v>
      </c>
      <c r="F63" t="s">
        <v>19</v>
      </c>
    </row>
    <row r="64" spans="1:6" x14ac:dyDescent="0.25">
      <c r="E64" t="s">
        <v>41</v>
      </c>
      <c r="F64" t="s">
        <v>23</v>
      </c>
    </row>
    <row r="65" spans="1:6" x14ac:dyDescent="0.25">
      <c r="E65" t="s">
        <v>42</v>
      </c>
      <c r="F65" t="s">
        <v>33</v>
      </c>
    </row>
    <row r="66" spans="1:6" x14ac:dyDescent="0.25">
      <c r="D66" t="s">
        <v>55</v>
      </c>
      <c r="E66" t="s">
        <v>56</v>
      </c>
      <c r="F66" t="s">
        <v>11</v>
      </c>
    </row>
    <row r="67" spans="1:6" x14ac:dyDescent="0.25">
      <c r="E67" t="s">
        <v>57</v>
      </c>
      <c r="F67" t="s">
        <v>13</v>
      </c>
    </row>
    <row r="68" spans="1:6" x14ac:dyDescent="0.25">
      <c r="E68" t="s">
        <v>58</v>
      </c>
      <c r="F68" t="s">
        <v>15</v>
      </c>
    </row>
    <row r="69" spans="1:6" x14ac:dyDescent="0.25">
      <c r="E69" t="s">
        <v>59</v>
      </c>
      <c r="F69" t="s">
        <v>32</v>
      </c>
    </row>
    <row r="70" spans="1:6" x14ac:dyDescent="0.25">
      <c r="E70" t="s">
        <v>60</v>
      </c>
      <c r="F70" t="s">
        <v>17</v>
      </c>
    </row>
    <row r="71" spans="1:6" x14ac:dyDescent="0.25">
      <c r="E71" t="s">
        <v>61</v>
      </c>
      <c r="F71" t="s">
        <v>19</v>
      </c>
    </row>
    <row r="72" spans="1:6" x14ac:dyDescent="0.25">
      <c r="E72" t="s">
        <v>62</v>
      </c>
      <c r="F72" t="s">
        <v>23</v>
      </c>
    </row>
    <row r="73" spans="1:6" x14ac:dyDescent="0.25">
      <c r="E73" t="s">
        <v>63</v>
      </c>
      <c r="F73" t="s">
        <v>33</v>
      </c>
    </row>
    <row r="74" spans="1:6" x14ac:dyDescent="0.25">
      <c r="A74" t="s">
        <v>64</v>
      </c>
      <c r="B74" t="s">
        <v>65</v>
      </c>
      <c r="C74" t="s">
        <v>66</v>
      </c>
      <c r="D74" t="s">
        <v>67</v>
      </c>
      <c r="E74" t="s">
        <v>68</v>
      </c>
      <c r="F74" t="s">
        <v>11</v>
      </c>
    </row>
    <row r="75" spans="1:6" x14ac:dyDescent="0.25">
      <c r="E75" t="s">
        <v>69</v>
      </c>
      <c r="F75" t="s">
        <v>70</v>
      </c>
    </row>
    <row r="76" spans="1:6" x14ac:dyDescent="0.25">
      <c r="E76" t="s">
        <v>71</v>
      </c>
      <c r="F76" t="s">
        <v>72</v>
      </c>
    </row>
    <row r="77" spans="1:6" x14ac:dyDescent="0.25">
      <c r="E77" t="s">
        <v>73</v>
      </c>
      <c r="F77" t="s">
        <v>74</v>
      </c>
    </row>
    <row r="78" spans="1:6" x14ac:dyDescent="0.25">
      <c r="A78" t="s">
        <v>75</v>
      </c>
      <c r="B78" t="s">
        <v>76</v>
      </c>
      <c r="C78" t="s">
        <v>77</v>
      </c>
      <c r="D78" t="s">
        <v>67</v>
      </c>
      <c r="E78" t="s">
        <v>68</v>
      </c>
      <c r="F78" t="s">
        <v>11</v>
      </c>
    </row>
    <row r="79" spans="1:6" x14ac:dyDescent="0.25">
      <c r="E79" t="s">
        <v>69</v>
      </c>
      <c r="F79" t="s">
        <v>70</v>
      </c>
    </row>
    <row r="80" spans="1:6" x14ac:dyDescent="0.25">
      <c r="E80" t="s">
        <v>71</v>
      </c>
      <c r="F80" t="s">
        <v>72</v>
      </c>
    </row>
    <row r="81" spans="1:6" x14ac:dyDescent="0.25">
      <c r="E81" t="s">
        <v>73</v>
      </c>
      <c r="F81" t="s">
        <v>74</v>
      </c>
    </row>
    <row r="82" spans="1:6" x14ac:dyDescent="0.25">
      <c r="A82" t="s">
        <v>78</v>
      </c>
      <c r="B82" t="s">
        <v>79</v>
      </c>
      <c r="C82" t="s">
        <v>80</v>
      </c>
      <c r="D82" t="s">
        <v>67</v>
      </c>
      <c r="E82" t="s">
        <v>68</v>
      </c>
      <c r="F82" t="s">
        <v>11</v>
      </c>
    </row>
    <row r="83" spans="1:6" x14ac:dyDescent="0.25">
      <c r="E83" t="s">
        <v>81</v>
      </c>
      <c r="F83" t="s">
        <v>82</v>
      </c>
    </row>
    <row r="84" spans="1:6" x14ac:dyDescent="0.25">
      <c r="E84" t="s">
        <v>71</v>
      </c>
      <c r="F84" t="s">
        <v>72</v>
      </c>
    </row>
    <row r="85" spans="1:6" x14ac:dyDescent="0.25">
      <c r="A85" t="s">
        <v>83</v>
      </c>
      <c r="B85" t="s">
        <v>7</v>
      </c>
      <c r="C85" t="s">
        <v>84</v>
      </c>
      <c r="D85" t="s">
        <v>9</v>
      </c>
      <c r="E85" t="s">
        <v>10</v>
      </c>
      <c r="F85" t="s">
        <v>11</v>
      </c>
    </row>
    <row r="86" spans="1:6" x14ac:dyDescent="0.25">
      <c r="E86" t="s">
        <v>12</v>
      </c>
      <c r="F86" t="s">
        <v>13</v>
      </c>
    </row>
    <row r="87" spans="1:6" x14ac:dyDescent="0.25">
      <c r="E87" t="s">
        <v>14</v>
      </c>
      <c r="F87" t="s">
        <v>15</v>
      </c>
    </row>
    <row r="88" spans="1:6" x14ac:dyDescent="0.25">
      <c r="E88" t="s">
        <v>16</v>
      </c>
      <c r="F88" t="s">
        <v>17</v>
      </c>
    </row>
    <row r="89" spans="1:6" x14ac:dyDescent="0.25">
      <c r="E89" t="s">
        <v>18</v>
      </c>
      <c r="F89" t="s">
        <v>19</v>
      </c>
    </row>
    <row r="90" spans="1:6" x14ac:dyDescent="0.25">
      <c r="E90" t="s">
        <v>20</v>
      </c>
      <c r="F90" t="s">
        <v>21</v>
      </c>
    </row>
    <row r="91" spans="1:6" x14ac:dyDescent="0.25">
      <c r="E91" t="s">
        <v>22</v>
      </c>
      <c r="F91" t="s">
        <v>23</v>
      </c>
    </row>
    <row r="92" spans="1:6" x14ac:dyDescent="0.25">
      <c r="D92" t="s">
        <v>67</v>
      </c>
      <c r="E92" t="s">
        <v>68</v>
      </c>
      <c r="F92" t="s">
        <v>11</v>
      </c>
    </row>
    <row r="93" spans="1:6" x14ac:dyDescent="0.25">
      <c r="E93" t="s">
        <v>69</v>
      </c>
      <c r="F93" t="s">
        <v>70</v>
      </c>
    </row>
    <row r="94" spans="1:6" x14ac:dyDescent="0.25">
      <c r="E94" t="s">
        <v>71</v>
      </c>
      <c r="F94" t="s">
        <v>72</v>
      </c>
    </row>
    <row r="95" spans="1:6" x14ac:dyDescent="0.25">
      <c r="E95" t="s">
        <v>73</v>
      </c>
      <c r="F95" t="s">
        <v>74</v>
      </c>
    </row>
    <row r="96" spans="1:6" x14ac:dyDescent="0.25">
      <c r="A96" t="s">
        <v>85</v>
      </c>
      <c r="B96" t="s">
        <v>86</v>
      </c>
      <c r="C96" t="s">
        <v>87</v>
      </c>
      <c r="D96" t="s">
        <v>67</v>
      </c>
      <c r="E96" t="s">
        <v>68</v>
      </c>
      <c r="F96" t="s">
        <v>11</v>
      </c>
    </row>
    <row r="97" spans="1:6" x14ac:dyDescent="0.25">
      <c r="E97" t="s">
        <v>69</v>
      </c>
      <c r="F97" t="s">
        <v>70</v>
      </c>
    </row>
    <row r="98" spans="1:6" x14ac:dyDescent="0.25">
      <c r="E98" t="s">
        <v>71</v>
      </c>
      <c r="F98" t="s">
        <v>72</v>
      </c>
    </row>
    <row r="99" spans="1:6" x14ac:dyDescent="0.25">
      <c r="E99" t="s">
        <v>73</v>
      </c>
      <c r="F99" t="s">
        <v>74</v>
      </c>
    </row>
    <row r="100" spans="1:6" x14ac:dyDescent="0.25">
      <c r="A100" t="s">
        <v>88</v>
      </c>
      <c r="B100" t="s">
        <v>89</v>
      </c>
      <c r="C100" t="s">
        <v>90</v>
      </c>
      <c r="D100" t="s">
        <v>67</v>
      </c>
      <c r="E100" t="s">
        <v>68</v>
      </c>
      <c r="F100" t="s">
        <v>11</v>
      </c>
    </row>
    <row r="101" spans="1:6" x14ac:dyDescent="0.25">
      <c r="E101" t="s">
        <v>69</v>
      </c>
      <c r="F101" t="s">
        <v>91</v>
      </c>
    </row>
    <row r="102" spans="1:6" x14ac:dyDescent="0.25">
      <c r="E102" t="s">
        <v>71</v>
      </c>
      <c r="F102" t="s">
        <v>72</v>
      </c>
    </row>
    <row r="103" spans="1:6" x14ac:dyDescent="0.25">
      <c r="E103" t="s">
        <v>92</v>
      </c>
      <c r="F103" t="s">
        <v>93</v>
      </c>
    </row>
    <row r="104" spans="1:6" x14ac:dyDescent="0.25">
      <c r="E104" t="s">
        <v>73</v>
      </c>
      <c r="F104" t="s">
        <v>74</v>
      </c>
    </row>
    <row r="105" spans="1:6" x14ac:dyDescent="0.25">
      <c r="E105" t="s">
        <v>94</v>
      </c>
      <c r="F105" t="s">
        <v>95</v>
      </c>
    </row>
    <row r="106" spans="1:6" x14ac:dyDescent="0.25">
      <c r="A106" t="s">
        <v>96</v>
      </c>
      <c r="B106" t="s">
        <v>97</v>
      </c>
      <c r="C106" t="s">
        <v>98</v>
      </c>
      <c r="D106" t="s">
        <v>9</v>
      </c>
      <c r="E106" t="s">
        <v>10</v>
      </c>
      <c r="F106" t="s">
        <v>11</v>
      </c>
    </row>
    <row r="107" spans="1:6" x14ac:dyDescent="0.25">
      <c r="E107" t="s">
        <v>12</v>
      </c>
      <c r="F107" t="s">
        <v>13</v>
      </c>
    </row>
    <row r="108" spans="1:6" x14ac:dyDescent="0.25">
      <c r="E108" t="s">
        <v>14</v>
      </c>
      <c r="F108" t="s">
        <v>15</v>
      </c>
    </row>
    <row r="109" spans="1:6" x14ac:dyDescent="0.25">
      <c r="E109" t="s">
        <v>16</v>
      </c>
      <c r="F109" t="s">
        <v>17</v>
      </c>
    </row>
    <row r="110" spans="1:6" x14ac:dyDescent="0.25">
      <c r="E110" t="s">
        <v>18</v>
      </c>
      <c r="F110" t="s">
        <v>19</v>
      </c>
    </row>
    <row r="111" spans="1:6" x14ac:dyDescent="0.25">
      <c r="E111" t="s">
        <v>20</v>
      </c>
      <c r="F111" t="s">
        <v>21</v>
      </c>
    </row>
    <row r="112" spans="1:6" x14ac:dyDescent="0.25">
      <c r="E112" t="s">
        <v>22</v>
      </c>
      <c r="F112" t="s">
        <v>23</v>
      </c>
    </row>
    <row r="113" spans="1:6" x14ac:dyDescent="0.25">
      <c r="D113" t="s">
        <v>67</v>
      </c>
      <c r="E113" t="s">
        <v>68</v>
      </c>
      <c r="F113" t="s">
        <v>11</v>
      </c>
    </row>
    <row r="114" spans="1:6" x14ac:dyDescent="0.25">
      <c r="E114" t="s">
        <v>69</v>
      </c>
      <c r="F114" t="s">
        <v>70</v>
      </c>
    </row>
    <row r="115" spans="1:6" x14ac:dyDescent="0.25">
      <c r="E115" t="s">
        <v>71</v>
      </c>
      <c r="F115" t="s">
        <v>72</v>
      </c>
    </row>
    <row r="116" spans="1:6" x14ac:dyDescent="0.25">
      <c r="E116" t="s">
        <v>73</v>
      </c>
      <c r="F116" t="s">
        <v>74</v>
      </c>
    </row>
    <row r="117" spans="1:6" x14ac:dyDescent="0.25">
      <c r="A117" t="s">
        <v>99</v>
      </c>
      <c r="B117" t="s">
        <v>100</v>
      </c>
      <c r="C117" t="s">
        <v>101</v>
      </c>
      <c r="D117" t="s">
        <v>67</v>
      </c>
      <c r="E117" t="s">
        <v>68</v>
      </c>
      <c r="F117" t="s">
        <v>11</v>
      </c>
    </row>
    <row r="118" spans="1:6" x14ac:dyDescent="0.25">
      <c r="E118" t="s">
        <v>71</v>
      </c>
      <c r="F118" t="s">
        <v>72</v>
      </c>
    </row>
    <row r="119" spans="1:6" x14ac:dyDescent="0.25">
      <c r="B119" t="s">
        <v>102</v>
      </c>
      <c r="C119" t="s">
        <v>103</v>
      </c>
      <c r="D119" t="s">
        <v>67</v>
      </c>
      <c r="E119" t="s">
        <v>68</v>
      </c>
      <c r="F119" t="s">
        <v>11</v>
      </c>
    </row>
    <row r="120" spans="1:6" x14ac:dyDescent="0.25">
      <c r="E120" t="s">
        <v>69</v>
      </c>
      <c r="F120" t="s">
        <v>70</v>
      </c>
    </row>
    <row r="121" spans="1:6" x14ac:dyDescent="0.25">
      <c r="E121" t="s">
        <v>71</v>
      </c>
      <c r="F121" t="s">
        <v>72</v>
      </c>
    </row>
    <row r="122" spans="1:6" x14ac:dyDescent="0.25">
      <c r="E122" t="s">
        <v>73</v>
      </c>
      <c r="F122" t="s">
        <v>74</v>
      </c>
    </row>
    <row r="123" spans="1:6" x14ac:dyDescent="0.25">
      <c r="B123" t="s">
        <v>104</v>
      </c>
      <c r="C123" t="s">
        <v>105</v>
      </c>
      <c r="D123" t="s">
        <v>9</v>
      </c>
      <c r="E123" t="s">
        <v>10</v>
      </c>
      <c r="F123" t="s">
        <v>11</v>
      </c>
    </row>
    <row r="124" spans="1:6" x14ac:dyDescent="0.25">
      <c r="E124" t="s">
        <v>12</v>
      </c>
      <c r="F124" t="s">
        <v>13</v>
      </c>
    </row>
    <row r="125" spans="1:6" x14ac:dyDescent="0.25">
      <c r="E125" t="s">
        <v>14</v>
      </c>
      <c r="F125" t="s">
        <v>15</v>
      </c>
    </row>
    <row r="126" spans="1:6" x14ac:dyDescent="0.25">
      <c r="E126" t="s">
        <v>16</v>
      </c>
      <c r="F126" t="s">
        <v>17</v>
      </c>
    </row>
    <row r="127" spans="1:6" x14ac:dyDescent="0.25">
      <c r="E127" t="s">
        <v>18</v>
      </c>
      <c r="F127" t="s">
        <v>19</v>
      </c>
    </row>
    <row r="128" spans="1:6" x14ac:dyDescent="0.25">
      <c r="E128" t="s">
        <v>20</v>
      </c>
      <c r="F128" t="s">
        <v>21</v>
      </c>
    </row>
    <row r="129" spans="1:6" x14ac:dyDescent="0.25">
      <c r="E129" t="s">
        <v>22</v>
      </c>
      <c r="F129" t="s">
        <v>23</v>
      </c>
    </row>
    <row r="130" spans="1:6" x14ac:dyDescent="0.25">
      <c r="D130" t="s">
        <v>67</v>
      </c>
      <c r="E130" t="s">
        <v>68</v>
      </c>
      <c r="F130" t="s">
        <v>11</v>
      </c>
    </row>
    <row r="131" spans="1:6" x14ac:dyDescent="0.25">
      <c r="E131" t="s">
        <v>69</v>
      </c>
      <c r="F131" t="s">
        <v>70</v>
      </c>
    </row>
    <row r="132" spans="1:6" x14ac:dyDescent="0.25">
      <c r="E132" t="s">
        <v>81</v>
      </c>
      <c r="F132" t="s">
        <v>82</v>
      </c>
    </row>
    <row r="133" spans="1:6" x14ac:dyDescent="0.25">
      <c r="E133" t="s">
        <v>71</v>
      </c>
      <c r="F133" t="s">
        <v>72</v>
      </c>
    </row>
    <row r="134" spans="1:6" x14ac:dyDescent="0.25">
      <c r="E134" t="s">
        <v>73</v>
      </c>
      <c r="F134" t="s">
        <v>74</v>
      </c>
    </row>
    <row r="135" spans="1:6" x14ac:dyDescent="0.25">
      <c r="D135" t="s">
        <v>34</v>
      </c>
      <c r="E135" t="s">
        <v>35</v>
      </c>
      <c r="F135" t="s">
        <v>11</v>
      </c>
    </row>
    <row r="136" spans="1:6" x14ac:dyDescent="0.25">
      <c r="E136" t="s">
        <v>36</v>
      </c>
      <c r="F136" t="s">
        <v>13</v>
      </c>
    </row>
    <row r="137" spans="1:6" x14ac:dyDescent="0.25">
      <c r="E137" t="s">
        <v>37</v>
      </c>
      <c r="F137" t="s">
        <v>15</v>
      </c>
    </row>
    <row r="138" spans="1:6" x14ac:dyDescent="0.25">
      <c r="E138" t="s">
        <v>38</v>
      </c>
      <c r="F138" t="s">
        <v>32</v>
      </c>
    </row>
    <row r="139" spans="1:6" x14ac:dyDescent="0.25">
      <c r="E139" t="s">
        <v>39</v>
      </c>
      <c r="F139" t="s">
        <v>17</v>
      </c>
    </row>
    <row r="140" spans="1:6" x14ac:dyDescent="0.25">
      <c r="E140" t="s">
        <v>40</v>
      </c>
      <c r="F140" t="s">
        <v>19</v>
      </c>
    </row>
    <row r="141" spans="1:6" x14ac:dyDescent="0.25">
      <c r="E141" t="s">
        <v>41</v>
      </c>
      <c r="F141" t="s">
        <v>23</v>
      </c>
    </row>
    <row r="142" spans="1:6" x14ac:dyDescent="0.25">
      <c r="E142" t="s">
        <v>42</v>
      </c>
      <c r="F142" t="s">
        <v>33</v>
      </c>
    </row>
    <row r="143" spans="1:6" x14ac:dyDescent="0.25">
      <c r="A143" t="s">
        <v>106</v>
      </c>
      <c r="B143" t="s">
        <v>106</v>
      </c>
      <c r="C143" t="s">
        <v>106</v>
      </c>
      <c r="D143" t="s">
        <v>106</v>
      </c>
      <c r="E143" t="s">
        <v>106</v>
      </c>
      <c r="F143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2"/>
  <sheetViews>
    <sheetView workbookViewId="0">
      <selection activeCell="D681" sqref="D680:D681"/>
    </sheetView>
  </sheetViews>
  <sheetFormatPr baseColWidth="10" defaultColWidth="9.140625" defaultRowHeight="15" x14ac:dyDescent="0.25"/>
  <cols>
    <col min="1" max="1" width="20.42578125" bestFit="1" customWidth="1"/>
    <col min="2" max="2" width="20.42578125" customWidth="1"/>
    <col min="3" max="3" width="35.85546875" bestFit="1" customWidth="1"/>
    <col min="4" max="4" width="21" bestFit="1" customWidth="1"/>
    <col min="5" max="5" width="21" customWidth="1"/>
    <col min="6" max="6" width="22.85546875" bestFit="1" customWidth="1"/>
    <col min="7" max="8" width="22.85546875" customWidth="1"/>
    <col min="9" max="9" width="22.28515625" bestFit="1" customWidth="1"/>
    <col min="10" max="10" width="45.5703125" bestFit="1" customWidth="1"/>
    <col min="11" max="11" width="30.7109375" bestFit="1" customWidth="1"/>
  </cols>
  <sheetData>
    <row r="1" spans="1:11" ht="15.75" x14ac:dyDescent="0.25">
      <c r="A1" s="8" t="s">
        <v>3</v>
      </c>
      <c r="B1" s="8" t="s">
        <v>107</v>
      </c>
      <c r="C1" s="8" t="s">
        <v>108</v>
      </c>
      <c r="D1" s="8" t="s">
        <v>5</v>
      </c>
      <c r="E1" s="8" t="s">
        <v>4</v>
      </c>
      <c r="F1" s="8" t="s">
        <v>2</v>
      </c>
      <c r="G1" s="8" t="s">
        <v>1</v>
      </c>
      <c r="H1" s="8" t="s">
        <v>0</v>
      </c>
      <c r="I1" s="9" t="s">
        <v>109</v>
      </c>
      <c r="J1" s="10" t="s">
        <v>110</v>
      </c>
      <c r="K1" s="9" t="s">
        <v>111</v>
      </c>
    </row>
    <row r="2" spans="1:11" hidden="1" x14ac:dyDescent="0.25">
      <c r="A2" s="2" t="s">
        <v>67</v>
      </c>
      <c r="B2" s="2" t="str">
        <f>_xlfn.XLOOKUP(Tabla1[[#This Row],[SOCIEDAD]],centros!D:D,centros!E:E)</f>
        <v>VF00</v>
      </c>
      <c r="C2" s="2" t="s">
        <v>112</v>
      </c>
      <c r="D2" s="2" t="s">
        <v>95</v>
      </c>
      <c r="E2" s="2" t="str">
        <f>IFERROR(INDEX(centros!$H$2:$H$45,MATCH(TRIM(Tabla1[[#This Row],[SOCIEDAD]])&amp;"|"&amp;TRIM(Tabla1[[#This Row],[LOCALIDAD]]),centros!$G$2:$G$45,0)),"REVISAR")</f>
        <v>VF07</v>
      </c>
      <c r="F2" s="2" t="s">
        <v>90</v>
      </c>
      <c r="G2" s="2" t="str">
        <f>_xlfn.XLOOKUP(Tabla1[[#This Row],[MARCA]],MARCAS!E:E,MARCAS!F:F)</f>
        <v>170</v>
      </c>
      <c r="H2" s="2" t="str">
        <f>_xlfn.XLOOKUP(Tabla1[[#This Row],[MARCA]],MARCAS!C:C,MARCAS!A:A)</f>
        <v>F0027</v>
      </c>
      <c r="I2" s="36" t="s">
        <v>113</v>
      </c>
      <c r="J2" s="37" t="s">
        <v>114</v>
      </c>
      <c r="K2" s="2" t="s">
        <v>115</v>
      </c>
    </row>
    <row r="3" spans="1:11" hidden="1" x14ac:dyDescent="0.25">
      <c r="A3" s="2" t="s">
        <v>67</v>
      </c>
      <c r="B3" s="2" t="str">
        <f>_xlfn.XLOOKUP(Tabla1[[#This Row],[SOCIEDAD]],centros!D:D,centros!E:E)</f>
        <v>VF00</v>
      </c>
      <c r="C3" s="2" t="s">
        <v>112</v>
      </c>
      <c r="D3" s="2" t="s">
        <v>82</v>
      </c>
      <c r="E3" s="2" t="str">
        <f>IFERROR(INDEX(centros!$H$2:$H$45,MATCH(TRIM(Tabla1[[#This Row],[SOCIEDAD]])&amp;"|"&amp;TRIM(Tabla1[[#This Row],[LOCALIDAD]]),centros!$G$2:$G$45,0)),"REVISAR")</f>
        <v>VF03</v>
      </c>
      <c r="F3" s="2" t="s">
        <v>80</v>
      </c>
      <c r="G3" s="2" t="str">
        <f>_xlfn.XLOOKUP(Tabla1[[#This Row],[MARCA]],MARCAS!E:E,MARCAS!F:F)</f>
        <v>140</v>
      </c>
      <c r="H3" s="2" t="str">
        <f>_xlfn.XLOOKUP(Tabla1[[#This Row],[MARCA]],MARCAS!C:C,MARCAS!A:A)</f>
        <v>F0021</v>
      </c>
      <c r="I3" s="36" t="s">
        <v>116</v>
      </c>
      <c r="J3" s="37" t="s">
        <v>117</v>
      </c>
      <c r="K3" s="2" t="s">
        <v>118</v>
      </c>
    </row>
    <row r="4" spans="1:11" hidden="1" x14ac:dyDescent="0.25">
      <c r="A4" s="2" t="s">
        <v>67</v>
      </c>
      <c r="B4" s="2" t="str">
        <f>_xlfn.XLOOKUP(Tabla1[[#This Row],[SOCIEDAD]],centros!D:D,centros!E:E)</f>
        <v>VF00</v>
      </c>
      <c r="C4" s="2" t="s">
        <v>112</v>
      </c>
      <c r="D4" s="2" t="s">
        <v>82</v>
      </c>
      <c r="E4" s="2" t="str">
        <f>IFERROR(INDEX(centros!$H$2:$H$45,MATCH(TRIM(Tabla1[[#This Row],[SOCIEDAD]])&amp;"|"&amp;TRIM(Tabla1[[#This Row],[LOCALIDAD]]),centros!$G$2:$G$45,0)),"REVISAR")</f>
        <v>VF03</v>
      </c>
      <c r="F4" s="2" t="s">
        <v>105</v>
      </c>
      <c r="G4" s="2" t="str">
        <f>_xlfn.XLOOKUP(Tabla1[[#This Row],[MARCA]],MARCAS!E:E,MARCAS!F:F)</f>
        <v>280</v>
      </c>
      <c r="H4" s="2" t="str">
        <f>_xlfn.XLOOKUP(Tabla1[[#This Row],[MARCA]],MARCAS!C:C,MARCAS!A:A)</f>
        <v>F9999</v>
      </c>
      <c r="I4" s="36" t="s">
        <v>119</v>
      </c>
      <c r="J4" s="37" t="s">
        <v>120</v>
      </c>
      <c r="K4" s="2" t="s">
        <v>121</v>
      </c>
    </row>
    <row r="5" spans="1:11" hidden="1" x14ac:dyDescent="0.25">
      <c r="A5" s="2" t="s">
        <v>67</v>
      </c>
      <c r="B5" s="2" t="str">
        <f>_xlfn.XLOOKUP(Tabla1[[#This Row],[SOCIEDAD]],centros!D:D,centros!E:E)</f>
        <v>VF00</v>
      </c>
      <c r="C5" s="2" t="s">
        <v>112</v>
      </c>
      <c r="D5" s="2" t="s">
        <v>91</v>
      </c>
      <c r="E5" s="2" t="str">
        <f>IFERROR(INDEX(centros!$H$2:$H$45,MATCH(TRIM(Tabla1[[#This Row],[SOCIEDAD]])&amp;"|"&amp;TRIM(Tabla1[[#This Row],[LOCALIDAD]]),centros!$G$2:$G$45,0)),"REVISAR")</f>
        <v>VF01</v>
      </c>
      <c r="F5" s="2" t="s">
        <v>90</v>
      </c>
      <c r="G5" s="2" t="str">
        <f>_xlfn.XLOOKUP(Tabla1[[#This Row],[MARCA]],MARCAS!E:E,MARCAS!F:F)</f>
        <v>170</v>
      </c>
      <c r="H5" s="2" t="str">
        <f>_xlfn.XLOOKUP(Tabla1[[#This Row],[MARCA]],MARCAS!C:C,MARCAS!A:A)</f>
        <v>F0027</v>
      </c>
      <c r="I5" s="36" t="s">
        <v>122</v>
      </c>
      <c r="J5" s="37" t="s">
        <v>123</v>
      </c>
      <c r="K5" s="2" t="s">
        <v>124</v>
      </c>
    </row>
    <row r="6" spans="1:11" hidden="1" x14ac:dyDescent="0.25">
      <c r="A6" s="2" t="s">
        <v>67</v>
      </c>
      <c r="B6" s="2" t="str">
        <f>_xlfn.XLOOKUP(Tabla1[[#This Row],[SOCIEDAD]],centros!D:D,centros!E:E)</f>
        <v>VF00</v>
      </c>
      <c r="C6" s="2" t="s">
        <v>112</v>
      </c>
      <c r="D6" s="2" t="s">
        <v>70</v>
      </c>
      <c r="E6" s="2" t="str">
        <f>IFERROR(INDEX(centros!$H$2:$H$45,MATCH(TRIM(Tabla1[[#This Row],[SOCIEDAD]])&amp;"|"&amp;TRIM(Tabla1[[#This Row],[LOCALIDAD]]),centros!$G$2:$G$45,0)),"REVISAR")</f>
        <v>VF01</v>
      </c>
      <c r="F6" s="2" t="s">
        <v>84</v>
      </c>
      <c r="G6" s="2" t="str">
        <f>_xlfn.XLOOKUP(Tabla1[[#This Row],[MARCA]],MARCAS!E:E,MARCAS!F:F)</f>
        <v>060</v>
      </c>
      <c r="H6" s="2" t="str">
        <f>_xlfn.XLOOKUP(Tabla1[[#This Row],[MARCA]],MARCAS!C:C,MARCAS!A:A)</f>
        <v>F0022</v>
      </c>
      <c r="I6" s="36" t="s">
        <v>125</v>
      </c>
      <c r="J6" s="37" t="s">
        <v>126</v>
      </c>
      <c r="K6" s="2" t="s">
        <v>127</v>
      </c>
    </row>
    <row r="7" spans="1:11" x14ac:dyDescent="0.25">
      <c r="A7" s="2" t="s">
        <v>67</v>
      </c>
      <c r="B7" s="2" t="str">
        <f>_xlfn.XLOOKUP(Tabla1[[#This Row],[SOCIEDAD]],centros!D:D,centros!E:E)</f>
        <v>VF00</v>
      </c>
      <c r="C7" s="2" t="s">
        <v>112</v>
      </c>
      <c r="D7" s="2" t="s">
        <v>70</v>
      </c>
      <c r="E7" s="2" t="str">
        <f>IFERROR(INDEX(centros!$H$2:$H$45,MATCH(TRIM(Tabla1[[#This Row],[SOCIEDAD]])&amp;"|"&amp;TRIM(Tabla1[[#This Row],[LOCALIDAD]]),centros!$G$2:$G$45,0)),"REVISAR")</f>
        <v>VF01</v>
      </c>
      <c r="F7" s="2" t="s">
        <v>98</v>
      </c>
      <c r="G7" s="2" t="str">
        <f>_xlfn.XLOOKUP(Tabla1[[#This Row],[MARCA]],MARCAS!E:E,MARCAS!F:F)</f>
        <v>080</v>
      </c>
      <c r="H7" s="2" t="str">
        <f>_xlfn.XLOOKUP(Tabla1[[#This Row],[MARCA]],MARCAS!C:C,MARCAS!A:A)</f>
        <v>F0028</v>
      </c>
      <c r="I7" s="36" t="s">
        <v>128</v>
      </c>
      <c r="J7" s="37" t="s">
        <v>129</v>
      </c>
      <c r="K7" s="2" t="s">
        <v>130</v>
      </c>
    </row>
    <row r="8" spans="1:11" hidden="1" x14ac:dyDescent="0.25">
      <c r="A8" s="2" t="s">
        <v>67</v>
      </c>
      <c r="B8" s="2" t="str">
        <f>_xlfn.XLOOKUP(Tabla1[[#This Row],[SOCIEDAD]],centros!D:D,centros!E:E)</f>
        <v>VF00</v>
      </c>
      <c r="C8" s="2" t="s">
        <v>112</v>
      </c>
      <c r="D8" s="2" t="s">
        <v>70</v>
      </c>
      <c r="E8" s="2" t="str">
        <f>IFERROR(INDEX(centros!$H$2:$H$45,MATCH(TRIM(Tabla1[[#This Row],[SOCIEDAD]])&amp;"|"&amp;TRIM(Tabla1[[#This Row],[LOCALIDAD]]),centros!$G$2:$G$45,0)),"REVISAR")</f>
        <v>VF01</v>
      </c>
      <c r="F8" s="2" t="s">
        <v>66</v>
      </c>
      <c r="G8" s="2" t="str">
        <f>_xlfn.XLOOKUP(Tabla1[[#This Row],[MARCA]],MARCAS!E:E,MARCAS!F:F)</f>
        <v>130</v>
      </c>
      <c r="H8" s="2" t="str">
        <f>_xlfn.XLOOKUP(Tabla1[[#This Row],[MARCA]],MARCAS!C:C,MARCAS!A:A)</f>
        <v>F0019</v>
      </c>
      <c r="I8" s="36" t="s">
        <v>131</v>
      </c>
      <c r="J8" s="37" t="s">
        <v>132</v>
      </c>
      <c r="K8" s="2" t="s">
        <v>133</v>
      </c>
    </row>
    <row r="9" spans="1:11" hidden="1" x14ac:dyDescent="0.25">
      <c r="A9" s="2" t="s">
        <v>67</v>
      </c>
      <c r="B9" s="2" t="str">
        <f>_xlfn.XLOOKUP(Tabla1[[#This Row],[SOCIEDAD]],centros!D:D,centros!E:E)</f>
        <v>VF00</v>
      </c>
      <c r="C9" s="2" t="s">
        <v>112</v>
      </c>
      <c r="D9" s="2" t="s">
        <v>70</v>
      </c>
      <c r="E9" s="2" t="str">
        <f>IFERROR(INDEX(centros!$H$2:$H$45,MATCH(TRIM(Tabla1[[#This Row],[SOCIEDAD]])&amp;"|"&amp;TRIM(Tabla1[[#This Row],[LOCALIDAD]]),centros!$G$2:$G$45,0)),"REVISAR")</f>
        <v>VF01</v>
      </c>
      <c r="F9" s="2" t="s">
        <v>87</v>
      </c>
      <c r="G9" s="2" t="str">
        <f>_xlfn.XLOOKUP(Tabla1[[#This Row],[MARCA]],MARCAS!E:E,MARCAS!F:F)</f>
        <v>160</v>
      </c>
      <c r="H9" s="2" t="str">
        <f>_xlfn.XLOOKUP(Tabla1[[#This Row],[MARCA]],MARCAS!C:C,MARCAS!A:A)</f>
        <v>F0023</v>
      </c>
      <c r="I9" s="36" t="s">
        <v>134</v>
      </c>
      <c r="J9" s="37" t="s">
        <v>135</v>
      </c>
      <c r="K9" s="2" t="s">
        <v>136</v>
      </c>
    </row>
    <row r="10" spans="1:11" hidden="1" x14ac:dyDescent="0.25">
      <c r="A10" s="2" t="s">
        <v>67</v>
      </c>
      <c r="B10" s="2" t="str">
        <f>_xlfn.XLOOKUP(Tabla1[[#This Row],[SOCIEDAD]],centros!D:D,centros!E:E)</f>
        <v>VF00</v>
      </c>
      <c r="C10" s="2" t="s">
        <v>112</v>
      </c>
      <c r="D10" s="2" t="s">
        <v>70</v>
      </c>
      <c r="E10" s="2" t="str">
        <f>IFERROR(INDEX(centros!$H$2:$H$45,MATCH(TRIM(Tabla1[[#This Row],[SOCIEDAD]])&amp;"|"&amp;TRIM(Tabla1[[#This Row],[LOCALIDAD]]),centros!$G$2:$G$45,0)),"REVISAR")</f>
        <v>VF01</v>
      </c>
      <c r="F10" s="2" t="s">
        <v>105</v>
      </c>
      <c r="G10" s="2" t="str">
        <f>_xlfn.XLOOKUP(Tabla1[[#This Row],[MARCA]],MARCAS!E:E,MARCAS!F:F)</f>
        <v>280</v>
      </c>
      <c r="H10" s="2" t="str">
        <f>_xlfn.XLOOKUP(Tabla1[[#This Row],[MARCA]],MARCAS!C:C,MARCAS!A:A)</f>
        <v>F9999</v>
      </c>
      <c r="I10" s="36" t="s">
        <v>137</v>
      </c>
      <c r="J10" s="37" t="s">
        <v>138</v>
      </c>
      <c r="K10" s="2" t="s">
        <v>139</v>
      </c>
    </row>
    <row r="11" spans="1:11" hidden="1" x14ac:dyDescent="0.25">
      <c r="A11" s="2" t="s">
        <v>67</v>
      </c>
      <c r="B11" s="2" t="str">
        <f>_xlfn.XLOOKUP(Tabla1[[#This Row],[SOCIEDAD]],centros!D:D,centros!E:E)</f>
        <v>VF00</v>
      </c>
      <c r="C11" s="2" t="s">
        <v>112</v>
      </c>
      <c r="D11" s="2" t="s">
        <v>70</v>
      </c>
      <c r="E11" s="2" t="str">
        <f>IFERROR(INDEX(centros!$H$2:$H$45,MATCH(TRIM(Tabla1[[#This Row],[SOCIEDAD]])&amp;"|"&amp;TRIM(Tabla1[[#This Row],[LOCALIDAD]]),centros!$G$2:$G$45,0)),"REVISAR")</f>
        <v>VF01</v>
      </c>
      <c r="F11" s="2" t="s">
        <v>77</v>
      </c>
      <c r="G11" s="2" t="str">
        <f>_xlfn.XLOOKUP(Tabla1[[#This Row],[MARCA]],MARCAS!E:E,MARCAS!F:F)</f>
        <v>260</v>
      </c>
      <c r="H11" s="2" t="str">
        <f>_xlfn.XLOOKUP(Tabla1[[#This Row],[MARCA]],MARCAS!C:C,MARCAS!A:A)</f>
        <v>F0020</v>
      </c>
      <c r="I11" s="36" t="s">
        <v>140</v>
      </c>
      <c r="J11" s="37" t="s">
        <v>141</v>
      </c>
      <c r="K11" s="2" t="s">
        <v>142</v>
      </c>
    </row>
    <row r="12" spans="1:11" hidden="1" x14ac:dyDescent="0.25">
      <c r="A12" s="2" t="s">
        <v>67</v>
      </c>
      <c r="B12" s="2" t="str">
        <f>_xlfn.XLOOKUP(Tabla1[[#This Row],[SOCIEDAD]],centros!D:D,centros!E:E)</f>
        <v>VF00</v>
      </c>
      <c r="C12" s="2" t="s">
        <v>112</v>
      </c>
      <c r="D12" s="2" t="s">
        <v>72</v>
      </c>
      <c r="E12" s="2" t="str">
        <f>IFERROR(INDEX(centros!$H$2:$H$45,MATCH(TRIM(Tabla1[[#This Row],[SOCIEDAD]])&amp;"|"&amp;TRIM(Tabla1[[#This Row],[LOCALIDAD]]),centros!$G$2:$G$45,0)),"REVISAR")</f>
        <v>VF04</v>
      </c>
      <c r="F12" s="2" t="s">
        <v>84</v>
      </c>
      <c r="G12" s="2" t="str">
        <f>_xlfn.XLOOKUP(Tabla1[[#This Row],[MARCA]],MARCAS!E:E,MARCAS!F:F)</f>
        <v>060</v>
      </c>
      <c r="H12" s="2" t="str">
        <f>_xlfn.XLOOKUP(Tabla1[[#This Row],[MARCA]],MARCAS!C:C,MARCAS!A:A)</f>
        <v>F0022</v>
      </c>
      <c r="I12" s="36" t="s">
        <v>143</v>
      </c>
      <c r="J12" s="37" t="s">
        <v>144</v>
      </c>
      <c r="K12" s="2" t="s">
        <v>145</v>
      </c>
    </row>
    <row r="13" spans="1:11" x14ac:dyDescent="0.25">
      <c r="A13" s="2" t="s">
        <v>67</v>
      </c>
      <c r="B13" s="2" t="str">
        <f>_xlfn.XLOOKUP(Tabla1[[#This Row],[SOCIEDAD]],centros!D:D,centros!E:E)</f>
        <v>VF00</v>
      </c>
      <c r="C13" s="2" t="s">
        <v>112</v>
      </c>
      <c r="D13" s="2" t="s">
        <v>72</v>
      </c>
      <c r="E13" s="2" t="str">
        <f>IFERROR(INDEX(centros!$H$2:$H$45,MATCH(TRIM(Tabla1[[#This Row],[SOCIEDAD]])&amp;"|"&amp;TRIM(Tabla1[[#This Row],[LOCALIDAD]]),centros!$G$2:$G$45,0)),"REVISAR")</f>
        <v>VF04</v>
      </c>
      <c r="F13" s="2" t="s">
        <v>98</v>
      </c>
      <c r="G13" s="2" t="str">
        <f>_xlfn.XLOOKUP(Tabla1[[#This Row],[MARCA]],MARCAS!E:E,MARCAS!F:F)</f>
        <v>080</v>
      </c>
      <c r="H13" s="2" t="str">
        <f>_xlfn.XLOOKUP(Tabla1[[#This Row],[MARCA]],MARCAS!C:C,MARCAS!A:A)</f>
        <v>F0028</v>
      </c>
      <c r="I13" s="36" t="s">
        <v>146</v>
      </c>
      <c r="J13" s="37" t="s">
        <v>147</v>
      </c>
      <c r="K13" s="2" t="s">
        <v>148</v>
      </c>
    </row>
    <row r="14" spans="1:11" hidden="1" x14ac:dyDescent="0.25">
      <c r="A14" s="2" t="s">
        <v>67</v>
      </c>
      <c r="B14" s="2" t="str">
        <f>_xlfn.XLOOKUP(Tabla1[[#This Row],[SOCIEDAD]],centros!D:D,centros!E:E)</f>
        <v>VF00</v>
      </c>
      <c r="C14" s="2" t="s">
        <v>112</v>
      </c>
      <c r="D14" s="2" t="s">
        <v>72</v>
      </c>
      <c r="E14" s="2" t="str">
        <f>IFERROR(INDEX(centros!$H$2:$H$45,MATCH(TRIM(Tabla1[[#This Row],[SOCIEDAD]])&amp;"|"&amp;TRIM(Tabla1[[#This Row],[LOCALIDAD]]),centros!$G$2:$G$45,0)),"REVISAR")</f>
        <v>VF04</v>
      </c>
      <c r="F14" s="2" t="s">
        <v>101</v>
      </c>
      <c r="G14" s="2" t="str">
        <f>_xlfn.XLOOKUP(Tabla1[[#This Row],[MARCA]],MARCAS!E:E,MARCAS!F:F)</f>
        <v>120</v>
      </c>
      <c r="H14" s="12" t="s">
        <v>149</v>
      </c>
      <c r="I14" s="36" t="s">
        <v>150</v>
      </c>
      <c r="J14" s="37" t="s">
        <v>151</v>
      </c>
      <c r="K14" s="2" t="s">
        <v>152</v>
      </c>
    </row>
    <row r="15" spans="1:11" hidden="1" x14ac:dyDescent="0.25">
      <c r="A15" s="2" t="s">
        <v>67</v>
      </c>
      <c r="B15" s="2" t="str">
        <f>_xlfn.XLOOKUP(Tabla1[[#This Row],[SOCIEDAD]],centros!D:D,centros!E:E)</f>
        <v>VF00</v>
      </c>
      <c r="C15" s="2" t="s">
        <v>112</v>
      </c>
      <c r="D15" s="2" t="s">
        <v>72</v>
      </c>
      <c r="E15" s="2" t="str">
        <f>IFERROR(INDEX(centros!$H$2:$H$45,MATCH(TRIM(Tabla1[[#This Row],[SOCIEDAD]])&amp;"|"&amp;TRIM(Tabla1[[#This Row],[LOCALIDAD]]),centros!$G$2:$G$45,0)),"REVISAR")</f>
        <v>VF04</v>
      </c>
      <c r="F15" s="2" t="s">
        <v>66</v>
      </c>
      <c r="G15" s="2" t="str">
        <f>_xlfn.XLOOKUP(Tabla1[[#This Row],[MARCA]],MARCAS!E:E,MARCAS!F:F)</f>
        <v>130</v>
      </c>
      <c r="H15" s="2" t="str">
        <f>_xlfn.XLOOKUP(Tabla1[[#This Row],[MARCA]],MARCAS!C:C,MARCAS!A:A)</f>
        <v>F0019</v>
      </c>
      <c r="I15" s="36" t="s">
        <v>153</v>
      </c>
      <c r="J15" s="37" t="s">
        <v>154</v>
      </c>
      <c r="K15" s="2" t="s">
        <v>155</v>
      </c>
    </row>
    <row r="16" spans="1:11" hidden="1" x14ac:dyDescent="0.25">
      <c r="A16" s="2" t="s">
        <v>67</v>
      </c>
      <c r="B16" s="2" t="str">
        <f>_xlfn.XLOOKUP(Tabla1[[#This Row],[SOCIEDAD]],centros!D:D,centros!E:E)</f>
        <v>VF00</v>
      </c>
      <c r="C16" s="2" t="s">
        <v>112</v>
      </c>
      <c r="D16" s="2" t="s">
        <v>72</v>
      </c>
      <c r="E16" s="2" t="str">
        <f>IFERROR(INDEX(centros!$H$2:$H$45,MATCH(TRIM(Tabla1[[#This Row],[SOCIEDAD]])&amp;"|"&amp;TRIM(Tabla1[[#This Row],[LOCALIDAD]]),centros!$G$2:$G$45,0)),"REVISAR")</f>
        <v>VF04</v>
      </c>
      <c r="F16" s="2" t="s">
        <v>80</v>
      </c>
      <c r="G16" s="2" t="str">
        <f>_xlfn.XLOOKUP(Tabla1[[#This Row],[MARCA]],MARCAS!E:E,MARCAS!F:F)</f>
        <v>140</v>
      </c>
      <c r="H16" s="2" t="str">
        <f>_xlfn.XLOOKUP(Tabla1[[#This Row],[MARCA]],MARCAS!C:C,MARCAS!A:A)</f>
        <v>F0021</v>
      </c>
      <c r="I16" s="36" t="s">
        <v>156</v>
      </c>
      <c r="J16" s="37" t="s">
        <v>157</v>
      </c>
      <c r="K16" s="2" t="s">
        <v>158</v>
      </c>
    </row>
    <row r="17" spans="1:11" hidden="1" x14ac:dyDescent="0.25">
      <c r="A17" s="2" t="s">
        <v>67</v>
      </c>
      <c r="B17" s="2" t="str">
        <f>_xlfn.XLOOKUP(Tabla1[[#This Row],[SOCIEDAD]],centros!D:D,centros!E:E)</f>
        <v>VF00</v>
      </c>
      <c r="C17" s="2" t="s">
        <v>112</v>
      </c>
      <c r="D17" s="2" t="s">
        <v>72</v>
      </c>
      <c r="E17" s="2" t="str">
        <f>IFERROR(INDEX(centros!$H$2:$H$45,MATCH(TRIM(Tabla1[[#This Row],[SOCIEDAD]])&amp;"|"&amp;TRIM(Tabla1[[#This Row],[LOCALIDAD]]),centros!$G$2:$G$45,0)),"REVISAR")</f>
        <v>VF04</v>
      </c>
      <c r="F17" s="2" t="s">
        <v>87</v>
      </c>
      <c r="G17" s="2" t="str">
        <f>_xlfn.XLOOKUP(Tabla1[[#This Row],[MARCA]],MARCAS!E:E,MARCAS!F:F)</f>
        <v>160</v>
      </c>
      <c r="H17" s="2" t="str">
        <f>_xlfn.XLOOKUP(Tabla1[[#This Row],[MARCA]],MARCAS!C:C,MARCAS!A:A)</f>
        <v>F0023</v>
      </c>
      <c r="I17" s="36" t="s">
        <v>159</v>
      </c>
      <c r="J17" s="37" t="s">
        <v>160</v>
      </c>
      <c r="K17" s="2" t="s">
        <v>161</v>
      </c>
    </row>
    <row r="18" spans="1:11" hidden="1" x14ac:dyDescent="0.25">
      <c r="A18" s="2" t="s">
        <v>67</v>
      </c>
      <c r="B18" s="2" t="str">
        <f>_xlfn.XLOOKUP(Tabla1[[#This Row],[SOCIEDAD]],centros!D:D,centros!E:E)</f>
        <v>VF00</v>
      </c>
      <c r="C18" s="2" t="s">
        <v>112</v>
      </c>
      <c r="D18" s="2" t="s">
        <v>72</v>
      </c>
      <c r="E18" s="2" t="str">
        <f>IFERROR(INDEX(centros!$H$2:$H$45,MATCH(TRIM(Tabla1[[#This Row],[SOCIEDAD]])&amp;"|"&amp;TRIM(Tabla1[[#This Row],[LOCALIDAD]]),centros!$G$2:$G$45,0)),"REVISAR")</f>
        <v>VF04</v>
      </c>
      <c r="F18" s="2" t="s">
        <v>90</v>
      </c>
      <c r="G18" s="2" t="str">
        <f>_xlfn.XLOOKUP(Tabla1[[#This Row],[MARCA]],MARCAS!E:E,MARCAS!F:F)</f>
        <v>170</v>
      </c>
      <c r="H18" s="2" t="str">
        <f>_xlfn.XLOOKUP(Tabla1[[#This Row],[MARCA]],MARCAS!C:C,MARCAS!A:A)</f>
        <v>F0027</v>
      </c>
      <c r="I18" s="36" t="s">
        <v>162</v>
      </c>
      <c r="J18" s="37" t="s">
        <v>163</v>
      </c>
      <c r="K18" s="2" t="s">
        <v>164</v>
      </c>
    </row>
    <row r="19" spans="1:11" hidden="1" x14ac:dyDescent="0.25">
      <c r="A19" s="2" t="s">
        <v>67</v>
      </c>
      <c r="B19" s="2" t="str">
        <f>_xlfn.XLOOKUP(Tabla1[[#This Row],[SOCIEDAD]],centros!D:D,centros!E:E)</f>
        <v>VF00</v>
      </c>
      <c r="C19" s="2" t="s">
        <v>112</v>
      </c>
      <c r="D19" s="2" t="s">
        <v>72</v>
      </c>
      <c r="E19" s="2" t="str">
        <f>IFERROR(INDEX(centros!$H$2:$H$45,MATCH(TRIM(Tabla1[[#This Row],[SOCIEDAD]])&amp;"|"&amp;TRIM(Tabla1[[#This Row],[LOCALIDAD]]),centros!$G$2:$G$45,0)),"REVISAR")</f>
        <v>VF04</v>
      </c>
      <c r="F19" s="2" t="s">
        <v>105</v>
      </c>
      <c r="G19" s="2" t="str">
        <f>_xlfn.XLOOKUP(Tabla1[[#This Row],[MARCA]],MARCAS!E:E,MARCAS!F:F)</f>
        <v>280</v>
      </c>
      <c r="H19" s="2" t="str">
        <f>_xlfn.XLOOKUP(Tabla1[[#This Row],[MARCA]],MARCAS!C:C,MARCAS!A:A)</f>
        <v>F9999</v>
      </c>
      <c r="I19" s="36" t="s">
        <v>165</v>
      </c>
      <c r="J19" s="37" t="s">
        <v>166</v>
      </c>
      <c r="K19" s="2" t="s">
        <v>167</v>
      </c>
    </row>
    <row r="20" spans="1:11" hidden="1" x14ac:dyDescent="0.25">
      <c r="A20" s="2" t="s">
        <v>67</v>
      </c>
      <c r="B20" s="2" t="str">
        <f>_xlfn.XLOOKUP(Tabla1[[#This Row],[SOCIEDAD]],centros!D:D,centros!E:E)</f>
        <v>VF00</v>
      </c>
      <c r="C20" s="2" t="s">
        <v>112</v>
      </c>
      <c r="D20" s="2" t="s">
        <v>72</v>
      </c>
      <c r="E20" s="2" t="str">
        <f>IFERROR(INDEX(centros!$H$2:$H$45,MATCH(TRIM(Tabla1[[#This Row],[SOCIEDAD]])&amp;"|"&amp;TRIM(Tabla1[[#This Row],[LOCALIDAD]]),centros!$G$2:$G$45,0)),"REVISAR")</f>
        <v>VF04</v>
      </c>
      <c r="F20" s="2" t="s">
        <v>77</v>
      </c>
      <c r="G20" s="2" t="str">
        <f>_xlfn.XLOOKUP(Tabla1[[#This Row],[MARCA]],MARCAS!E:E,MARCAS!F:F)</f>
        <v>260</v>
      </c>
      <c r="H20" s="2" t="str">
        <f>_xlfn.XLOOKUP(Tabla1[[#This Row],[MARCA]],MARCAS!C:C,MARCAS!A:A)</f>
        <v>F0020</v>
      </c>
      <c r="I20" s="36" t="s">
        <v>168</v>
      </c>
      <c r="J20" s="37" t="s">
        <v>169</v>
      </c>
      <c r="K20" s="2" t="s">
        <v>170</v>
      </c>
    </row>
    <row r="21" spans="1:11" hidden="1" x14ac:dyDescent="0.25">
      <c r="A21" s="2" t="s">
        <v>67</v>
      </c>
      <c r="B21" s="2" t="str">
        <f>_xlfn.XLOOKUP(Tabla1[[#This Row],[SOCIEDAD]],centros!D:D,centros!E:E)</f>
        <v>VF00</v>
      </c>
      <c r="C21" s="2" t="s">
        <v>112</v>
      </c>
      <c r="D21" s="2" t="s">
        <v>74</v>
      </c>
      <c r="E21" s="2" t="str">
        <f>IFERROR(INDEX(centros!$H$2:$H$45,MATCH(TRIM(Tabla1[[#This Row],[SOCIEDAD]])&amp;"|"&amp;TRIM(Tabla1[[#This Row],[LOCALIDAD]]),centros!$G$2:$G$45,0)),"REVISAR")</f>
        <v>VF06</v>
      </c>
      <c r="F21" s="2" t="s">
        <v>84</v>
      </c>
      <c r="G21" s="2" t="str">
        <f>_xlfn.XLOOKUP(Tabla1[[#This Row],[MARCA]],MARCAS!E:E,MARCAS!F:F)</f>
        <v>060</v>
      </c>
      <c r="H21" s="2" t="str">
        <f>_xlfn.XLOOKUP(Tabla1[[#This Row],[MARCA]],MARCAS!C:C,MARCAS!A:A)</f>
        <v>F0022</v>
      </c>
      <c r="I21" s="36" t="s">
        <v>171</v>
      </c>
      <c r="J21" s="37" t="s">
        <v>172</v>
      </c>
      <c r="K21" s="2" t="s">
        <v>173</v>
      </c>
    </row>
    <row r="22" spans="1:11" x14ac:dyDescent="0.25">
      <c r="A22" s="2" t="s">
        <v>67</v>
      </c>
      <c r="B22" s="2" t="str">
        <f>_xlfn.XLOOKUP(Tabla1[[#This Row],[SOCIEDAD]],centros!D:D,centros!E:E)</f>
        <v>VF00</v>
      </c>
      <c r="C22" s="2" t="s">
        <v>112</v>
      </c>
      <c r="D22" s="2" t="s">
        <v>74</v>
      </c>
      <c r="E22" s="2" t="str">
        <f>IFERROR(INDEX(centros!$H$2:$H$45,MATCH(TRIM(Tabla1[[#This Row],[SOCIEDAD]])&amp;"|"&amp;TRIM(Tabla1[[#This Row],[LOCALIDAD]]),centros!$G$2:$G$45,0)),"REVISAR")</f>
        <v>VF06</v>
      </c>
      <c r="F22" s="2" t="s">
        <v>98</v>
      </c>
      <c r="G22" s="2" t="str">
        <f>_xlfn.XLOOKUP(Tabla1[[#This Row],[MARCA]],MARCAS!E:E,MARCAS!F:F)</f>
        <v>080</v>
      </c>
      <c r="H22" s="2" t="str">
        <f>_xlfn.XLOOKUP(Tabla1[[#This Row],[MARCA]],MARCAS!C:C,MARCAS!A:A)</f>
        <v>F0028</v>
      </c>
      <c r="I22" s="36" t="s">
        <v>174</v>
      </c>
      <c r="J22" s="37" t="s">
        <v>175</v>
      </c>
      <c r="K22" s="2" t="s">
        <v>176</v>
      </c>
    </row>
    <row r="23" spans="1:11" hidden="1" x14ac:dyDescent="0.25">
      <c r="A23" s="2" t="s">
        <v>67</v>
      </c>
      <c r="B23" s="2" t="str">
        <f>_xlfn.XLOOKUP(Tabla1[[#This Row],[SOCIEDAD]],centros!D:D,centros!E:E)</f>
        <v>VF00</v>
      </c>
      <c r="C23" s="2" t="s">
        <v>112</v>
      </c>
      <c r="D23" s="2" t="s">
        <v>74</v>
      </c>
      <c r="E23" s="2" t="str">
        <f>IFERROR(INDEX(centros!$H$2:$H$45,MATCH(TRIM(Tabla1[[#This Row],[SOCIEDAD]])&amp;"|"&amp;TRIM(Tabla1[[#This Row],[LOCALIDAD]]),centros!$G$2:$G$45,0)),"REVISAR")</f>
        <v>VF06</v>
      </c>
      <c r="F23" s="2" t="s">
        <v>66</v>
      </c>
      <c r="G23" s="2" t="str">
        <f>_xlfn.XLOOKUP(Tabla1[[#This Row],[MARCA]],MARCAS!E:E,MARCAS!F:F)</f>
        <v>130</v>
      </c>
      <c r="H23" s="2" t="str">
        <f>_xlfn.XLOOKUP(Tabla1[[#This Row],[MARCA]],MARCAS!C:C,MARCAS!A:A)</f>
        <v>F0019</v>
      </c>
      <c r="I23" s="36" t="s">
        <v>177</v>
      </c>
      <c r="J23" s="37" t="s">
        <v>178</v>
      </c>
      <c r="K23" s="2" t="s">
        <v>179</v>
      </c>
    </row>
    <row r="24" spans="1:11" hidden="1" x14ac:dyDescent="0.25">
      <c r="A24" s="2" t="s">
        <v>67</v>
      </c>
      <c r="B24" s="2" t="str">
        <f>_xlfn.XLOOKUP(Tabla1[[#This Row],[SOCIEDAD]],centros!D:D,centros!E:E)</f>
        <v>VF00</v>
      </c>
      <c r="C24" s="2" t="s">
        <v>112</v>
      </c>
      <c r="D24" s="2" t="s">
        <v>74</v>
      </c>
      <c r="E24" s="2" t="str">
        <f>IFERROR(INDEX(centros!$H$2:$H$45,MATCH(TRIM(Tabla1[[#This Row],[SOCIEDAD]])&amp;"|"&amp;TRIM(Tabla1[[#This Row],[LOCALIDAD]]),centros!$G$2:$G$45,0)),"REVISAR")</f>
        <v>VF06</v>
      </c>
      <c r="F24" s="2" t="s">
        <v>87</v>
      </c>
      <c r="G24" s="2" t="str">
        <f>_xlfn.XLOOKUP(Tabla1[[#This Row],[MARCA]],MARCAS!E:E,MARCAS!F:F)</f>
        <v>160</v>
      </c>
      <c r="H24" s="2" t="str">
        <f>_xlfn.XLOOKUP(Tabla1[[#This Row],[MARCA]],MARCAS!C:C,MARCAS!A:A)</f>
        <v>F0023</v>
      </c>
      <c r="I24" s="36" t="s">
        <v>180</v>
      </c>
      <c r="J24" s="37" t="s">
        <v>181</v>
      </c>
      <c r="K24" s="2" t="s">
        <v>182</v>
      </c>
    </row>
    <row r="25" spans="1:11" hidden="1" x14ac:dyDescent="0.25">
      <c r="A25" s="2" t="s">
        <v>67</v>
      </c>
      <c r="B25" s="2" t="str">
        <f>_xlfn.XLOOKUP(Tabla1[[#This Row],[SOCIEDAD]],centros!D:D,centros!E:E)</f>
        <v>VF00</v>
      </c>
      <c r="C25" s="2" t="s">
        <v>112</v>
      </c>
      <c r="D25" s="2" t="s">
        <v>74</v>
      </c>
      <c r="E25" s="2" t="str">
        <f>IFERROR(INDEX(centros!$H$2:$H$45,MATCH(TRIM(Tabla1[[#This Row],[SOCIEDAD]])&amp;"|"&amp;TRIM(Tabla1[[#This Row],[LOCALIDAD]]),centros!$G$2:$G$45,0)),"REVISAR")</f>
        <v>VF06</v>
      </c>
      <c r="F25" s="2" t="s">
        <v>90</v>
      </c>
      <c r="G25" s="2" t="str">
        <f>_xlfn.XLOOKUP(Tabla1[[#This Row],[MARCA]],MARCAS!E:E,MARCAS!F:F)</f>
        <v>170</v>
      </c>
      <c r="H25" s="2" t="str">
        <f>_xlfn.XLOOKUP(Tabla1[[#This Row],[MARCA]],MARCAS!C:C,MARCAS!A:A)</f>
        <v>F0027</v>
      </c>
      <c r="I25" s="36" t="s">
        <v>183</v>
      </c>
      <c r="J25" s="37" t="s">
        <v>184</v>
      </c>
      <c r="K25" s="2" t="s">
        <v>185</v>
      </c>
    </row>
    <row r="26" spans="1:11" hidden="1" x14ac:dyDescent="0.25">
      <c r="A26" s="2" t="s">
        <v>67</v>
      </c>
      <c r="B26" s="2" t="str">
        <f>_xlfn.XLOOKUP(Tabla1[[#This Row],[SOCIEDAD]],centros!D:D,centros!E:E)</f>
        <v>VF00</v>
      </c>
      <c r="C26" s="2" t="s">
        <v>112</v>
      </c>
      <c r="D26" s="2" t="s">
        <v>74</v>
      </c>
      <c r="E26" s="2" t="str">
        <f>IFERROR(INDEX(centros!$H$2:$H$45,MATCH(TRIM(Tabla1[[#This Row],[SOCIEDAD]])&amp;"|"&amp;TRIM(Tabla1[[#This Row],[LOCALIDAD]]),centros!$G$2:$G$45,0)),"REVISAR")</f>
        <v>VF06</v>
      </c>
      <c r="F26" s="2" t="s">
        <v>105</v>
      </c>
      <c r="G26" s="2" t="str">
        <f>_xlfn.XLOOKUP(Tabla1[[#This Row],[MARCA]],MARCAS!E:E,MARCAS!F:F)</f>
        <v>280</v>
      </c>
      <c r="H26" s="2" t="str">
        <f>_xlfn.XLOOKUP(Tabla1[[#This Row],[MARCA]],MARCAS!C:C,MARCAS!A:A)</f>
        <v>F9999</v>
      </c>
      <c r="I26" s="36" t="s">
        <v>186</v>
      </c>
      <c r="J26" s="37" t="s">
        <v>187</v>
      </c>
      <c r="K26" s="2" t="s">
        <v>188</v>
      </c>
    </row>
    <row r="27" spans="1:11" hidden="1" x14ac:dyDescent="0.25">
      <c r="A27" s="2" t="s">
        <v>67</v>
      </c>
      <c r="B27" s="2" t="str">
        <f>_xlfn.XLOOKUP(Tabla1[[#This Row],[SOCIEDAD]],centros!D:D,centros!E:E)</f>
        <v>VF00</v>
      </c>
      <c r="C27" s="2" t="s">
        <v>112</v>
      </c>
      <c r="D27" s="2" t="s">
        <v>74</v>
      </c>
      <c r="E27" s="2" t="str">
        <f>IFERROR(INDEX(centros!$H$2:$H$45,MATCH(TRIM(Tabla1[[#This Row],[SOCIEDAD]])&amp;"|"&amp;TRIM(Tabla1[[#This Row],[LOCALIDAD]]),centros!$G$2:$G$45,0)),"REVISAR")</f>
        <v>VF06</v>
      </c>
      <c r="F27" s="2" t="s">
        <v>77</v>
      </c>
      <c r="G27" s="2" t="str">
        <f>_xlfn.XLOOKUP(Tabla1[[#This Row],[MARCA]],MARCAS!E:E,MARCAS!F:F)</f>
        <v>260</v>
      </c>
      <c r="H27" s="2" t="str">
        <f>_xlfn.XLOOKUP(Tabla1[[#This Row],[MARCA]],MARCAS!C:C,MARCAS!A:A)</f>
        <v>F0020</v>
      </c>
      <c r="I27" s="36" t="s">
        <v>189</v>
      </c>
      <c r="J27" s="37" t="s">
        <v>190</v>
      </c>
      <c r="K27" s="2" t="s">
        <v>191</v>
      </c>
    </row>
    <row r="28" spans="1:11" hidden="1" x14ac:dyDescent="0.25">
      <c r="A28" s="2" t="s">
        <v>67</v>
      </c>
      <c r="B28" s="2" t="str">
        <f>_xlfn.XLOOKUP(Tabla1[[#This Row],[SOCIEDAD]],centros!D:D,centros!E:E)</f>
        <v>VF00</v>
      </c>
      <c r="C28" s="2" t="s">
        <v>112</v>
      </c>
      <c r="D28" s="2" t="s">
        <v>11</v>
      </c>
      <c r="E28" s="2" t="str">
        <f>IFERROR(INDEX(centros!$H$2:$H$45,MATCH(TRIM(Tabla1[[#This Row],[SOCIEDAD]])&amp;"|"&amp;TRIM(Tabla1[[#This Row],[LOCALIDAD]]),centros!$G$2:$G$45,0)),"REVISAR")</f>
        <v>VF00</v>
      </c>
      <c r="F28" s="2" t="s">
        <v>84</v>
      </c>
      <c r="G28" s="2" t="str">
        <f>_xlfn.XLOOKUP(Tabla1[[#This Row],[MARCA]],MARCAS!E:E,MARCAS!F:F)</f>
        <v>060</v>
      </c>
      <c r="H28" s="2" t="str">
        <f>_xlfn.XLOOKUP(Tabla1[[#This Row],[MARCA]],MARCAS!C:C,MARCAS!A:A)</f>
        <v>F0022</v>
      </c>
      <c r="I28" s="36" t="s">
        <v>192</v>
      </c>
      <c r="J28" s="37" t="s">
        <v>193</v>
      </c>
      <c r="K28" s="2" t="s">
        <v>194</v>
      </c>
    </row>
    <row r="29" spans="1:11" x14ac:dyDescent="0.25">
      <c r="A29" s="2" t="s">
        <v>67</v>
      </c>
      <c r="B29" s="2" t="str">
        <f>_xlfn.XLOOKUP(Tabla1[[#This Row],[SOCIEDAD]],centros!D:D,centros!E:E)</f>
        <v>VF00</v>
      </c>
      <c r="C29" s="2" t="s">
        <v>112</v>
      </c>
      <c r="D29" s="2" t="s">
        <v>11</v>
      </c>
      <c r="E29" s="2" t="str">
        <f>IFERROR(INDEX(centros!$H$2:$H$45,MATCH(TRIM(Tabla1[[#This Row],[SOCIEDAD]])&amp;"|"&amp;TRIM(Tabla1[[#This Row],[LOCALIDAD]]),centros!$G$2:$G$45,0)),"REVISAR")</f>
        <v>VF00</v>
      </c>
      <c r="F29" s="2" t="s">
        <v>98</v>
      </c>
      <c r="G29" s="2" t="str">
        <f>_xlfn.XLOOKUP(Tabla1[[#This Row],[MARCA]],MARCAS!E:E,MARCAS!F:F)</f>
        <v>080</v>
      </c>
      <c r="H29" s="2" t="str">
        <f>_xlfn.XLOOKUP(Tabla1[[#This Row],[MARCA]],MARCAS!C:C,MARCAS!A:A)</f>
        <v>F0028</v>
      </c>
      <c r="I29" s="36" t="s">
        <v>195</v>
      </c>
      <c r="J29" s="37" t="s">
        <v>196</v>
      </c>
      <c r="K29" s="2" t="s">
        <v>197</v>
      </c>
    </row>
    <row r="30" spans="1:11" hidden="1" x14ac:dyDescent="0.25">
      <c r="A30" s="2" t="s">
        <v>67</v>
      </c>
      <c r="B30" s="2" t="str">
        <f>_xlfn.XLOOKUP(Tabla1[[#This Row],[SOCIEDAD]],centros!D:D,centros!E:E)</f>
        <v>VF00</v>
      </c>
      <c r="C30" s="2" t="s">
        <v>112</v>
      </c>
      <c r="D30" s="2" t="s">
        <v>11</v>
      </c>
      <c r="E30" s="2" t="str">
        <f>IFERROR(INDEX(centros!$H$2:$H$45,MATCH(TRIM(Tabla1[[#This Row],[SOCIEDAD]])&amp;"|"&amp;TRIM(Tabla1[[#This Row],[LOCALIDAD]]),centros!$G$2:$G$45,0)),"REVISAR")</f>
        <v>VF00</v>
      </c>
      <c r="F30" s="2" t="s">
        <v>66</v>
      </c>
      <c r="G30" s="2" t="str">
        <f>_xlfn.XLOOKUP(Tabla1[[#This Row],[MARCA]],MARCAS!E:E,MARCAS!F:F)</f>
        <v>130</v>
      </c>
      <c r="H30" s="2" t="str">
        <f>_xlfn.XLOOKUP(Tabla1[[#This Row],[MARCA]],MARCAS!C:C,MARCAS!A:A)</f>
        <v>F0019</v>
      </c>
      <c r="I30" s="36" t="s">
        <v>198</v>
      </c>
      <c r="J30" s="37" t="s">
        <v>199</v>
      </c>
      <c r="K30" s="2" t="s">
        <v>200</v>
      </c>
    </row>
    <row r="31" spans="1:11" hidden="1" x14ac:dyDescent="0.25">
      <c r="A31" s="2" t="s">
        <v>67</v>
      </c>
      <c r="B31" s="2" t="str">
        <f>_xlfn.XLOOKUP(Tabla1[[#This Row],[SOCIEDAD]],centros!D:D,centros!E:E)</f>
        <v>VF00</v>
      </c>
      <c r="C31" s="2" t="s">
        <v>112</v>
      </c>
      <c r="D31" s="2" t="s">
        <v>11</v>
      </c>
      <c r="E31" s="2" t="str">
        <f>IFERROR(INDEX(centros!$H$2:$H$45,MATCH(TRIM(Tabla1[[#This Row],[SOCIEDAD]])&amp;"|"&amp;TRIM(Tabla1[[#This Row],[LOCALIDAD]]),centros!$G$2:$G$45,0)),"REVISAR")</f>
        <v>VF00</v>
      </c>
      <c r="F31" s="2" t="s">
        <v>80</v>
      </c>
      <c r="G31" s="2" t="str">
        <f>_xlfn.XLOOKUP(Tabla1[[#This Row],[MARCA]],MARCAS!E:E,MARCAS!F:F)</f>
        <v>140</v>
      </c>
      <c r="H31" s="2" t="str">
        <f>_xlfn.XLOOKUP(Tabla1[[#This Row],[MARCA]],MARCAS!C:C,MARCAS!A:A)</f>
        <v>F0021</v>
      </c>
      <c r="I31" s="36" t="s">
        <v>201</v>
      </c>
      <c r="J31" s="37" t="s">
        <v>202</v>
      </c>
      <c r="K31" s="2" t="s">
        <v>203</v>
      </c>
    </row>
    <row r="32" spans="1:11" hidden="1" x14ac:dyDescent="0.25">
      <c r="A32" s="2" t="s">
        <v>67</v>
      </c>
      <c r="B32" s="2" t="str">
        <f>_xlfn.XLOOKUP(Tabla1[[#This Row],[SOCIEDAD]],centros!D:D,centros!E:E)</f>
        <v>VF00</v>
      </c>
      <c r="C32" s="2" t="s">
        <v>112</v>
      </c>
      <c r="D32" s="2" t="s">
        <v>11</v>
      </c>
      <c r="E32" s="2" t="str">
        <f>IFERROR(INDEX(centros!$H$2:$H$45,MATCH(TRIM(Tabla1[[#This Row],[SOCIEDAD]])&amp;"|"&amp;TRIM(Tabla1[[#This Row],[LOCALIDAD]]),centros!$G$2:$G$45,0)),"REVISAR")</f>
        <v>VF00</v>
      </c>
      <c r="F32" s="2" t="s">
        <v>87</v>
      </c>
      <c r="G32" s="2" t="str">
        <f>_xlfn.XLOOKUP(Tabla1[[#This Row],[MARCA]],MARCAS!E:E,MARCAS!F:F)</f>
        <v>160</v>
      </c>
      <c r="H32" s="2" t="str">
        <f>_xlfn.XLOOKUP(Tabla1[[#This Row],[MARCA]],MARCAS!C:C,MARCAS!A:A)</f>
        <v>F0023</v>
      </c>
      <c r="I32" s="36" t="s">
        <v>204</v>
      </c>
      <c r="J32" s="37" t="s">
        <v>205</v>
      </c>
      <c r="K32" s="2" t="s">
        <v>206</v>
      </c>
    </row>
    <row r="33" spans="1:11" hidden="1" x14ac:dyDescent="0.25">
      <c r="A33" s="2" t="s">
        <v>67</v>
      </c>
      <c r="B33" s="2" t="str">
        <f>_xlfn.XLOOKUP(Tabla1[[#This Row],[SOCIEDAD]],centros!D:D,centros!E:E)</f>
        <v>VF00</v>
      </c>
      <c r="C33" s="2" t="s">
        <v>112</v>
      </c>
      <c r="D33" s="2" t="s">
        <v>11</v>
      </c>
      <c r="E33" s="2" t="str">
        <f>IFERROR(INDEX(centros!$H$2:$H$45,MATCH(TRIM(Tabla1[[#This Row],[SOCIEDAD]])&amp;"|"&amp;TRIM(Tabla1[[#This Row],[LOCALIDAD]]),centros!$G$2:$G$45,0)),"REVISAR")</f>
        <v>VF00</v>
      </c>
      <c r="F33" s="2" t="s">
        <v>90</v>
      </c>
      <c r="G33" s="2" t="str">
        <f>_xlfn.XLOOKUP(Tabla1[[#This Row],[MARCA]],MARCAS!E:E,MARCAS!F:F)</f>
        <v>170</v>
      </c>
      <c r="H33" s="2" t="str">
        <f>_xlfn.XLOOKUP(Tabla1[[#This Row],[MARCA]],MARCAS!C:C,MARCAS!A:A)</f>
        <v>F0027</v>
      </c>
      <c r="I33" s="36" t="s">
        <v>207</v>
      </c>
      <c r="J33" s="37" t="s">
        <v>208</v>
      </c>
      <c r="K33" s="2" t="s">
        <v>209</v>
      </c>
    </row>
    <row r="34" spans="1:11" hidden="1" x14ac:dyDescent="0.25">
      <c r="A34" s="2" t="s">
        <v>67</v>
      </c>
      <c r="B34" s="2" t="str">
        <f>_xlfn.XLOOKUP(Tabla1[[#This Row],[SOCIEDAD]],centros!D:D,centros!E:E)</f>
        <v>VF00</v>
      </c>
      <c r="C34" s="2" t="s">
        <v>112</v>
      </c>
      <c r="D34" s="2" t="s">
        <v>11</v>
      </c>
      <c r="E34" s="2" t="str">
        <f>IFERROR(INDEX(centros!$H$2:$H$45,MATCH(TRIM(Tabla1[[#This Row],[SOCIEDAD]])&amp;"|"&amp;TRIM(Tabla1[[#This Row],[LOCALIDAD]]),centros!$G$2:$G$45,0)),"REVISAR")</f>
        <v>VF00</v>
      </c>
      <c r="F34" s="2" t="s">
        <v>105</v>
      </c>
      <c r="G34" s="2" t="str">
        <f>_xlfn.XLOOKUP(Tabla1[[#This Row],[MARCA]],MARCAS!E:E,MARCAS!F:F)</f>
        <v>280</v>
      </c>
      <c r="H34" s="2" t="str">
        <f>_xlfn.XLOOKUP(Tabla1[[#This Row],[MARCA]],MARCAS!C:C,MARCAS!A:A)</f>
        <v>F9999</v>
      </c>
      <c r="I34" s="36" t="s">
        <v>210</v>
      </c>
      <c r="J34" s="37" t="s">
        <v>211</v>
      </c>
      <c r="K34" s="2" t="s">
        <v>212</v>
      </c>
    </row>
    <row r="35" spans="1:11" hidden="1" x14ac:dyDescent="0.25">
      <c r="A35" s="2" t="s">
        <v>67</v>
      </c>
      <c r="B35" s="2" t="str">
        <f>_xlfn.XLOOKUP(Tabla1[[#This Row],[SOCIEDAD]],centros!D:D,centros!E:E)</f>
        <v>VF00</v>
      </c>
      <c r="C35" s="2" t="s">
        <v>112</v>
      </c>
      <c r="D35" s="2" t="s">
        <v>11</v>
      </c>
      <c r="E35" s="2" t="str">
        <f>IFERROR(INDEX(centros!$H$2:$H$45,MATCH(TRIM(Tabla1[[#This Row],[SOCIEDAD]])&amp;"|"&amp;TRIM(Tabla1[[#This Row],[LOCALIDAD]]),centros!$G$2:$G$45,0)),"REVISAR")</f>
        <v>VF00</v>
      </c>
      <c r="F35" s="2" t="s">
        <v>77</v>
      </c>
      <c r="G35" s="2" t="str">
        <f>_xlfn.XLOOKUP(Tabla1[[#This Row],[MARCA]],MARCAS!E:E,MARCAS!F:F)</f>
        <v>260</v>
      </c>
      <c r="H35" s="2" t="str">
        <f>_xlfn.XLOOKUP(Tabla1[[#This Row],[MARCA]],MARCAS!C:C,MARCAS!A:A)</f>
        <v>F0020</v>
      </c>
      <c r="I35" s="36" t="s">
        <v>213</v>
      </c>
      <c r="J35" s="37" t="s">
        <v>214</v>
      </c>
      <c r="K35" s="2" t="s">
        <v>215</v>
      </c>
    </row>
    <row r="36" spans="1:11" hidden="1" x14ac:dyDescent="0.25">
      <c r="A36" s="2" t="s">
        <v>67</v>
      </c>
      <c r="B36" s="2" t="str">
        <f>_xlfn.XLOOKUP(Tabla1[[#This Row],[SOCIEDAD]],centros!D:D,centros!E:E)</f>
        <v>VF00</v>
      </c>
      <c r="C36" s="2" t="s">
        <v>112</v>
      </c>
      <c r="D36" s="2" t="s">
        <v>93</v>
      </c>
      <c r="E36" s="2" t="str">
        <f>IFERROR(INDEX(centros!$H$2:$H$45,MATCH(TRIM(Tabla1[[#This Row],[SOCIEDAD]])&amp;"|"&amp;TRIM(Tabla1[[#This Row],[LOCALIDAD]]),centros!$G$2:$G$45,0)),"REVISAR")</f>
        <v>VF05</v>
      </c>
      <c r="F36" s="2" t="s">
        <v>90</v>
      </c>
      <c r="G36" s="2" t="str">
        <f>_xlfn.XLOOKUP(Tabla1[[#This Row],[MARCA]],MARCAS!E:E,MARCAS!F:F)</f>
        <v>170</v>
      </c>
      <c r="H36" s="2" t="str">
        <f>_xlfn.XLOOKUP(Tabla1[[#This Row],[MARCA]],MARCAS!C:C,MARCAS!A:A)</f>
        <v>F0027</v>
      </c>
      <c r="I36" s="36" t="s">
        <v>216</v>
      </c>
      <c r="J36" s="37" t="s">
        <v>217</v>
      </c>
      <c r="K36" s="2" t="s">
        <v>218</v>
      </c>
    </row>
    <row r="37" spans="1:11" hidden="1" x14ac:dyDescent="0.25">
      <c r="A37" s="2" t="s">
        <v>67</v>
      </c>
      <c r="B37" s="2" t="str">
        <f>_xlfn.XLOOKUP(Tabla1[[#This Row],[SOCIEDAD]],centros!D:D,centros!E:E)</f>
        <v>VF00</v>
      </c>
      <c r="C37" s="2" t="s">
        <v>219</v>
      </c>
      <c r="D37" s="2" t="s">
        <v>95</v>
      </c>
      <c r="E37" s="2" t="str">
        <f>IFERROR(INDEX(centros!$H$2:$H$45,MATCH(TRIM(Tabla1[[#This Row],[SOCIEDAD]])&amp;"|"&amp;TRIM(Tabla1[[#This Row],[LOCALIDAD]]),centros!$G$2:$G$45,0)),"REVISAR")</f>
        <v>VF07</v>
      </c>
      <c r="F37" s="2" t="s">
        <v>90</v>
      </c>
      <c r="G37" s="2" t="str">
        <f>_xlfn.XLOOKUP(Tabla1[[#This Row],[MARCA]],MARCAS!E:E,MARCAS!F:F)</f>
        <v>170</v>
      </c>
      <c r="H37" s="2" t="str">
        <f>_xlfn.XLOOKUP(Tabla1[[#This Row],[MARCA]],MARCAS!C:C,MARCAS!A:A)</f>
        <v>F0027</v>
      </c>
      <c r="I37" s="36" t="s">
        <v>220</v>
      </c>
      <c r="J37" s="37" t="s">
        <v>221</v>
      </c>
      <c r="K37" s="2" t="s">
        <v>222</v>
      </c>
    </row>
    <row r="38" spans="1:11" hidden="1" x14ac:dyDescent="0.25">
      <c r="A38" s="2" t="s">
        <v>67</v>
      </c>
      <c r="B38" s="2" t="str">
        <f>_xlfn.XLOOKUP(Tabla1[[#This Row],[SOCIEDAD]],centros!D:D,centros!E:E)</f>
        <v>VF00</v>
      </c>
      <c r="C38" s="2" t="s">
        <v>219</v>
      </c>
      <c r="D38" s="2" t="s">
        <v>91</v>
      </c>
      <c r="E38" s="2" t="str">
        <f>IFERROR(INDEX(centros!$H$2:$H$45,MATCH(TRIM(Tabla1[[#This Row],[SOCIEDAD]])&amp;"|"&amp;TRIM(Tabla1[[#This Row],[LOCALIDAD]]),centros!$G$2:$G$45,0)),"REVISAR")</f>
        <v>VF01</v>
      </c>
      <c r="F38" s="2" t="s">
        <v>90</v>
      </c>
      <c r="G38" s="2" t="str">
        <f>_xlfn.XLOOKUP(Tabla1[[#This Row],[MARCA]],MARCAS!E:E,MARCAS!F:F)</f>
        <v>170</v>
      </c>
      <c r="H38" s="2" t="str">
        <f>_xlfn.XLOOKUP(Tabla1[[#This Row],[MARCA]],MARCAS!C:C,MARCAS!A:A)</f>
        <v>F0027</v>
      </c>
      <c r="I38" s="36" t="s">
        <v>223</v>
      </c>
      <c r="J38" s="37" t="s">
        <v>224</v>
      </c>
      <c r="K38" s="2" t="s">
        <v>225</v>
      </c>
    </row>
    <row r="39" spans="1:11" hidden="1" x14ac:dyDescent="0.25">
      <c r="A39" s="2" t="s">
        <v>67</v>
      </c>
      <c r="B39" s="2" t="str">
        <f>_xlfn.XLOOKUP(Tabla1[[#This Row],[SOCIEDAD]],centros!D:D,centros!E:E)</f>
        <v>VF00</v>
      </c>
      <c r="C39" s="2" t="s">
        <v>219</v>
      </c>
      <c r="D39" s="2" t="s">
        <v>70</v>
      </c>
      <c r="E39" s="2" t="str">
        <f>IFERROR(INDEX(centros!$H$2:$H$45,MATCH(TRIM(Tabla1[[#This Row],[SOCIEDAD]])&amp;"|"&amp;TRIM(Tabla1[[#This Row],[LOCALIDAD]]),centros!$G$2:$G$45,0)),"REVISAR")</f>
        <v>VF01</v>
      </c>
      <c r="F39" s="2" t="s">
        <v>87</v>
      </c>
      <c r="G39" s="2" t="str">
        <f>_xlfn.XLOOKUP(Tabla1[[#This Row],[MARCA]],MARCAS!E:E,MARCAS!F:F)</f>
        <v>160</v>
      </c>
      <c r="H39" s="2" t="str">
        <f>_xlfn.XLOOKUP(Tabla1[[#This Row],[MARCA]],MARCAS!C:C,MARCAS!A:A)</f>
        <v>F0023</v>
      </c>
      <c r="I39" s="36" t="s">
        <v>226</v>
      </c>
      <c r="J39" s="37" t="s">
        <v>227</v>
      </c>
      <c r="K39" s="2" t="s">
        <v>228</v>
      </c>
    </row>
    <row r="40" spans="1:11" hidden="1" x14ac:dyDescent="0.25">
      <c r="A40" s="2" t="s">
        <v>67</v>
      </c>
      <c r="B40" s="2" t="str">
        <f>_xlfn.XLOOKUP(Tabla1[[#This Row],[SOCIEDAD]],centros!D:D,centros!E:E)</f>
        <v>VF00</v>
      </c>
      <c r="C40" s="2" t="s">
        <v>219</v>
      </c>
      <c r="D40" s="2" t="s">
        <v>70</v>
      </c>
      <c r="E40" s="2" t="str">
        <f>IFERROR(INDEX(centros!$H$2:$H$45,MATCH(TRIM(Tabla1[[#This Row],[SOCIEDAD]])&amp;"|"&amp;TRIM(Tabla1[[#This Row],[LOCALIDAD]]),centros!$G$2:$G$45,0)),"REVISAR")</f>
        <v>VF01</v>
      </c>
      <c r="F40" s="2" t="s">
        <v>103</v>
      </c>
      <c r="G40" s="2" t="str">
        <f>_xlfn.XLOOKUP(Tabla1[[#This Row],[MARCA]],MARCAS!E:E,MARCAS!F:F)</f>
        <v>220</v>
      </c>
      <c r="H40" s="12" t="s">
        <v>229</v>
      </c>
      <c r="I40" s="36" t="s">
        <v>230</v>
      </c>
      <c r="J40" s="37" t="s">
        <v>231</v>
      </c>
      <c r="K40" s="2" t="s">
        <v>232</v>
      </c>
    </row>
    <row r="41" spans="1:11" hidden="1" x14ac:dyDescent="0.25">
      <c r="A41" s="2" t="s">
        <v>67</v>
      </c>
      <c r="B41" s="2" t="str">
        <f>_xlfn.XLOOKUP(Tabla1[[#This Row],[SOCIEDAD]],centros!D:D,centros!E:E)</f>
        <v>VF00</v>
      </c>
      <c r="C41" s="2" t="s">
        <v>219</v>
      </c>
      <c r="D41" s="2" t="s">
        <v>72</v>
      </c>
      <c r="E41" s="2" t="str">
        <f>IFERROR(INDEX(centros!$H$2:$H$45,MATCH(TRIM(Tabla1[[#This Row],[SOCIEDAD]])&amp;"|"&amp;TRIM(Tabla1[[#This Row],[LOCALIDAD]]),centros!$G$2:$G$45,0)),"REVISAR")</f>
        <v>VF04</v>
      </c>
      <c r="F41" s="2" t="s">
        <v>87</v>
      </c>
      <c r="G41" s="2" t="str">
        <f>_xlfn.XLOOKUP(Tabla1[[#This Row],[MARCA]],MARCAS!E:E,MARCAS!F:F)</f>
        <v>160</v>
      </c>
      <c r="H41" s="2" t="str">
        <f>_xlfn.XLOOKUP(Tabla1[[#This Row],[MARCA]],MARCAS!C:C,MARCAS!A:A)</f>
        <v>F0023</v>
      </c>
      <c r="I41" s="36" t="s">
        <v>233</v>
      </c>
      <c r="J41" s="37" t="s">
        <v>234</v>
      </c>
      <c r="K41" s="2" t="s">
        <v>235</v>
      </c>
    </row>
    <row r="42" spans="1:11" hidden="1" x14ac:dyDescent="0.25">
      <c r="A42" s="2" t="s">
        <v>67</v>
      </c>
      <c r="B42" s="2" t="str">
        <f>_xlfn.XLOOKUP(Tabla1[[#This Row],[SOCIEDAD]],centros!D:D,centros!E:E)</f>
        <v>VF00</v>
      </c>
      <c r="C42" s="2" t="s">
        <v>219</v>
      </c>
      <c r="D42" s="2" t="s">
        <v>72</v>
      </c>
      <c r="E42" s="2" t="str">
        <f>IFERROR(INDEX(centros!$H$2:$H$45,MATCH(TRIM(Tabla1[[#This Row],[SOCIEDAD]])&amp;"|"&amp;TRIM(Tabla1[[#This Row],[LOCALIDAD]]),centros!$G$2:$G$45,0)),"REVISAR")</f>
        <v>VF04</v>
      </c>
      <c r="F42" s="2" t="s">
        <v>90</v>
      </c>
      <c r="G42" s="2" t="str">
        <f>_xlfn.XLOOKUP(Tabla1[[#This Row],[MARCA]],MARCAS!E:E,MARCAS!F:F)</f>
        <v>170</v>
      </c>
      <c r="H42" s="2" t="str">
        <f>_xlfn.XLOOKUP(Tabla1[[#This Row],[MARCA]],MARCAS!C:C,MARCAS!A:A)</f>
        <v>F0027</v>
      </c>
      <c r="I42" s="36" t="s">
        <v>236</v>
      </c>
      <c r="J42" s="37" t="s">
        <v>237</v>
      </c>
      <c r="K42" s="2" t="s">
        <v>238</v>
      </c>
    </row>
    <row r="43" spans="1:11" hidden="1" x14ac:dyDescent="0.25">
      <c r="A43" s="2" t="s">
        <v>67</v>
      </c>
      <c r="B43" s="2" t="str">
        <f>_xlfn.XLOOKUP(Tabla1[[#This Row],[SOCIEDAD]],centros!D:D,centros!E:E)</f>
        <v>VF00</v>
      </c>
      <c r="C43" s="2" t="s">
        <v>219</v>
      </c>
      <c r="D43" s="2" t="s">
        <v>72</v>
      </c>
      <c r="E43" s="2" t="str">
        <f>IFERROR(INDEX(centros!$H$2:$H$45,MATCH(TRIM(Tabla1[[#This Row],[SOCIEDAD]])&amp;"|"&amp;TRIM(Tabla1[[#This Row],[LOCALIDAD]]),centros!$G$2:$G$45,0)),"REVISAR")</f>
        <v>VF04</v>
      </c>
      <c r="F43" s="2" t="s">
        <v>103</v>
      </c>
      <c r="G43" s="2" t="str">
        <f>_xlfn.XLOOKUP(Tabla1[[#This Row],[MARCA]],MARCAS!E:E,MARCAS!F:F)</f>
        <v>220</v>
      </c>
      <c r="H43" s="12" t="s">
        <v>229</v>
      </c>
      <c r="I43" s="36" t="s">
        <v>239</v>
      </c>
      <c r="J43" s="37" t="s">
        <v>240</v>
      </c>
      <c r="K43" s="2" t="s">
        <v>241</v>
      </c>
    </row>
    <row r="44" spans="1:11" hidden="1" x14ac:dyDescent="0.25">
      <c r="A44" s="2" t="s">
        <v>67</v>
      </c>
      <c r="B44" s="2" t="str">
        <f>_xlfn.XLOOKUP(Tabla1[[#This Row],[SOCIEDAD]],centros!D:D,centros!E:E)</f>
        <v>VF00</v>
      </c>
      <c r="C44" s="2" t="s">
        <v>219</v>
      </c>
      <c r="D44" s="2" t="s">
        <v>74</v>
      </c>
      <c r="E44" s="2" t="str">
        <f>IFERROR(INDEX(centros!$H$2:$H$45,MATCH(TRIM(Tabla1[[#This Row],[SOCIEDAD]])&amp;"|"&amp;TRIM(Tabla1[[#This Row],[LOCALIDAD]]),centros!$G$2:$G$45,0)),"REVISAR")</f>
        <v>VF06</v>
      </c>
      <c r="F44" s="2" t="s">
        <v>87</v>
      </c>
      <c r="G44" s="2" t="str">
        <f>_xlfn.XLOOKUP(Tabla1[[#This Row],[MARCA]],MARCAS!E:E,MARCAS!F:F)</f>
        <v>160</v>
      </c>
      <c r="H44" s="2" t="str">
        <f>_xlfn.XLOOKUP(Tabla1[[#This Row],[MARCA]],MARCAS!C:C,MARCAS!A:A)</f>
        <v>F0023</v>
      </c>
      <c r="I44" s="36" t="s">
        <v>242</v>
      </c>
      <c r="J44" s="37" t="s">
        <v>243</v>
      </c>
      <c r="K44" s="2" t="s">
        <v>244</v>
      </c>
    </row>
    <row r="45" spans="1:11" hidden="1" x14ac:dyDescent="0.25">
      <c r="A45" s="2" t="s">
        <v>67</v>
      </c>
      <c r="B45" s="2" t="str">
        <f>_xlfn.XLOOKUP(Tabla1[[#This Row],[SOCIEDAD]],centros!D:D,centros!E:E)</f>
        <v>VF00</v>
      </c>
      <c r="C45" s="2" t="s">
        <v>219</v>
      </c>
      <c r="D45" s="2" t="s">
        <v>74</v>
      </c>
      <c r="E45" s="2" t="str">
        <f>IFERROR(INDEX(centros!$H$2:$H$45,MATCH(TRIM(Tabla1[[#This Row],[SOCIEDAD]])&amp;"|"&amp;TRIM(Tabla1[[#This Row],[LOCALIDAD]]),centros!$G$2:$G$45,0)),"REVISAR")</f>
        <v>VF06</v>
      </c>
      <c r="F45" s="2" t="s">
        <v>90</v>
      </c>
      <c r="G45" s="2" t="str">
        <f>_xlfn.XLOOKUP(Tabla1[[#This Row],[MARCA]],MARCAS!E:E,MARCAS!F:F)</f>
        <v>170</v>
      </c>
      <c r="H45" s="2" t="str">
        <f>_xlfn.XLOOKUP(Tabla1[[#This Row],[MARCA]],MARCAS!C:C,MARCAS!A:A)</f>
        <v>F0027</v>
      </c>
      <c r="I45" s="36" t="s">
        <v>245</v>
      </c>
      <c r="J45" s="37" t="s">
        <v>246</v>
      </c>
      <c r="K45" s="2" t="s">
        <v>247</v>
      </c>
    </row>
    <row r="46" spans="1:11" hidden="1" x14ac:dyDescent="0.25">
      <c r="A46" s="2" t="s">
        <v>67</v>
      </c>
      <c r="B46" s="2" t="str">
        <f>_xlfn.XLOOKUP(Tabla1[[#This Row],[SOCIEDAD]],centros!D:D,centros!E:E)</f>
        <v>VF00</v>
      </c>
      <c r="C46" s="2" t="s">
        <v>219</v>
      </c>
      <c r="D46" s="2" t="s">
        <v>74</v>
      </c>
      <c r="E46" s="2" t="str">
        <f>IFERROR(INDEX(centros!$H$2:$H$45,MATCH(TRIM(Tabla1[[#This Row],[SOCIEDAD]])&amp;"|"&amp;TRIM(Tabla1[[#This Row],[LOCALIDAD]]),centros!$G$2:$G$45,0)),"REVISAR")</f>
        <v>VF06</v>
      </c>
      <c r="F46" s="2" t="s">
        <v>103</v>
      </c>
      <c r="G46" s="2" t="str">
        <f>_xlfn.XLOOKUP(Tabla1[[#This Row],[MARCA]],MARCAS!E:E,MARCAS!F:F)</f>
        <v>220</v>
      </c>
      <c r="H46" s="12" t="s">
        <v>229</v>
      </c>
      <c r="I46" s="36" t="s">
        <v>248</v>
      </c>
      <c r="J46" s="37" t="s">
        <v>249</v>
      </c>
      <c r="K46" s="2" t="s">
        <v>250</v>
      </c>
    </row>
    <row r="47" spans="1:11" hidden="1" x14ac:dyDescent="0.25">
      <c r="A47" s="2" t="s">
        <v>67</v>
      </c>
      <c r="B47" s="2" t="str">
        <f>_xlfn.XLOOKUP(Tabla1[[#This Row],[SOCIEDAD]],centros!D:D,centros!E:E)</f>
        <v>VF00</v>
      </c>
      <c r="C47" s="2" t="s">
        <v>219</v>
      </c>
      <c r="D47" s="2" t="s">
        <v>11</v>
      </c>
      <c r="E47" s="2" t="str">
        <f>IFERROR(INDEX(centros!$H$2:$H$45,MATCH(TRIM(Tabla1[[#This Row],[SOCIEDAD]])&amp;"|"&amp;TRIM(Tabla1[[#This Row],[LOCALIDAD]]),centros!$G$2:$G$45,0)),"REVISAR")</f>
        <v>VF00</v>
      </c>
      <c r="F47" s="2" t="s">
        <v>87</v>
      </c>
      <c r="G47" s="2" t="str">
        <f>_xlfn.XLOOKUP(Tabla1[[#This Row],[MARCA]],MARCAS!E:E,MARCAS!F:F)</f>
        <v>160</v>
      </c>
      <c r="H47" s="2" t="str">
        <f>_xlfn.XLOOKUP(Tabla1[[#This Row],[MARCA]],MARCAS!C:C,MARCAS!A:A)</f>
        <v>F0023</v>
      </c>
      <c r="I47" s="36" t="s">
        <v>251</v>
      </c>
      <c r="J47" s="37" t="s">
        <v>252</v>
      </c>
      <c r="K47" s="2" t="s">
        <v>253</v>
      </c>
    </row>
    <row r="48" spans="1:11" hidden="1" x14ac:dyDescent="0.25">
      <c r="A48" s="2" t="s">
        <v>67</v>
      </c>
      <c r="B48" s="2" t="str">
        <f>_xlfn.XLOOKUP(Tabla1[[#This Row],[SOCIEDAD]],centros!D:D,centros!E:E)</f>
        <v>VF00</v>
      </c>
      <c r="C48" s="2" t="s">
        <v>219</v>
      </c>
      <c r="D48" s="2" t="s">
        <v>11</v>
      </c>
      <c r="E48" s="2" t="str">
        <f>IFERROR(INDEX(centros!$H$2:$H$45,MATCH(TRIM(Tabla1[[#This Row],[SOCIEDAD]])&amp;"|"&amp;TRIM(Tabla1[[#This Row],[LOCALIDAD]]),centros!$G$2:$G$45,0)),"REVISAR")</f>
        <v>VF00</v>
      </c>
      <c r="F48" s="2" t="s">
        <v>90</v>
      </c>
      <c r="G48" s="2" t="str">
        <f>_xlfn.XLOOKUP(Tabla1[[#This Row],[MARCA]],MARCAS!E:E,MARCAS!F:F)</f>
        <v>170</v>
      </c>
      <c r="H48" s="2" t="str">
        <f>_xlfn.XLOOKUP(Tabla1[[#This Row],[MARCA]],MARCAS!C:C,MARCAS!A:A)</f>
        <v>F0027</v>
      </c>
      <c r="I48" s="36" t="s">
        <v>254</v>
      </c>
      <c r="J48" s="37" t="s">
        <v>255</v>
      </c>
      <c r="K48" s="2" t="s">
        <v>256</v>
      </c>
    </row>
    <row r="49" spans="1:11" hidden="1" x14ac:dyDescent="0.25">
      <c r="A49" s="2" t="s">
        <v>67</v>
      </c>
      <c r="B49" s="2" t="str">
        <f>_xlfn.XLOOKUP(Tabla1[[#This Row],[SOCIEDAD]],centros!D:D,centros!E:E)</f>
        <v>VF00</v>
      </c>
      <c r="C49" s="2" t="s">
        <v>219</v>
      </c>
      <c r="D49" s="2" t="s">
        <v>11</v>
      </c>
      <c r="E49" s="2" t="str">
        <f>IFERROR(INDEX(centros!$H$2:$H$45,MATCH(TRIM(Tabla1[[#This Row],[SOCIEDAD]])&amp;"|"&amp;TRIM(Tabla1[[#This Row],[LOCALIDAD]]),centros!$G$2:$G$45,0)),"REVISAR")</f>
        <v>VF00</v>
      </c>
      <c r="F49" s="2" t="s">
        <v>103</v>
      </c>
      <c r="G49" s="2" t="str">
        <f>_xlfn.XLOOKUP(Tabla1[[#This Row],[MARCA]],MARCAS!E:E,MARCAS!F:F)</f>
        <v>220</v>
      </c>
      <c r="H49" s="12" t="s">
        <v>229</v>
      </c>
      <c r="I49" s="36" t="s">
        <v>257</v>
      </c>
      <c r="J49" s="37" t="s">
        <v>258</v>
      </c>
      <c r="K49" s="2" t="s">
        <v>259</v>
      </c>
    </row>
    <row r="50" spans="1:11" hidden="1" x14ac:dyDescent="0.25">
      <c r="A50" s="2" t="s">
        <v>67</v>
      </c>
      <c r="B50" s="2" t="str">
        <f>_xlfn.XLOOKUP(Tabla1[[#This Row],[SOCIEDAD]],centros!D:D,centros!E:E)</f>
        <v>VF00</v>
      </c>
      <c r="C50" s="2" t="s">
        <v>219</v>
      </c>
      <c r="D50" s="2" t="s">
        <v>93</v>
      </c>
      <c r="E50" s="2" t="str">
        <f>IFERROR(INDEX(centros!$H$2:$H$45,MATCH(TRIM(Tabla1[[#This Row],[SOCIEDAD]])&amp;"|"&amp;TRIM(Tabla1[[#This Row],[LOCALIDAD]]),centros!$G$2:$G$45,0)),"REVISAR")</f>
        <v>VF05</v>
      </c>
      <c r="F50" s="2" t="s">
        <v>90</v>
      </c>
      <c r="G50" s="2" t="str">
        <f>_xlfn.XLOOKUP(Tabla1[[#This Row],[MARCA]],MARCAS!E:E,MARCAS!F:F)</f>
        <v>170</v>
      </c>
      <c r="H50" s="2" t="str">
        <f>_xlfn.XLOOKUP(Tabla1[[#This Row],[MARCA]],MARCAS!C:C,MARCAS!A:A)</f>
        <v>F0027</v>
      </c>
      <c r="I50" s="36" t="s">
        <v>260</v>
      </c>
      <c r="J50" s="37" t="s">
        <v>261</v>
      </c>
      <c r="K50" s="2" t="s">
        <v>262</v>
      </c>
    </row>
    <row r="51" spans="1:11" hidden="1" x14ac:dyDescent="0.25">
      <c r="A51" s="2" t="s">
        <v>67</v>
      </c>
      <c r="B51" s="2" t="str">
        <f>_xlfn.XLOOKUP(Tabla1[[#This Row],[SOCIEDAD]],centros!D:D,centros!E:E)</f>
        <v>VF00</v>
      </c>
      <c r="C51" s="2" t="s">
        <v>263</v>
      </c>
      <c r="D51" s="2" t="s">
        <v>82</v>
      </c>
      <c r="E51" s="2" t="str">
        <f>IFERROR(INDEX(centros!$H$2:$H$45,MATCH(TRIM(Tabla1[[#This Row],[SOCIEDAD]])&amp;"|"&amp;TRIM(Tabla1[[#This Row],[LOCALIDAD]]),centros!$G$2:$G$45,0)),"REVISAR")</f>
        <v>VF03</v>
      </c>
      <c r="F51" s="2" t="s">
        <v>80</v>
      </c>
      <c r="G51" s="2" t="str">
        <f>_xlfn.XLOOKUP(Tabla1[[#This Row],[MARCA]],MARCAS!E:E,MARCAS!F:F)</f>
        <v>140</v>
      </c>
      <c r="H51" s="2" t="str">
        <f>_xlfn.XLOOKUP(Tabla1[[#This Row],[MARCA]],MARCAS!C:C,MARCAS!A:A)</f>
        <v>F0021</v>
      </c>
      <c r="I51" s="36" t="s">
        <v>264</v>
      </c>
      <c r="J51" s="37" t="s">
        <v>265</v>
      </c>
      <c r="K51" s="2" t="s">
        <v>266</v>
      </c>
    </row>
    <row r="52" spans="1:11" hidden="1" x14ac:dyDescent="0.25">
      <c r="A52" s="2" t="s">
        <v>67</v>
      </c>
      <c r="B52" s="2" t="str">
        <f>_xlfn.XLOOKUP(Tabla1[[#This Row],[SOCIEDAD]],centros!D:D,centros!E:E)</f>
        <v>VF00</v>
      </c>
      <c r="C52" s="2" t="s">
        <v>263</v>
      </c>
      <c r="D52" s="2" t="s">
        <v>82</v>
      </c>
      <c r="E52" s="2" t="str">
        <f>IFERROR(INDEX(centros!$H$2:$H$45,MATCH(TRIM(Tabla1[[#This Row],[SOCIEDAD]])&amp;"|"&amp;TRIM(Tabla1[[#This Row],[LOCALIDAD]]),centros!$G$2:$G$45,0)),"REVISAR")</f>
        <v>VF03</v>
      </c>
      <c r="F52" s="2" t="s">
        <v>105</v>
      </c>
      <c r="G52" s="2" t="str">
        <f>_xlfn.XLOOKUP(Tabla1[[#This Row],[MARCA]],MARCAS!E:E,MARCAS!F:F)</f>
        <v>280</v>
      </c>
      <c r="H52" s="2" t="str">
        <f>_xlfn.XLOOKUP(Tabla1[[#This Row],[MARCA]],MARCAS!C:C,MARCAS!A:A)</f>
        <v>F9999</v>
      </c>
      <c r="I52" s="36" t="s">
        <v>267</v>
      </c>
      <c r="J52" s="37" t="s">
        <v>268</v>
      </c>
      <c r="K52" s="2" t="s">
        <v>269</v>
      </c>
    </row>
    <row r="53" spans="1:11" hidden="1" x14ac:dyDescent="0.25">
      <c r="A53" s="2" t="s">
        <v>67</v>
      </c>
      <c r="B53" s="2" t="str">
        <f>_xlfn.XLOOKUP(Tabla1[[#This Row],[SOCIEDAD]],centros!D:D,centros!E:E)</f>
        <v>VF00</v>
      </c>
      <c r="C53" s="2" t="s">
        <v>263</v>
      </c>
      <c r="D53" s="2" t="s">
        <v>11</v>
      </c>
      <c r="E53" s="2" t="str">
        <f>IFERROR(INDEX(centros!$H$2:$H$45,MATCH(TRIM(Tabla1[[#This Row],[SOCIEDAD]])&amp;"|"&amp;TRIM(Tabla1[[#This Row],[LOCALIDAD]]),centros!$G$2:$G$45,0)),"REVISAR")</f>
        <v>VF00</v>
      </c>
      <c r="F53" s="2" t="s">
        <v>84</v>
      </c>
      <c r="G53" s="2" t="str">
        <f>_xlfn.XLOOKUP(Tabla1[[#This Row],[MARCA]],MARCAS!E:E,MARCAS!F:F)</f>
        <v>060</v>
      </c>
      <c r="H53" s="2" t="str">
        <f>_xlfn.XLOOKUP(Tabla1[[#This Row],[MARCA]],MARCAS!C:C,MARCAS!A:A)</f>
        <v>F0022</v>
      </c>
      <c r="I53" s="36" t="s">
        <v>270</v>
      </c>
      <c r="J53" s="37" t="s">
        <v>271</v>
      </c>
      <c r="K53" s="2" t="s">
        <v>272</v>
      </c>
    </row>
    <row r="54" spans="1:11" hidden="1" x14ac:dyDescent="0.25">
      <c r="A54" s="2" t="s">
        <v>67</v>
      </c>
      <c r="B54" s="2" t="str">
        <f>_xlfn.XLOOKUP(Tabla1[[#This Row],[SOCIEDAD]],centros!D:D,centros!E:E)</f>
        <v>VF00</v>
      </c>
      <c r="C54" s="2" t="s">
        <v>263</v>
      </c>
      <c r="D54" s="2" t="s">
        <v>11</v>
      </c>
      <c r="E54" s="2" t="str">
        <f>IFERROR(INDEX(centros!$H$2:$H$45,MATCH(TRIM(Tabla1[[#This Row],[SOCIEDAD]])&amp;"|"&amp;TRIM(Tabla1[[#This Row],[LOCALIDAD]]),centros!$G$2:$G$45,0)),"REVISAR")</f>
        <v>VF00</v>
      </c>
      <c r="F54" s="2" t="s">
        <v>98</v>
      </c>
      <c r="G54" s="2" t="str">
        <f>_xlfn.XLOOKUP(Tabla1[[#This Row],[MARCA]],MARCAS!E:E,MARCAS!F:F)</f>
        <v>080</v>
      </c>
      <c r="H54" s="2" t="str">
        <f>_xlfn.XLOOKUP(Tabla1[[#This Row],[MARCA]],MARCAS!C:C,MARCAS!A:A)</f>
        <v>F0028</v>
      </c>
      <c r="I54" s="36" t="s">
        <v>273</v>
      </c>
      <c r="J54" s="37" t="s">
        <v>274</v>
      </c>
      <c r="K54" s="2" t="s">
        <v>275</v>
      </c>
    </row>
    <row r="55" spans="1:11" hidden="1" x14ac:dyDescent="0.25">
      <c r="A55" s="2" t="s">
        <v>67</v>
      </c>
      <c r="B55" s="2" t="str">
        <f>_xlfn.XLOOKUP(Tabla1[[#This Row],[SOCIEDAD]],centros!D:D,centros!E:E)</f>
        <v>VF00</v>
      </c>
      <c r="C55" s="2" t="s">
        <v>263</v>
      </c>
      <c r="D55" s="2" t="s">
        <v>11</v>
      </c>
      <c r="E55" s="2" t="str">
        <f>IFERROR(INDEX(centros!$H$2:$H$45,MATCH(TRIM(Tabla1[[#This Row],[SOCIEDAD]])&amp;"|"&amp;TRIM(Tabla1[[#This Row],[LOCALIDAD]]),centros!$G$2:$G$45,0)),"REVISAR")</f>
        <v>VF00</v>
      </c>
      <c r="F55" s="2" t="s">
        <v>101</v>
      </c>
      <c r="G55" s="2" t="str">
        <f>_xlfn.XLOOKUP(Tabla1[[#This Row],[MARCA]],MARCAS!E:E,MARCAS!F:F)</f>
        <v>120</v>
      </c>
      <c r="H55" s="12" t="s">
        <v>149</v>
      </c>
      <c r="I55" s="36" t="s">
        <v>276</v>
      </c>
      <c r="J55" s="37" t="s">
        <v>277</v>
      </c>
      <c r="K55" s="2" t="s">
        <v>278</v>
      </c>
    </row>
    <row r="56" spans="1:11" hidden="1" x14ac:dyDescent="0.25">
      <c r="A56" s="2" t="s">
        <v>67</v>
      </c>
      <c r="B56" s="2" t="str">
        <f>_xlfn.XLOOKUP(Tabla1[[#This Row],[SOCIEDAD]],centros!D:D,centros!E:E)</f>
        <v>VF00</v>
      </c>
      <c r="C56" s="2" t="s">
        <v>263</v>
      </c>
      <c r="D56" s="2" t="s">
        <v>11</v>
      </c>
      <c r="E56" s="2" t="str">
        <f>IFERROR(INDEX(centros!$H$2:$H$45,MATCH(TRIM(Tabla1[[#This Row],[SOCIEDAD]])&amp;"|"&amp;TRIM(Tabla1[[#This Row],[LOCALIDAD]]),centros!$G$2:$G$45,0)),"REVISAR")</f>
        <v>VF00</v>
      </c>
      <c r="F56" s="2" t="s">
        <v>66</v>
      </c>
      <c r="G56" s="2" t="str">
        <f>_xlfn.XLOOKUP(Tabla1[[#This Row],[MARCA]],MARCAS!E:E,MARCAS!F:F)</f>
        <v>130</v>
      </c>
      <c r="H56" s="2" t="str">
        <f>_xlfn.XLOOKUP(Tabla1[[#This Row],[MARCA]],MARCAS!C:C,MARCAS!A:A)</f>
        <v>F0019</v>
      </c>
      <c r="I56" s="36" t="s">
        <v>279</v>
      </c>
      <c r="J56" s="37" t="s">
        <v>280</v>
      </c>
      <c r="K56" s="2" t="s">
        <v>281</v>
      </c>
    </row>
    <row r="57" spans="1:11" hidden="1" x14ac:dyDescent="0.25">
      <c r="A57" s="2" t="s">
        <v>67</v>
      </c>
      <c r="B57" s="2" t="str">
        <f>_xlfn.XLOOKUP(Tabla1[[#This Row],[SOCIEDAD]],centros!D:D,centros!E:E)</f>
        <v>VF00</v>
      </c>
      <c r="C57" s="2" t="s">
        <v>263</v>
      </c>
      <c r="D57" s="2" t="s">
        <v>11</v>
      </c>
      <c r="E57" s="2" t="str">
        <f>IFERROR(INDEX(centros!$H$2:$H$45,MATCH(TRIM(Tabla1[[#This Row],[SOCIEDAD]])&amp;"|"&amp;TRIM(Tabla1[[#This Row],[LOCALIDAD]]),centros!$G$2:$G$45,0)),"REVISAR")</f>
        <v>VF00</v>
      </c>
      <c r="F57" s="2" t="s">
        <v>80</v>
      </c>
      <c r="G57" s="2" t="str">
        <f>_xlfn.XLOOKUP(Tabla1[[#This Row],[MARCA]],MARCAS!E:E,MARCAS!F:F)</f>
        <v>140</v>
      </c>
      <c r="H57" s="2" t="str">
        <f>_xlfn.XLOOKUP(Tabla1[[#This Row],[MARCA]],MARCAS!C:C,MARCAS!A:A)</f>
        <v>F0021</v>
      </c>
      <c r="I57" s="36" t="s">
        <v>282</v>
      </c>
      <c r="J57" s="37" t="s">
        <v>283</v>
      </c>
      <c r="K57" s="2" t="s">
        <v>284</v>
      </c>
    </row>
    <row r="58" spans="1:11" hidden="1" x14ac:dyDescent="0.25">
      <c r="A58" s="2" t="s">
        <v>67</v>
      </c>
      <c r="B58" s="2" t="str">
        <f>_xlfn.XLOOKUP(Tabla1[[#This Row],[SOCIEDAD]],centros!D:D,centros!E:E)</f>
        <v>VF00</v>
      </c>
      <c r="C58" s="2" t="s">
        <v>263</v>
      </c>
      <c r="D58" s="2" t="s">
        <v>11</v>
      </c>
      <c r="E58" s="2" t="str">
        <f>IFERROR(INDEX(centros!$H$2:$H$45,MATCH(TRIM(Tabla1[[#This Row],[SOCIEDAD]])&amp;"|"&amp;TRIM(Tabla1[[#This Row],[LOCALIDAD]]),centros!$G$2:$G$45,0)),"REVISAR")</f>
        <v>VF00</v>
      </c>
      <c r="F58" s="2" t="s">
        <v>87</v>
      </c>
      <c r="G58" s="2" t="str">
        <f>_xlfn.XLOOKUP(Tabla1[[#This Row],[MARCA]],MARCAS!E:E,MARCAS!F:F)</f>
        <v>160</v>
      </c>
      <c r="H58" s="2" t="str">
        <f>_xlfn.XLOOKUP(Tabla1[[#This Row],[MARCA]],MARCAS!C:C,MARCAS!A:A)</f>
        <v>F0023</v>
      </c>
      <c r="I58" s="36" t="s">
        <v>285</v>
      </c>
      <c r="J58" s="37" t="s">
        <v>286</v>
      </c>
      <c r="K58" s="2" t="s">
        <v>287</v>
      </c>
    </row>
    <row r="59" spans="1:11" hidden="1" x14ac:dyDescent="0.25">
      <c r="A59" s="2" t="s">
        <v>67</v>
      </c>
      <c r="B59" s="2" t="str">
        <f>_xlfn.XLOOKUP(Tabla1[[#This Row],[SOCIEDAD]],centros!D:D,centros!E:E)</f>
        <v>VF00</v>
      </c>
      <c r="C59" s="2" t="s">
        <v>263</v>
      </c>
      <c r="D59" s="2" t="s">
        <v>11</v>
      </c>
      <c r="E59" s="2" t="str">
        <f>IFERROR(INDEX(centros!$H$2:$H$45,MATCH(TRIM(Tabla1[[#This Row],[SOCIEDAD]])&amp;"|"&amp;TRIM(Tabla1[[#This Row],[LOCALIDAD]]),centros!$G$2:$G$45,0)),"REVISAR")</f>
        <v>VF00</v>
      </c>
      <c r="F59" s="2" t="s">
        <v>90</v>
      </c>
      <c r="G59" s="2" t="str">
        <f>_xlfn.XLOOKUP(Tabla1[[#This Row],[MARCA]],MARCAS!E:E,MARCAS!F:F)</f>
        <v>170</v>
      </c>
      <c r="H59" s="2" t="str">
        <f>_xlfn.XLOOKUP(Tabla1[[#This Row],[MARCA]],MARCAS!C:C,MARCAS!A:A)</f>
        <v>F0027</v>
      </c>
      <c r="I59" s="36" t="s">
        <v>288</v>
      </c>
      <c r="J59" s="37" t="s">
        <v>289</v>
      </c>
      <c r="K59" s="2" t="s">
        <v>290</v>
      </c>
    </row>
    <row r="60" spans="1:11" hidden="1" x14ac:dyDescent="0.25">
      <c r="A60" s="2" t="s">
        <v>67</v>
      </c>
      <c r="B60" s="2" t="str">
        <f>_xlfn.XLOOKUP(Tabla1[[#This Row],[SOCIEDAD]],centros!D:D,centros!E:E)</f>
        <v>VF00</v>
      </c>
      <c r="C60" s="2" t="s">
        <v>263</v>
      </c>
      <c r="D60" s="2" t="s">
        <v>11</v>
      </c>
      <c r="E60" s="2" t="str">
        <f>IFERROR(INDEX(centros!$H$2:$H$45,MATCH(TRIM(Tabla1[[#This Row],[SOCIEDAD]])&amp;"|"&amp;TRIM(Tabla1[[#This Row],[LOCALIDAD]]),centros!$G$2:$G$45,0)),"REVISAR")</f>
        <v>VF00</v>
      </c>
      <c r="F60" s="2" t="s">
        <v>103</v>
      </c>
      <c r="G60" s="2" t="str">
        <f>_xlfn.XLOOKUP(Tabla1[[#This Row],[MARCA]],MARCAS!E:E,MARCAS!F:F)</f>
        <v>220</v>
      </c>
      <c r="H60" s="12" t="s">
        <v>229</v>
      </c>
      <c r="I60" s="36" t="s">
        <v>291</v>
      </c>
      <c r="J60" s="37" t="s">
        <v>292</v>
      </c>
      <c r="K60" s="2" t="s">
        <v>293</v>
      </c>
    </row>
    <row r="61" spans="1:11" hidden="1" x14ac:dyDescent="0.25">
      <c r="A61" s="2" t="s">
        <v>67</v>
      </c>
      <c r="B61" s="2" t="str">
        <f>_xlfn.XLOOKUP(Tabla1[[#This Row],[SOCIEDAD]],centros!D:D,centros!E:E)</f>
        <v>VF00</v>
      </c>
      <c r="C61" s="2" t="s">
        <v>263</v>
      </c>
      <c r="D61" s="2" t="s">
        <v>11</v>
      </c>
      <c r="E61" s="2" t="str">
        <f>IFERROR(INDEX(centros!$H$2:$H$45,MATCH(TRIM(Tabla1[[#This Row],[SOCIEDAD]])&amp;"|"&amp;TRIM(Tabla1[[#This Row],[LOCALIDAD]]),centros!$G$2:$G$45,0)),"REVISAR")</f>
        <v>VF00</v>
      </c>
      <c r="F61" s="2" t="s">
        <v>105</v>
      </c>
      <c r="G61" s="2" t="str">
        <f>_xlfn.XLOOKUP(Tabla1[[#This Row],[MARCA]],MARCAS!E:E,MARCAS!F:F)</f>
        <v>280</v>
      </c>
      <c r="H61" s="2" t="str">
        <f>_xlfn.XLOOKUP(Tabla1[[#This Row],[MARCA]],MARCAS!C:C,MARCAS!A:A)</f>
        <v>F9999</v>
      </c>
      <c r="I61" s="36" t="s">
        <v>294</v>
      </c>
      <c r="J61" s="37" t="s">
        <v>295</v>
      </c>
      <c r="K61" s="2" t="s">
        <v>296</v>
      </c>
    </row>
    <row r="62" spans="1:11" hidden="1" x14ac:dyDescent="0.25">
      <c r="A62" s="2" t="s">
        <v>67</v>
      </c>
      <c r="B62" s="2" t="str">
        <f>_xlfn.XLOOKUP(Tabla1[[#This Row],[SOCIEDAD]],centros!D:D,centros!E:E)</f>
        <v>VF00</v>
      </c>
      <c r="C62" s="2" t="s">
        <v>263</v>
      </c>
      <c r="D62" s="2" t="s">
        <v>11</v>
      </c>
      <c r="E62" s="2" t="str">
        <f>IFERROR(INDEX(centros!$H$2:$H$45,MATCH(TRIM(Tabla1[[#This Row],[SOCIEDAD]])&amp;"|"&amp;TRIM(Tabla1[[#This Row],[LOCALIDAD]]),centros!$G$2:$G$45,0)),"REVISAR")</f>
        <v>VF00</v>
      </c>
      <c r="F62" s="2" t="s">
        <v>77</v>
      </c>
      <c r="G62" s="2" t="str">
        <f>_xlfn.XLOOKUP(Tabla1[[#This Row],[MARCA]],MARCAS!E:E,MARCAS!F:F)</f>
        <v>260</v>
      </c>
      <c r="H62" s="2" t="str">
        <f>_xlfn.XLOOKUP(Tabla1[[#This Row],[MARCA]],MARCAS!C:C,MARCAS!A:A)</f>
        <v>F0020</v>
      </c>
      <c r="I62" s="36" t="s">
        <v>297</v>
      </c>
      <c r="J62" s="37" t="s">
        <v>298</v>
      </c>
      <c r="K62" s="2" t="s">
        <v>299</v>
      </c>
    </row>
    <row r="63" spans="1:11" hidden="1" x14ac:dyDescent="0.25">
      <c r="A63" s="2" t="s">
        <v>67</v>
      </c>
      <c r="B63" s="2" t="str">
        <f>_xlfn.XLOOKUP(Tabla1[[#This Row],[SOCIEDAD]],centros!D:D,centros!E:E)</f>
        <v>VF00</v>
      </c>
      <c r="C63" s="2" t="s">
        <v>300</v>
      </c>
      <c r="D63" s="2" t="s">
        <v>95</v>
      </c>
      <c r="E63" s="2" t="str">
        <f>IFERROR(INDEX(centros!$H$2:$H$45,MATCH(TRIM(Tabla1[[#This Row],[SOCIEDAD]])&amp;"|"&amp;TRIM(Tabla1[[#This Row],[LOCALIDAD]]),centros!$G$2:$G$45,0)),"REVISAR")</f>
        <v>VF07</v>
      </c>
      <c r="F63" s="2" t="s">
        <v>90</v>
      </c>
      <c r="G63" s="2" t="str">
        <f>_xlfn.XLOOKUP(Tabla1[[#This Row],[MARCA]],MARCAS!E:E,MARCAS!F:F)</f>
        <v>170</v>
      </c>
      <c r="H63" s="2" t="str">
        <f>_xlfn.XLOOKUP(Tabla1[[#This Row],[MARCA]],MARCAS!C:C,MARCAS!A:A)</f>
        <v>F0027</v>
      </c>
      <c r="I63" s="36" t="s">
        <v>301</v>
      </c>
      <c r="J63" s="37" t="s">
        <v>302</v>
      </c>
      <c r="K63" s="2" t="s">
        <v>303</v>
      </c>
    </row>
    <row r="64" spans="1:11" hidden="1" x14ac:dyDescent="0.25">
      <c r="A64" s="2" t="s">
        <v>67</v>
      </c>
      <c r="B64" s="2" t="str">
        <f>_xlfn.XLOOKUP(Tabla1[[#This Row],[SOCIEDAD]],centros!D:D,centros!E:E)</f>
        <v>VF00</v>
      </c>
      <c r="C64" s="2" t="s">
        <v>300</v>
      </c>
      <c r="D64" s="2" t="s">
        <v>82</v>
      </c>
      <c r="E64" s="2" t="str">
        <f>IFERROR(INDEX(centros!$H$2:$H$45,MATCH(TRIM(Tabla1[[#This Row],[SOCIEDAD]])&amp;"|"&amp;TRIM(Tabla1[[#This Row],[LOCALIDAD]]),centros!$G$2:$G$45,0)),"REVISAR")</f>
        <v>VF03</v>
      </c>
      <c r="F64" s="2" t="s">
        <v>80</v>
      </c>
      <c r="G64" s="2" t="str">
        <f>_xlfn.XLOOKUP(Tabla1[[#This Row],[MARCA]],MARCAS!E:E,MARCAS!F:F)</f>
        <v>140</v>
      </c>
      <c r="H64" s="2" t="str">
        <f>_xlfn.XLOOKUP(Tabla1[[#This Row],[MARCA]],MARCAS!C:C,MARCAS!A:A)</f>
        <v>F0021</v>
      </c>
      <c r="I64" s="36" t="s">
        <v>304</v>
      </c>
      <c r="J64" s="37" t="s">
        <v>305</v>
      </c>
      <c r="K64" s="2" t="s">
        <v>306</v>
      </c>
    </row>
    <row r="65" spans="1:11" hidden="1" x14ac:dyDescent="0.25">
      <c r="A65" s="2" t="s">
        <v>67</v>
      </c>
      <c r="B65" s="2" t="str">
        <f>_xlfn.XLOOKUP(Tabla1[[#This Row],[SOCIEDAD]],centros!D:D,centros!E:E)</f>
        <v>VF00</v>
      </c>
      <c r="C65" s="2" t="s">
        <v>300</v>
      </c>
      <c r="D65" s="2" t="s">
        <v>82</v>
      </c>
      <c r="E65" s="2" t="str">
        <f>IFERROR(INDEX(centros!$H$2:$H$45,MATCH(TRIM(Tabla1[[#This Row],[SOCIEDAD]])&amp;"|"&amp;TRIM(Tabla1[[#This Row],[LOCALIDAD]]),centros!$G$2:$G$45,0)),"REVISAR")</f>
        <v>VF03</v>
      </c>
      <c r="F65" s="2" t="s">
        <v>105</v>
      </c>
      <c r="G65" s="2" t="str">
        <f>_xlfn.XLOOKUP(Tabla1[[#This Row],[MARCA]],MARCAS!E:E,MARCAS!F:F)</f>
        <v>280</v>
      </c>
      <c r="H65" s="2" t="str">
        <f>_xlfn.XLOOKUP(Tabla1[[#This Row],[MARCA]],MARCAS!C:C,MARCAS!A:A)</f>
        <v>F9999</v>
      </c>
      <c r="I65" s="36" t="s">
        <v>307</v>
      </c>
      <c r="J65" s="37" t="s">
        <v>308</v>
      </c>
      <c r="K65" s="2" t="s">
        <v>309</v>
      </c>
    </row>
    <row r="66" spans="1:11" hidden="1" x14ac:dyDescent="0.25">
      <c r="A66" s="2" t="s">
        <v>67</v>
      </c>
      <c r="B66" s="2" t="str">
        <f>_xlfn.XLOOKUP(Tabla1[[#This Row],[SOCIEDAD]],centros!D:D,centros!E:E)</f>
        <v>VF00</v>
      </c>
      <c r="C66" s="2" t="s">
        <v>300</v>
      </c>
      <c r="D66" s="2" t="s">
        <v>91</v>
      </c>
      <c r="E66" s="2" t="str">
        <f>IFERROR(INDEX(centros!$H$2:$H$45,MATCH(TRIM(Tabla1[[#This Row],[SOCIEDAD]])&amp;"|"&amp;TRIM(Tabla1[[#This Row],[LOCALIDAD]]),centros!$G$2:$G$45,0)),"REVISAR")</f>
        <v>VF01</v>
      </c>
      <c r="F66" s="2" t="s">
        <v>90</v>
      </c>
      <c r="G66" s="2" t="str">
        <f>_xlfn.XLOOKUP(Tabla1[[#This Row],[MARCA]],MARCAS!E:E,MARCAS!F:F)</f>
        <v>170</v>
      </c>
      <c r="H66" s="2" t="str">
        <f>_xlfn.XLOOKUP(Tabla1[[#This Row],[MARCA]],MARCAS!C:C,MARCAS!A:A)</f>
        <v>F0027</v>
      </c>
      <c r="I66" s="36" t="s">
        <v>310</v>
      </c>
      <c r="J66" s="37" t="s">
        <v>311</v>
      </c>
      <c r="K66" s="2" t="s">
        <v>312</v>
      </c>
    </row>
    <row r="67" spans="1:11" hidden="1" x14ac:dyDescent="0.25">
      <c r="A67" s="2" t="s">
        <v>67</v>
      </c>
      <c r="B67" s="2" t="str">
        <f>_xlfn.XLOOKUP(Tabla1[[#This Row],[SOCIEDAD]],centros!D:D,centros!E:E)</f>
        <v>VF00</v>
      </c>
      <c r="C67" s="2" t="s">
        <v>300</v>
      </c>
      <c r="D67" s="2" t="s">
        <v>70</v>
      </c>
      <c r="E67" s="2" t="str">
        <f>IFERROR(INDEX(centros!$H$2:$H$45,MATCH(TRIM(Tabla1[[#This Row],[SOCIEDAD]])&amp;"|"&amp;TRIM(Tabla1[[#This Row],[LOCALIDAD]]),centros!$G$2:$G$45,0)),"REVISAR")</f>
        <v>VF01</v>
      </c>
      <c r="F67" s="2" t="s">
        <v>84</v>
      </c>
      <c r="G67" s="2" t="str">
        <f>_xlfn.XLOOKUP(Tabla1[[#This Row],[MARCA]],MARCAS!E:E,MARCAS!F:F)</f>
        <v>060</v>
      </c>
      <c r="H67" s="2" t="str">
        <f>_xlfn.XLOOKUP(Tabla1[[#This Row],[MARCA]],MARCAS!C:C,MARCAS!A:A)</f>
        <v>F0022</v>
      </c>
      <c r="I67" s="36" t="s">
        <v>313</v>
      </c>
      <c r="J67" s="37" t="s">
        <v>314</v>
      </c>
      <c r="K67" s="2" t="s">
        <v>315</v>
      </c>
    </row>
    <row r="68" spans="1:11" hidden="1" x14ac:dyDescent="0.25">
      <c r="A68" s="2" t="s">
        <v>67</v>
      </c>
      <c r="B68" s="2" t="str">
        <f>_xlfn.XLOOKUP(Tabla1[[#This Row],[SOCIEDAD]],centros!D:D,centros!E:E)</f>
        <v>VF00</v>
      </c>
      <c r="C68" s="2" t="s">
        <v>300</v>
      </c>
      <c r="D68" s="2" t="s">
        <v>70</v>
      </c>
      <c r="E68" s="2" t="str">
        <f>IFERROR(INDEX(centros!$H$2:$H$45,MATCH(TRIM(Tabla1[[#This Row],[SOCIEDAD]])&amp;"|"&amp;TRIM(Tabla1[[#This Row],[LOCALIDAD]]),centros!$G$2:$G$45,0)),"REVISAR")</f>
        <v>VF01</v>
      </c>
      <c r="F68" s="2" t="s">
        <v>98</v>
      </c>
      <c r="G68" s="2" t="str">
        <f>_xlfn.XLOOKUP(Tabla1[[#This Row],[MARCA]],MARCAS!E:E,MARCAS!F:F)</f>
        <v>080</v>
      </c>
      <c r="H68" s="2" t="str">
        <f>_xlfn.XLOOKUP(Tabla1[[#This Row],[MARCA]],MARCAS!C:C,MARCAS!A:A)</f>
        <v>F0028</v>
      </c>
      <c r="I68" s="36" t="s">
        <v>316</v>
      </c>
      <c r="J68" s="37" t="s">
        <v>317</v>
      </c>
      <c r="K68" s="2" t="s">
        <v>318</v>
      </c>
    </row>
    <row r="69" spans="1:11" hidden="1" x14ac:dyDescent="0.25">
      <c r="A69" s="2" t="s">
        <v>67</v>
      </c>
      <c r="B69" s="2" t="str">
        <f>_xlfn.XLOOKUP(Tabla1[[#This Row],[SOCIEDAD]],centros!D:D,centros!E:E)</f>
        <v>VF00</v>
      </c>
      <c r="C69" s="2" t="s">
        <v>300</v>
      </c>
      <c r="D69" s="2" t="s">
        <v>70</v>
      </c>
      <c r="E69" s="2" t="str">
        <f>IFERROR(INDEX(centros!$H$2:$H$45,MATCH(TRIM(Tabla1[[#This Row],[SOCIEDAD]])&amp;"|"&amp;TRIM(Tabla1[[#This Row],[LOCALIDAD]]),centros!$G$2:$G$45,0)),"REVISAR")</f>
        <v>VF01</v>
      </c>
      <c r="F69" s="2" t="s">
        <v>66</v>
      </c>
      <c r="G69" s="2" t="str">
        <f>_xlfn.XLOOKUP(Tabla1[[#This Row],[MARCA]],MARCAS!E:E,MARCAS!F:F)</f>
        <v>130</v>
      </c>
      <c r="H69" s="2" t="str">
        <f>_xlfn.XLOOKUP(Tabla1[[#This Row],[MARCA]],MARCAS!C:C,MARCAS!A:A)</f>
        <v>F0019</v>
      </c>
      <c r="I69" s="36" t="s">
        <v>319</v>
      </c>
      <c r="J69" s="37" t="s">
        <v>320</v>
      </c>
      <c r="K69" s="2" t="s">
        <v>321</v>
      </c>
    </row>
    <row r="70" spans="1:11" hidden="1" x14ac:dyDescent="0.25">
      <c r="A70" s="2" t="s">
        <v>67</v>
      </c>
      <c r="B70" s="2" t="str">
        <f>_xlfn.XLOOKUP(Tabla1[[#This Row],[SOCIEDAD]],centros!D:D,centros!E:E)</f>
        <v>VF00</v>
      </c>
      <c r="C70" s="2" t="s">
        <v>300</v>
      </c>
      <c r="D70" s="2" t="s">
        <v>70</v>
      </c>
      <c r="E70" s="2" t="str">
        <f>IFERROR(INDEX(centros!$H$2:$H$45,MATCH(TRIM(Tabla1[[#This Row],[SOCIEDAD]])&amp;"|"&amp;TRIM(Tabla1[[#This Row],[LOCALIDAD]]),centros!$G$2:$G$45,0)),"REVISAR")</f>
        <v>VF01</v>
      </c>
      <c r="F70" s="2" t="s">
        <v>87</v>
      </c>
      <c r="G70" s="2" t="str">
        <f>_xlfn.XLOOKUP(Tabla1[[#This Row],[MARCA]],MARCAS!E:E,MARCAS!F:F)</f>
        <v>160</v>
      </c>
      <c r="H70" s="2" t="str">
        <f>_xlfn.XLOOKUP(Tabla1[[#This Row],[MARCA]],MARCAS!C:C,MARCAS!A:A)</f>
        <v>F0023</v>
      </c>
      <c r="I70" s="36" t="s">
        <v>322</v>
      </c>
      <c r="J70" s="37" t="s">
        <v>323</v>
      </c>
      <c r="K70" s="2" t="s">
        <v>324</v>
      </c>
    </row>
    <row r="71" spans="1:11" hidden="1" x14ac:dyDescent="0.25">
      <c r="A71" s="2" t="s">
        <v>67</v>
      </c>
      <c r="B71" s="2" t="str">
        <f>_xlfn.XLOOKUP(Tabla1[[#This Row],[SOCIEDAD]],centros!D:D,centros!E:E)</f>
        <v>VF00</v>
      </c>
      <c r="C71" s="2" t="s">
        <v>300</v>
      </c>
      <c r="D71" s="2" t="s">
        <v>70</v>
      </c>
      <c r="E71" s="2" t="str">
        <f>IFERROR(INDEX(centros!$H$2:$H$45,MATCH(TRIM(Tabla1[[#This Row],[SOCIEDAD]])&amp;"|"&amp;TRIM(Tabla1[[#This Row],[LOCALIDAD]]),centros!$G$2:$G$45,0)),"REVISAR")</f>
        <v>VF01</v>
      </c>
      <c r="F71" s="2" t="s">
        <v>103</v>
      </c>
      <c r="G71" s="2" t="str">
        <f>_xlfn.XLOOKUP(Tabla1[[#This Row],[MARCA]],MARCAS!E:E,MARCAS!F:F)</f>
        <v>220</v>
      </c>
      <c r="H71" s="12" t="s">
        <v>229</v>
      </c>
      <c r="I71" s="36" t="s">
        <v>325</v>
      </c>
      <c r="J71" s="37" t="s">
        <v>326</v>
      </c>
      <c r="K71" s="2" t="s">
        <v>327</v>
      </c>
    </row>
    <row r="72" spans="1:11" hidden="1" x14ac:dyDescent="0.25">
      <c r="A72" s="2" t="s">
        <v>67</v>
      </c>
      <c r="B72" s="2" t="str">
        <f>_xlfn.XLOOKUP(Tabla1[[#This Row],[SOCIEDAD]],centros!D:D,centros!E:E)</f>
        <v>VF00</v>
      </c>
      <c r="C72" s="2" t="s">
        <v>300</v>
      </c>
      <c r="D72" s="2" t="s">
        <v>70</v>
      </c>
      <c r="E72" s="2" t="str">
        <f>IFERROR(INDEX(centros!$H$2:$H$45,MATCH(TRIM(Tabla1[[#This Row],[SOCIEDAD]])&amp;"|"&amp;TRIM(Tabla1[[#This Row],[LOCALIDAD]]),centros!$G$2:$G$45,0)),"REVISAR")</f>
        <v>VF01</v>
      </c>
      <c r="F72" s="2" t="s">
        <v>105</v>
      </c>
      <c r="G72" s="2" t="str">
        <f>_xlfn.XLOOKUP(Tabla1[[#This Row],[MARCA]],MARCAS!E:E,MARCAS!F:F)</f>
        <v>280</v>
      </c>
      <c r="H72" s="2" t="str">
        <f>_xlfn.XLOOKUP(Tabla1[[#This Row],[MARCA]],MARCAS!C:C,MARCAS!A:A)</f>
        <v>F9999</v>
      </c>
      <c r="I72" s="36" t="s">
        <v>328</v>
      </c>
      <c r="J72" s="37" t="s">
        <v>329</v>
      </c>
      <c r="K72" s="2" t="s">
        <v>330</v>
      </c>
    </row>
    <row r="73" spans="1:11" hidden="1" x14ac:dyDescent="0.25">
      <c r="A73" s="2" t="s">
        <v>67</v>
      </c>
      <c r="B73" s="2" t="str">
        <f>_xlfn.XLOOKUP(Tabla1[[#This Row],[SOCIEDAD]],centros!D:D,centros!E:E)</f>
        <v>VF00</v>
      </c>
      <c r="C73" s="2" t="s">
        <v>300</v>
      </c>
      <c r="D73" s="2" t="s">
        <v>70</v>
      </c>
      <c r="E73" s="2" t="str">
        <f>IFERROR(INDEX(centros!$H$2:$H$45,MATCH(TRIM(Tabla1[[#This Row],[SOCIEDAD]])&amp;"|"&amp;TRIM(Tabla1[[#This Row],[LOCALIDAD]]),centros!$G$2:$G$45,0)),"REVISAR")</f>
        <v>VF01</v>
      </c>
      <c r="F73" s="2" t="s">
        <v>77</v>
      </c>
      <c r="G73" s="2" t="str">
        <f>_xlfn.XLOOKUP(Tabla1[[#This Row],[MARCA]],MARCAS!E:E,MARCAS!F:F)</f>
        <v>260</v>
      </c>
      <c r="H73" s="2" t="str">
        <f>_xlfn.XLOOKUP(Tabla1[[#This Row],[MARCA]],MARCAS!C:C,MARCAS!A:A)</f>
        <v>F0020</v>
      </c>
      <c r="I73" s="36" t="s">
        <v>331</v>
      </c>
      <c r="J73" s="37" t="s">
        <v>332</v>
      </c>
      <c r="K73" s="2" t="s">
        <v>333</v>
      </c>
    </row>
    <row r="74" spans="1:11" hidden="1" x14ac:dyDescent="0.25">
      <c r="A74" s="2" t="s">
        <v>67</v>
      </c>
      <c r="B74" s="2" t="str">
        <f>_xlfn.XLOOKUP(Tabla1[[#This Row],[SOCIEDAD]],centros!D:D,centros!E:E)</f>
        <v>VF00</v>
      </c>
      <c r="C74" s="2" t="s">
        <v>300</v>
      </c>
      <c r="D74" s="2" t="s">
        <v>11</v>
      </c>
      <c r="E74" s="2" t="str">
        <f>IFERROR(INDEX(centros!$H$2:$H$45,MATCH(TRIM(Tabla1[[#This Row],[SOCIEDAD]])&amp;"|"&amp;TRIM(Tabla1[[#This Row],[LOCALIDAD]]),centros!$G$2:$G$45,0)),"REVISAR")</f>
        <v>VF00</v>
      </c>
      <c r="F74" s="2" t="s">
        <v>84</v>
      </c>
      <c r="G74" s="2" t="str">
        <f>_xlfn.XLOOKUP(Tabla1[[#This Row],[MARCA]],MARCAS!E:E,MARCAS!F:F)</f>
        <v>060</v>
      </c>
      <c r="H74" s="2" t="str">
        <f>_xlfn.XLOOKUP(Tabla1[[#This Row],[MARCA]],MARCAS!C:C,MARCAS!A:A)</f>
        <v>F0022</v>
      </c>
      <c r="I74" s="36" t="s">
        <v>334</v>
      </c>
      <c r="J74" s="37" t="s">
        <v>335</v>
      </c>
      <c r="K74" s="2" t="s">
        <v>336</v>
      </c>
    </row>
    <row r="75" spans="1:11" hidden="1" x14ac:dyDescent="0.25">
      <c r="A75" s="2" t="s">
        <v>67</v>
      </c>
      <c r="B75" s="2" t="str">
        <f>_xlfn.XLOOKUP(Tabla1[[#This Row],[SOCIEDAD]],centros!D:D,centros!E:E)</f>
        <v>VF00</v>
      </c>
      <c r="C75" s="2" t="s">
        <v>300</v>
      </c>
      <c r="D75" s="2" t="s">
        <v>11</v>
      </c>
      <c r="E75" s="2" t="str">
        <f>IFERROR(INDEX(centros!$H$2:$H$45,MATCH(TRIM(Tabla1[[#This Row],[SOCIEDAD]])&amp;"|"&amp;TRIM(Tabla1[[#This Row],[LOCALIDAD]]),centros!$G$2:$G$45,0)),"REVISAR")</f>
        <v>VF00</v>
      </c>
      <c r="F75" s="2" t="s">
        <v>98</v>
      </c>
      <c r="G75" s="2" t="str">
        <f>_xlfn.XLOOKUP(Tabla1[[#This Row],[MARCA]],MARCAS!E:E,MARCAS!F:F)</f>
        <v>080</v>
      </c>
      <c r="H75" s="2" t="str">
        <f>_xlfn.XLOOKUP(Tabla1[[#This Row],[MARCA]],MARCAS!C:C,MARCAS!A:A)</f>
        <v>F0028</v>
      </c>
      <c r="I75" s="36" t="s">
        <v>337</v>
      </c>
      <c r="J75" s="37" t="s">
        <v>338</v>
      </c>
      <c r="K75" s="2" t="s">
        <v>339</v>
      </c>
    </row>
    <row r="76" spans="1:11" hidden="1" x14ac:dyDescent="0.25">
      <c r="A76" s="2" t="s">
        <v>67</v>
      </c>
      <c r="B76" s="2" t="str">
        <f>_xlfn.XLOOKUP(Tabla1[[#This Row],[SOCIEDAD]],centros!D:D,centros!E:E)</f>
        <v>VF00</v>
      </c>
      <c r="C76" s="2" t="s">
        <v>300</v>
      </c>
      <c r="D76" s="2" t="s">
        <v>11</v>
      </c>
      <c r="E76" s="2" t="str">
        <f>IFERROR(INDEX(centros!$H$2:$H$45,MATCH(TRIM(Tabla1[[#This Row],[SOCIEDAD]])&amp;"|"&amp;TRIM(Tabla1[[#This Row],[LOCALIDAD]]),centros!$G$2:$G$45,0)),"REVISAR")</f>
        <v>VF00</v>
      </c>
      <c r="F76" s="2" t="s">
        <v>101</v>
      </c>
      <c r="G76" s="2" t="str">
        <f>_xlfn.XLOOKUP(Tabla1[[#This Row],[MARCA]],MARCAS!E:E,MARCAS!F:F)</f>
        <v>120</v>
      </c>
      <c r="H76" s="12" t="s">
        <v>149</v>
      </c>
      <c r="I76" s="36" t="s">
        <v>340</v>
      </c>
      <c r="J76" s="37" t="s">
        <v>341</v>
      </c>
      <c r="K76" s="2" t="s">
        <v>342</v>
      </c>
    </row>
    <row r="77" spans="1:11" hidden="1" x14ac:dyDescent="0.25">
      <c r="A77" s="2" t="s">
        <v>67</v>
      </c>
      <c r="B77" s="2" t="str">
        <f>_xlfn.XLOOKUP(Tabla1[[#This Row],[SOCIEDAD]],centros!D:D,centros!E:E)</f>
        <v>VF00</v>
      </c>
      <c r="C77" s="2" t="s">
        <v>300</v>
      </c>
      <c r="D77" s="2" t="s">
        <v>11</v>
      </c>
      <c r="E77" s="2" t="str">
        <f>IFERROR(INDEX(centros!$H$2:$H$45,MATCH(TRIM(Tabla1[[#This Row],[SOCIEDAD]])&amp;"|"&amp;TRIM(Tabla1[[#This Row],[LOCALIDAD]]),centros!$G$2:$G$45,0)),"REVISAR")</f>
        <v>VF00</v>
      </c>
      <c r="F77" s="2" t="s">
        <v>66</v>
      </c>
      <c r="G77" s="2" t="str">
        <f>_xlfn.XLOOKUP(Tabla1[[#This Row],[MARCA]],MARCAS!E:E,MARCAS!F:F)</f>
        <v>130</v>
      </c>
      <c r="H77" s="2" t="str">
        <f>_xlfn.XLOOKUP(Tabla1[[#This Row],[MARCA]],MARCAS!C:C,MARCAS!A:A)</f>
        <v>F0019</v>
      </c>
      <c r="I77" s="36" t="s">
        <v>343</v>
      </c>
      <c r="J77" s="37" t="s">
        <v>344</v>
      </c>
      <c r="K77" s="2" t="s">
        <v>345</v>
      </c>
    </row>
    <row r="78" spans="1:11" hidden="1" x14ac:dyDescent="0.25">
      <c r="A78" s="2" t="s">
        <v>67</v>
      </c>
      <c r="B78" s="2" t="str">
        <f>_xlfn.XLOOKUP(Tabla1[[#This Row],[SOCIEDAD]],centros!D:D,centros!E:E)</f>
        <v>VF00</v>
      </c>
      <c r="C78" s="2" t="s">
        <v>300</v>
      </c>
      <c r="D78" s="2" t="s">
        <v>11</v>
      </c>
      <c r="E78" s="2" t="str">
        <f>IFERROR(INDEX(centros!$H$2:$H$45,MATCH(TRIM(Tabla1[[#This Row],[SOCIEDAD]])&amp;"|"&amp;TRIM(Tabla1[[#This Row],[LOCALIDAD]]),centros!$G$2:$G$45,0)),"REVISAR")</f>
        <v>VF00</v>
      </c>
      <c r="F78" s="2" t="s">
        <v>87</v>
      </c>
      <c r="G78" s="2" t="str">
        <f>_xlfn.XLOOKUP(Tabla1[[#This Row],[MARCA]],MARCAS!E:E,MARCAS!F:F)</f>
        <v>160</v>
      </c>
      <c r="H78" s="2" t="str">
        <f>_xlfn.XLOOKUP(Tabla1[[#This Row],[MARCA]],MARCAS!C:C,MARCAS!A:A)</f>
        <v>F0023</v>
      </c>
      <c r="I78" s="36" t="s">
        <v>346</v>
      </c>
      <c r="J78" s="37" t="s">
        <v>347</v>
      </c>
      <c r="K78" s="2" t="s">
        <v>348</v>
      </c>
    </row>
    <row r="79" spans="1:11" hidden="1" x14ac:dyDescent="0.25">
      <c r="A79" s="2" t="s">
        <v>67</v>
      </c>
      <c r="B79" s="2" t="str">
        <f>_xlfn.XLOOKUP(Tabla1[[#This Row],[SOCIEDAD]],centros!D:D,centros!E:E)</f>
        <v>VF00</v>
      </c>
      <c r="C79" s="2" t="s">
        <v>300</v>
      </c>
      <c r="D79" s="2" t="s">
        <v>11</v>
      </c>
      <c r="E79" s="2" t="str">
        <f>IFERROR(INDEX(centros!$H$2:$H$45,MATCH(TRIM(Tabla1[[#This Row],[SOCIEDAD]])&amp;"|"&amp;TRIM(Tabla1[[#This Row],[LOCALIDAD]]),centros!$G$2:$G$45,0)),"REVISAR")</f>
        <v>VF00</v>
      </c>
      <c r="F79" s="2" t="s">
        <v>90</v>
      </c>
      <c r="G79" s="2" t="str">
        <f>_xlfn.XLOOKUP(Tabla1[[#This Row],[MARCA]],MARCAS!E:E,MARCAS!F:F)</f>
        <v>170</v>
      </c>
      <c r="H79" s="2" t="str">
        <f>_xlfn.XLOOKUP(Tabla1[[#This Row],[MARCA]],MARCAS!C:C,MARCAS!A:A)</f>
        <v>F0027</v>
      </c>
      <c r="I79" s="36" t="s">
        <v>349</v>
      </c>
      <c r="J79" s="37" t="s">
        <v>350</v>
      </c>
      <c r="K79" s="2" t="s">
        <v>351</v>
      </c>
    </row>
    <row r="80" spans="1:11" hidden="1" x14ac:dyDescent="0.25">
      <c r="A80" s="2" t="s">
        <v>67</v>
      </c>
      <c r="B80" s="2" t="str">
        <f>_xlfn.XLOOKUP(Tabla1[[#This Row],[SOCIEDAD]],centros!D:D,centros!E:E)</f>
        <v>VF00</v>
      </c>
      <c r="C80" s="2" t="s">
        <v>300</v>
      </c>
      <c r="D80" s="2" t="s">
        <v>11</v>
      </c>
      <c r="E80" s="2" t="str">
        <f>IFERROR(INDEX(centros!$H$2:$H$45,MATCH(TRIM(Tabla1[[#This Row],[SOCIEDAD]])&amp;"|"&amp;TRIM(Tabla1[[#This Row],[LOCALIDAD]]),centros!$G$2:$G$45,0)),"REVISAR")</f>
        <v>VF00</v>
      </c>
      <c r="F80" s="2" t="s">
        <v>103</v>
      </c>
      <c r="G80" s="2" t="str">
        <f>_xlfn.XLOOKUP(Tabla1[[#This Row],[MARCA]],MARCAS!E:E,MARCAS!F:F)</f>
        <v>220</v>
      </c>
      <c r="H80" s="12" t="s">
        <v>229</v>
      </c>
      <c r="I80" s="36" t="s">
        <v>352</v>
      </c>
      <c r="J80" s="37" t="s">
        <v>353</v>
      </c>
      <c r="K80" s="2" t="s">
        <v>354</v>
      </c>
    </row>
    <row r="81" spans="1:11" hidden="1" x14ac:dyDescent="0.25">
      <c r="A81" s="2" t="s">
        <v>67</v>
      </c>
      <c r="B81" s="2" t="str">
        <f>_xlfn.XLOOKUP(Tabla1[[#This Row],[SOCIEDAD]],centros!D:D,centros!E:E)</f>
        <v>VF00</v>
      </c>
      <c r="C81" s="2" t="s">
        <v>300</v>
      </c>
      <c r="D81" s="2" t="s">
        <v>11</v>
      </c>
      <c r="E81" s="2" t="str">
        <f>IFERROR(INDEX(centros!$H$2:$H$45,MATCH(TRIM(Tabla1[[#This Row],[SOCIEDAD]])&amp;"|"&amp;TRIM(Tabla1[[#This Row],[LOCALIDAD]]),centros!$G$2:$G$45,0)),"REVISAR")</f>
        <v>VF00</v>
      </c>
      <c r="F81" s="2" t="s">
        <v>105</v>
      </c>
      <c r="G81" s="2" t="str">
        <f>_xlfn.XLOOKUP(Tabla1[[#This Row],[MARCA]],MARCAS!E:E,MARCAS!F:F)</f>
        <v>280</v>
      </c>
      <c r="H81" s="2" t="str">
        <f>_xlfn.XLOOKUP(Tabla1[[#This Row],[MARCA]],MARCAS!C:C,MARCAS!A:A)</f>
        <v>F9999</v>
      </c>
      <c r="I81" s="36" t="s">
        <v>355</v>
      </c>
      <c r="J81" s="37" t="s">
        <v>356</v>
      </c>
      <c r="K81" s="2" t="s">
        <v>357</v>
      </c>
    </row>
    <row r="82" spans="1:11" hidden="1" x14ac:dyDescent="0.25">
      <c r="A82" s="2" t="s">
        <v>67</v>
      </c>
      <c r="B82" s="2" t="str">
        <f>_xlfn.XLOOKUP(Tabla1[[#This Row],[SOCIEDAD]],centros!D:D,centros!E:E)</f>
        <v>VF00</v>
      </c>
      <c r="C82" s="2" t="s">
        <v>300</v>
      </c>
      <c r="D82" s="2" t="s">
        <v>11</v>
      </c>
      <c r="E82" s="2" t="str">
        <f>IFERROR(INDEX(centros!$H$2:$H$45,MATCH(TRIM(Tabla1[[#This Row],[SOCIEDAD]])&amp;"|"&amp;TRIM(Tabla1[[#This Row],[LOCALIDAD]]),centros!$G$2:$G$45,0)),"REVISAR")</f>
        <v>VF00</v>
      </c>
      <c r="F82" s="2" t="s">
        <v>77</v>
      </c>
      <c r="G82" s="2" t="str">
        <f>_xlfn.XLOOKUP(Tabla1[[#This Row],[MARCA]],MARCAS!E:E,MARCAS!F:F)</f>
        <v>260</v>
      </c>
      <c r="H82" s="2" t="str">
        <f>_xlfn.XLOOKUP(Tabla1[[#This Row],[MARCA]],MARCAS!C:C,MARCAS!A:A)</f>
        <v>F0020</v>
      </c>
      <c r="I82" s="36" t="s">
        <v>358</v>
      </c>
      <c r="J82" s="37" t="s">
        <v>359</v>
      </c>
      <c r="K82" s="2" t="s">
        <v>360</v>
      </c>
    </row>
    <row r="83" spans="1:11" hidden="1" x14ac:dyDescent="0.25">
      <c r="A83" s="2" t="s">
        <v>67</v>
      </c>
      <c r="B83" s="2" t="str">
        <f>_xlfn.XLOOKUP(Tabla1[[#This Row],[SOCIEDAD]],centros!D:D,centros!E:E)</f>
        <v>VF00</v>
      </c>
      <c r="C83" s="2" t="s">
        <v>300</v>
      </c>
      <c r="D83" s="2" t="s">
        <v>93</v>
      </c>
      <c r="E83" s="2" t="str">
        <f>IFERROR(INDEX(centros!$H$2:$H$45,MATCH(TRIM(Tabla1[[#This Row],[SOCIEDAD]])&amp;"|"&amp;TRIM(Tabla1[[#This Row],[LOCALIDAD]]),centros!$G$2:$G$45,0)),"REVISAR")</f>
        <v>VF05</v>
      </c>
      <c r="F83" s="2" t="s">
        <v>90</v>
      </c>
      <c r="G83" s="2" t="str">
        <f>_xlfn.XLOOKUP(Tabla1[[#This Row],[MARCA]],MARCAS!E:E,MARCAS!F:F)</f>
        <v>170</v>
      </c>
      <c r="H83" s="2" t="str">
        <f>_xlfn.XLOOKUP(Tabla1[[#This Row],[MARCA]],MARCAS!C:C,MARCAS!A:A)</f>
        <v>F0027</v>
      </c>
      <c r="I83" s="36" t="s">
        <v>361</v>
      </c>
      <c r="J83" s="37" t="s">
        <v>362</v>
      </c>
      <c r="K83" s="2" t="s">
        <v>363</v>
      </c>
    </row>
    <row r="84" spans="1:11" hidden="1" x14ac:dyDescent="0.25">
      <c r="A84" s="2" t="s">
        <v>9</v>
      </c>
      <c r="B84" s="2" t="str">
        <f>_xlfn.XLOOKUP(Tabla1[[#This Row],[SOCIEDAD]],centros!D:D,centros!E:E)</f>
        <v>VA00</v>
      </c>
      <c r="C84" s="2" t="s">
        <v>364</v>
      </c>
      <c r="D84" s="2" t="s">
        <v>15</v>
      </c>
      <c r="E84" s="2" t="str">
        <f>IFERROR(INDEX(centros!$H$2:$H$45,MATCH(TRIM(Tabla1[[#This Row],[SOCIEDAD]])&amp;"|"&amp;TRIM(Tabla1[[#This Row],[LOCALIDAD]]),centros!$G$2:$G$45,0)),"REVISAR")</f>
        <v>VA02</v>
      </c>
      <c r="F84" s="2" t="s">
        <v>8</v>
      </c>
      <c r="G84" s="2" t="str">
        <f>_xlfn.XLOOKUP(Tabla1[[#This Row],[MARCA]],MARCAS!E:E,MARCAS!F:F)</f>
        <v>060</v>
      </c>
      <c r="H84" s="2" t="str">
        <f>_xlfn.XLOOKUP(Tabla1[[#This Row],[MARCA]],MARCAS!C:C,MARCAS!A:A)</f>
        <v>F0001</v>
      </c>
      <c r="I84" s="38" t="s">
        <v>365</v>
      </c>
      <c r="J84" s="37" t="s">
        <v>366</v>
      </c>
      <c r="K84" s="2" t="s">
        <v>367</v>
      </c>
    </row>
    <row r="85" spans="1:11" hidden="1" x14ac:dyDescent="0.25">
      <c r="A85" s="2" t="s">
        <v>9</v>
      </c>
      <c r="B85" s="2" t="str">
        <f>_xlfn.XLOOKUP(Tabla1[[#This Row],[SOCIEDAD]],centros!D:D,centros!E:E)</f>
        <v>VA00</v>
      </c>
      <c r="C85" s="2" t="s">
        <v>364</v>
      </c>
      <c r="D85" s="2" t="s">
        <v>15</v>
      </c>
      <c r="E85" s="2" t="str">
        <f>IFERROR(INDEX(centros!$H$2:$H$45,MATCH(TRIM(Tabla1[[#This Row],[SOCIEDAD]])&amp;"|"&amp;TRIM(Tabla1[[#This Row],[LOCALIDAD]]),centros!$G$2:$G$45,0)),"REVISAR")</f>
        <v>VA02</v>
      </c>
      <c r="F85" s="2" t="s">
        <v>98</v>
      </c>
      <c r="G85" s="2" t="str">
        <f>_xlfn.XLOOKUP(Tabla1[[#This Row],[MARCA]],MARCAS!E:E,MARCAS!F:F)</f>
        <v>080</v>
      </c>
      <c r="H85" s="2" t="str">
        <f>_xlfn.XLOOKUP(Tabla1[[#This Row],[MARCA]],MARCAS!C:C,MARCAS!A:A)</f>
        <v>F0028</v>
      </c>
      <c r="I85" s="38" t="s">
        <v>368</v>
      </c>
      <c r="J85" s="37" t="s">
        <v>369</v>
      </c>
      <c r="K85" s="2" t="s">
        <v>370</v>
      </c>
    </row>
    <row r="86" spans="1:11" hidden="1" x14ac:dyDescent="0.25">
      <c r="A86" s="2" t="s">
        <v>9</v>
      </c>
      <c r="B86" s="2" t="str">
        <f>_xlfn.XLOOKUP(Tabla1[[#This Row],[SOCIEDAD]],centros!D:D,centros!E:E)</f>
        <v>VA00</v>
      </c>
      <c r="C86" s="2" t="s">
        <v>364</v>
      </c>
      <c r="D86" s="2" t="s">
        <v>15</v>
      </c>
      <c r="E86" s="2" t="str">
        <f>IFERROR(INDEX(centros!$H$2:$H$45,MATCH(TRIM(Tabla1[[#This Row],[SOCIEDAD]])&amp;"|"&amp;TRIM(Tabla1[[#This Row],[LOCALIDAD]]),centros!$G$2:$G$45,0)),"REVISAR")</f>
        <v>VA02</v>
      </c>
      <c r="F86" s="2" t="s">
        <v>26</v>
      </c>
      <c r="G86" s="2" t="str">
        <f>_xlfn.XLOOKUP(Tabla1[[#This Row],[MARCA]],MARCAS!E:E,MARCAS!F:F)</f>
        <v>110</v>
      </c>
      <c r="H86" s="2" t="str">
        <f>_xlfn.XLOOKUP(Tabla1[[#This Row],[MARCA]],MARCAS!C:C,MARCAS!A:A)</f>
        <v>F0006</v>
      </c>
      <c r="I86" s="38" t="s">
        <v>371</v>
      </c>
      <c r="J86" s="37" t="s">
        <v>372</v>
      </c>
      <c r="K86" s="2" t="s">
        <v>373</v>
      </c>
    </row>
    <row r="87" spans="1:11" hidden="1" x14ac:dyDescent="0.25">
      <c r="A87" s="2" t="s">
        <v>9</v>
      </c>
      <c r="B87" s="2" t="str">
        <f>_xlfn.XLOOKUP(Tabla1[[#This Row],[SOCIEDAD]],centros!D:D,centros!E:E)</f>
        <v>VA00</v>
      </c>
      <c r="C87" s="2" t="s">
        <v>364</v>
      </c>
      <c r="D87" s="2" t="s">
        <v>15</v>
      </c>
      <c r="E87" s="2" t="str">
        <f>IFERROR(INDEX(centros!$H$2:$H$45,MATCH(TRIM(Tabla1[[#This Row],[SOCIEDAD]])&amp;"|"&amp;TRIM(Tabla1[[#This Row],[LOCALIDAD]]),centros!$G$2:$G$45,0)),"REVISAR")</f>
        <v>VA02</v>
      </c>
      <c r="F87" s="2" t="s">
        <v>105</v>
      </c>
      <c r="G87" s="2" t="str">
        <f>_xlfn.XLOOKUP(Tabla1[[#This Row],[MARCA]],MARCAS!E:E,MARCAS!F:F)</f>
        <v>280</v>
      </c>
      <c r="H87" s="2" t="str">
        <f>_xlfn.XLOOKUP(Tabla1[[#This Row],[MARCA]],MARCAS!C:C,MARCAS!A:A)</f>
        <v>F9999</v>
      </c>
      <c r="I87" s="38" t="s">
        <v>374</v>
      </c>
      <c r="J87" s="37" t="s">
        <v>375</v>
      </c>
      <c r="K87" s="2" t="s">
        <v>376</v>
      </c>
    </row>
    <row r="88" spans="1:11" hidden="1" x14ac:dyDescent="0.25">
      <c r="A88" s="2" t="s">
        <v>9</v>
      </c>
      <c r="B88" s="2" t="str">
        <f>_xlfn.XLOOKUP(Tabla1[[#This Row],[SOCIEDAD]],centros!D:D,centros!E:E)</f>
        <v>VA00</v>
      </c>
      <c r="C88" s="2" t="s">
        <v>364</v>
      </c>
      <c r="D88" s="2" t="s">
        <v>15</v>
      </c>
      <c r="E88" s="2" t="str">
        <f>IFERROR(INDEX(centros!$H$2:$H$45,MATCH(TRIM(Tabla1[[#This Row],[SOCIEDAD]])&amp;"|"&amp;TRIM(Tabla1[[#This Row],[LOCALIDAD]]),centros!$G$2:$G$45,0)),"REVISAR")</f>
        <v>VA02</v>
      </c>
      <c r="F88" s="2" t="s">
        <v>84</v>
      </c>
      <c r="G88" s="2" t="str">
        <f>_xlfn.XLOOKUP(Tabla1[[#This Row],[MARCA]],MARCAS!E:E,MARCAS!F:F)</f>
        <v>060</v>
      </c>
      <c r="H88" s="2" t="str">
        <f>_xlfn.XLOOKUP(Tabla1[[#This Row],[MARCA]],MARCAS!C:C,MARCAS!A:A)</f>
        <v>F0022</v>
      </c>
      <c r="I88" s="38" t="s">
        <v>377</v>
      </c>
      <c r="J88" s="37" t="s">
        <v>378</v>
      </c>
      <c r="K88" s="2" t="s">
        <v>379</v>
      </c>
    </row>
    <row r="89" spans="1:11" hidden="1" x14ac:dyDescent="0.25">
      <c r="A89" s="2" t="s">
        <v>9</v>
      </c>
      <c r="B89" s="2" t="str">
        <f>_xlfn.XLOOKUP(Tabla1[[#This Row],[SOCIEDAD]],centros!D:D,centros!E:E)</f>
        <v>VA00</v>
      </c>
      <c r="C89" s="2" t="s">
        <v>364</v>
      </c>
      <c r="D89" s="2" t="s">
        <v>13</v>
      </c>
      <c r="E89" s="2" t="str">
        <f>IFERROR(INDEX(centros!$H$2:$H$45,MATCH(TRIM(Tabla1[[#This Row],[SOCIEDAD]])&amp;"|"&amp;TRIM(Tabla1[[#This Row],[LOCALIDAD]]),centros!$G$2:$G$45,0)),"REVISAR")</f>
        <v>VA01</v>
      </c>
      <c r="F89" s="2" t="s">
        <v>8</v>
      </c>
      <c r="G89" s="2" t="str">
        <f>_xlfn.XLOOKUP(Tabla1[[#This Row],[MARCA]],MARCAS!E:E,MARCAS!F:F)</f>
        <v>060</v>
      </c>
      <c r="H89" s="2" t="str">
        <f>_xlfn.XLOOKUP(Tabla1[[#This Row],[MARCA]],MARCAS!C:C,MARCAS!A:A)</f>
        <v>F0001</v>
      </c>
      <c r="I89" s="38" t="s">
        <v>380</v>
      </c>
      <c r="J89" s="37" t="s">
        <v>381</v>
      </c>
      <c r="K89" s="2" t="s">
        <v>382</v>
      </c>
    </row>
    <row r="90" spans="1:11" hidden="1" x14ac:dyDescent="0.25">
      <c r="A90" s="2" t="s">
        <v>9</v>
      </c>
      <c r="B90" s="2" t="str">
        <f>_xlfn.XLOOKUP(Tabla1[[#This Row],[SOCIEDAD]],centros!D:D,centros!E:E)</f>
        <v>VA00</v>
      </c>
      <c r="C90" s="2" t="s">
        <v>364</v>
      </c>
      <c r="D90" s="2" t="s">
        <v>13</v>
      </c>
      <c r="E90" s="2" t="str">
        <f>IFERROR(INDEX(centros!$H$2:$H$45,MATCH(TRIM(Tabla1[[#This Row],[SOCIEDAD]])&amp;"|"&amp;TRIM(Tabla1[[#This Row],[LOCALIDAD]]),centros!$G$2:$G$45,0)),"REVISAR")</f>
        <v>VA01</v>
      </c>
      <c r="F90" s="2" t="s">
        <v>98</v>
      </c>
      <c r="G90" s="2" t="str">
        <f>_xlfn.XLOOKUP(Tabla1[[#This Row],[MARCA]],MARCAS!E:E,MARCAS!F:F)</f>
        <v>080</v>
      </c>
      <c r="H90" s="2" t="str">
        <f>_xlfn.XLOOKUP(Tabla1[[#This Row],[MARCA]],MARCAS!C:C,MARCAS!A:A)</f>
        <v>F0028</v>
      </c>
      <c r="I90" s="38" t="s">
        <v>383</v>
      </c>
      <c r="J90" s="37" t="s">
        <v>384</v>
      </c>
      <c r="K90" s="2" t="s">
        <v>385</v>
      </c>
    </row>
    <row r="91" spans="1:11" hidden="1" x14ac:dyDescent="0.25">
      <c r="A91" s="2" t="s">
        <v>9</v>
      </c>
      <c r="B91" s="2" t="str">
        <f>_xlfn.XLOOKUP(Tabla1[[#This Row],[SOCIEDAD]],centros!D:D,centros!E:E)</f>
        <v>VA00</v>
      </c>
      <c r="C91" s="2" t="s">
        <v>364</v>
      </c>
      <c r="D91" s="2" t="s">
        <v>13</v>
      </c>
      <c r="E91" s="2" t="str">
        <f>IFERROR(INDEX(centros!$H$2:$H$45,MATCH(TRIM(Tabla1[[#This Row],[SOCIEDAD]])&amp;"|"&amp;TRIM(Tabla1[[#This Row],[LOCALIDAD]]),centros!$G$2:$G$45,0)),"REVISAR")</f>
        <v>VA01</v>
      </c>
      <c r="F91" s="2" t="s">
        <v>26</v>
      </c>
      <c r="G91" s="2" t="str">
        <f>_xlfn.XLOOKUP(Tabla1[[#This Row],[MARCA]],MARCAS!E:E,MARCAS!F:F)</f>
        <v>110</v>
      </c>
      <c r="H91" s="2" t="str">
        <f>_xlfn.XLOOKUP(Tabla1[[#This Row],[MARCA]],MARCAS!C:C,MARCAS!A:A)</f>
        <v>F0006</v>
      </c>
      <c r="I91" s="38" t="s">
        <v>386</v>
      </c>
      <c r="J91" s="37" t="s">
        <v>387</v>
      </c>
      <c r="K91" s="2" t="s">
        <v>388</v>
      </c>
    </row>
    <row r="92" spans="1:11" hidden="1" x14ac:dyDescent="0.25">
      <c r="A92" s="2" t="s">
        <v>9</v>
      </c>
      <c r="B92" s="2" t="str">
        <f>_xlfn.XLOOKUP(Tabla1[[#This Row],[SOCIEDAD]],centros!D:D,centros!E:E)</f>
        <v>VA00</v>
      </c>
      <c r="C92" s="2" t="s">
        <v>364</v>
      </c>
      <c r="D92" s="2" t="s">
        <v>13</v>
      </c>
      <c r="E92" s="2" t="str">
        <f>IFERROR(INDEX(centros!$H$2:$H$45,MATCH(TRIM(Tabla1[[#This Row],[SOCIEDAD]])&amp;"|"&amp;TRIM(Tabla1[[#This Row],[LOCALIDAD]]),centros!$G$2:$G$45,0)),"REVISAR")</f>
        <v>VA01</v>
      </c>
      <c r="F92" s="2" t="s">
        <v>105</v>
      </c>
      <c r="G92" s="2" t="str">
        <f>_xlfn.XLOOKUP(Tabla1[[#This Row],[MARCA]],MARCAS!E:E,MARCAS!F:F)</f>
        <v>280</v>
      </c>
      <c r="H92" s="2" t="str">
        <f>_xlfn.XLOOKUP(Tabla1[[#This Row],[MARCA]],MARCAS!C:C,MARCAS!A:A)</f>
        <v>F9999</v>
      </c>
      <c r="I92" s="38" t="s">
        <v>389</v>
      </c>
      <c r="J92" s="37" t="s">
        <v>390</v>
      </c>
      <c r="K92" s="2" t="s">
        <v>391</v>
      </c>
    </row>
    <row r="93" spans="1:11" hidden="1" x14ac:dyDescent="0.25">
      <c r="A93" s="2" t="s">
        <v>9</v>
      </c>
      <c r="B93" s="2" t="str">
        <f>_xlfn.XLOOKUP(Tabla1[[#This Row],[SOCIEDAD]],centros!D:D,centros!E:E)</f>
        <v>VA00</v>
      </c>
      <c r="C93" s="2" t="s">
        <v>364</v>
      </c>
      <c r="D93" s="2" t="s">
        <v>13</v>
      </c>
      <c r="E93" s="2" t="str">
        <f>IFERROR(INDEX(centros!$H$2:$H$45,MATCH(TRIM(Tabla1[[#This Row],[SOCIEDAD]])&amp;"|"&amp;TRIM(Tabla1[[#This Row],[LOCALIDAD]]),centros!$G$2:$G$45,0)),"REVISAR")</f>
        <v>VA01</v>
      </c>
      <c r="F93" s="2" t="s">
        <v>84</v>
      </c>
      <c r="G93" s="2" t="str">
        <f>_xlfn.XLOOKUP(Tabla1[[#This Row],[MARCA]],MARCAS!E:E,MARCAS!F:F)</f>
        <v>060</v>
      </c>
      <c r="H93" s="2" t="str">
        <f>_xlfn.XLOOKUP(Tabla1[[#This Row],[MARCA]],MARCAS!C:C,MARCAS!A:A)</f>
        <v>F0022</v>
      </c>
      <c r="I93" s="38" t="s">
        <v>392</v>
      </c>
      <c r="J93" s="37" t="s">
        <v>393</v>
      </c>
      <c r="K93" s="2" t="s">
        <v>394</v>
      </c>
    </row>
    <row r="94" spans="1:11" hidden="1" x14ac:dyDescent="0.25">
      <c r="A94" s="2" t="s">
        <v>9</v>
      </c>
      <c r="B94" s="2" t="str">
        <f>_xlfn.XLOOKUP(Tabla1[[#This Row],[SOCIEDAD]],centros!D:D,centros!E:E)</f>
        <v>VA00</v>
      </c>
      <c r="C94" s="2" t="s">
        <v>364</v>
      </c>
      <c r="D94" s="2" t="s">
        <v>17</v>
      </c>
      <c r="E94" s="2" t="str">
        <f>IFERROR(INDEX(centros!$H$2:$H$45,MATCH(TRIM(Tabla1[[#This Row],[SOCIEDAD]])&amp;"|"&amp;TRIM(Tabla1[[#This Row],[LOCALIDAD]]),centros!$G$2:$G$45,0)),"REVISAR")</f>
        <v>VA03</v>
      </c>
      <c r="F94" s="2" t="s">
        <v>8</v>
      </c>
      <c r="G94" s="2" t="str">
        <f>_xlfn.XLOOKUP(Tabla1[[#This Row],[MARCA]],MARCAS!E:E,MARCAS!F:F)</f>
        <v>060</v>
      </c>
      <c r="H94" s="2" t="str">
        <f>_xlfn.XLOOKUP(Tabla1[[#This Row],[MARCA]],MARCAS!C:C,MARCAS!A:A)</f>
        <v>F0001</v>
      </c>
      <c r="I94" s="38" t="s">
        <v>395</v>
      </c>
      <c r="J94" s="37" t="s">
        <v>396</v>
      </c>
      <c r="K94" s="2" t="s">
        <v>397</v>
      </c>
    </row>
    <row r="95" spans="1:11" hidden="1" x14ac:dyDescent="0.25">
      <c r="A95" s="2" t="s">
        <v>9</v>
      </c>
      <c r="B95" s="2" t="str">
        <f>_xlfn.XLOOKUP(Tabla1[[#This Row],[SOCIEDAD]],centros!D:D,centros!E:E)</f>
        <v>VA00</v>
      </c>
      <c r="C95" s="2" t="s">
        <v>364</v>
      </c>
      <c r="D95" s="2" t="s">
        <v>17</v>
      </c>
      <c r="E95" s="2" t="str">
        <f>IFERROR(INDEX(centros!$H$2:$H$45,MATCH(TRIM(Tabla1[[#This Row],[SOCIEDAD]])&amp;"|"&amp;TRIM(Tabla1[[#This Row],[LOCALIDAD]]),centros!$G$2:$G$45,0)),"REVISAR")</f>
        <v>VA03</v>
      </c>
      <c r="F95" s="2" t="s">
        <v>98</v>
      </c>
      <c r="G95" s="2" t="str">
        <f>_xlfn.XLOOKUP(Tabla1[[#This Row],[MARCA]],MARCAS!E:E,MARCAS!F:F)</f>
        <v>080</v>
      </c>
      <c r="H95" s="2" t="str">
        <f>_xlfn.XLOOKUP(Tabla1[[#This Row],[MARCA]],MARCAS!C:C,MARCAS!A:A)</f>
        <v>F0028</v>
      </c>
      <c r="I95" s="38" t="s">
        <v>398</v>
      </c>
      <c r="J95" s="37" t="s">
        <v>399</v>
      </c>
      <c r="K95" s="2" t="s">
        <v>400</v>
      </c>
    </row>
    <row r="96" spans="1:11" hidden="1" x14ac:dyDescent="0.25">
      <c r="A96" s="2" t="s">
        <v>9</v>
      </c>
      <c r="B96" s="2" t="str">
        <f>_xlfn.XLOOKUP(Tabla1[[#This Row],[SOCIEDAD]],centros!D:D,centros!E:E)</f>
        <v>VA00</v>
      </c>
      <c r="C96" s="2" t="s">
        <v>364</v>
      </c>
      <c r="D96" s="2" t="s">
        <v>17</v>
      </c>
      <c r="E96" s="2" t="str">
        <f>IFERROR(INDEX(centros!$H$2:$H$45,MATCH(TRIM(Tabla1[[#This Row],[SOCIEDAD]])&amp;"|"&amp;TRIM(Tabla1[[#This Row],[LOCALIDAD]]),centros!$G$2:$G$45,0)),"REVISAR")</f>
        <v>VA03</v>
      </c>
      <c r="F96" s="2" t="s">
        <v>26</v>
      </c>
      <c r="G96" s="2" t="str">
        <f>_xlfn.XLOOKUP(Tabla1[[#This Row],[MARCA]],MARCAS!E:E,MARCAS!F:F)</f>
        <v>110</v>
      </c>
      <c r="H96" s="2" t="str">
        <f>_xlfn.XLOOKUP(Tabla1[[#This Row],[MARCA]],MARCAS!C:C,MARCAS!A:A)</f>
        <v>F0006</v>
      </c>
      <c r="I96" s="38" t="s">
        <v>401</v>
      </c>
      <c r="J96" s="37" t="s">
        <v>402</v>
      </c>
      <c r="K96" s="2" t="s">
        <v>403</v>
      </c>
    </row>
    <row r="97" spans="1:11" hidden="1" x14ac:dyDescent="0.25">
      <c r="A97" s="2" t="s">
        <v>9</v>
      </c>
      <c r="B97" s="2" t="str">
        <f>_xlfn.XLOOKUP(Tabla1[[#This Row],[SOCIEDAD]],centros!D:D,centros!E:E)</f>
        <v>VA00</v>
      </c>
      <c r="C97" s="2" t="s">
        <v>364</v>
      </c>
      <c r="D97" s="2" t="s">
        <v>17</v>
      </c>
      <c r="E97" s="2" t="str">
        <f>IFERROR(INDEX(centros!$H$2:$H$45,MATCH(TRIM(Tabla1[[#This Row],[SOCIEDAD]])&amp;"|"&amp;TRIM(Tabla1[[#This Row],[LOCALIDAD]]),centros!$G$2:$G$45,0)),"REVISAR")</f>
        <v>VA03</v>
      </c>
      <c r="F97" s="2" t="s">
        <v>105</v>
      </c>
      <c r="G97" s="2" t="str">
        <f>_xlfn.XLOOKUP(Tabla1[[#This Row],[MARCA]],MARCAS!E:E,MARCAS!F:F)</f>
        <v>280</v>
      </c>
      <c r="H97" s="2" t="str">
        <f>_xlfn.XLOOKUP(Tabla1[[#This Row],[MARCA]],MARCAS!C:C,MARCAS!A:A)</f>
        <v>F9999</v>
      </c>
      <c r="I97" s="38" t="s">
        <v>404</v>
      </c>
      <c r="J97" s="37" t="s">
        <v>405</v>
      </c>
      <c r="K97" s="2" t="s">
        <v>406</v>
      </c>
    </row>
    <row r="98" spans="1:11" hidden="1" x14ac:dyDescent="0.25">
      <c r="A98" s="2" t="s">
        <v>9</v>
      </c>
      <c r="B98" s="2" t="str">
        <f>_xlfn.XLOOKUP(Tabla1[[#This Row],[SOCIEDAD]],centros!D:D,centros!E:E)</f>
        <v>VA00</v>
      </c>
      <c r="C98" s="2" t="s">
        <v>364</v>
      </c>
      <c r="D98" s="2" t="s">
        <v>17</v>
      </c>
      <c r="E98" s="2" t="str">
        <f>IFERROR(INDEX(centros!$H$2:$H$45,MATCH(TRIM(Tabla1[[#This Row],[SOCIEDAD]])&amp;"|"&amp;TRIM(Tabla1[[#This Row],[LOCALIDAD]]),centros!$G$2:$G$45,0)),"REVISAR")</f>
        <v>VA03</v>
      </c>
      <c r="F98" s="2" t="s">
        <v>84</v>
      </c>
      <c r="G98" s="2" t="str">
        <f>_xlfn.XLOOKUP(Tabla1[[#This Row],[MARCA]],MARCAS!E:E,MARCAS!F:F)</f>
        <v>060</v>
      </c>
      <c r="H98" s="2" t="str">
        <f>_xlfn.XLOOKUP(Tabla1[[#This Row],[MARCA]],MARCAS!C:C,MARCAS!A:A)</f>
        <v>F0022</v>
      </c>
      <c r="I98" s="38" t="s">
        <v>407</v>
      </c>
      <c r="J98" s="37" t="s">
        <v>408</v>
      </c>
      <c r="K98" s="2" t="s">
        <v>409</v>
      </c>
    </row>
    <row r="99" spans="1:11" hidden="1" x14ac:dyDescent="0.25">
      <c r="A99" s="2" t="s">
        <v>9</v>
      </c>
      <c r="B99" s="2" t="str">
        <f>_xlfn.XLOOKUP(Tabla1[[#This Row],[SOCIEDAD]],centros!D:D,centros!E:E)</f>
        <v>VA00</v>
      </c>
      <c r="C99" s="2" t="s">
        <v>364</v>
      </c>
      <c r="D99" s="2" t="s">
        <v>23</v>
      </c>
      <c r="E99" s="2" t="str">
        <f>IFERROR(INDEX(centros!$H$2:$H$45,MATCH(TRIM(Tabla1[[#This Row],[SOCIEDAD]])&amp;"|"&amp;TRIM(Tabla1[[#This Row],[LOCALIDAD]]),centros!$G$2:$G$45,0)),"REVISAR")</f>
        <v>VA06</v>
      </c>
      <c r="F99" s="2" t="s">
        <v>8</v>
      </c>
      <c r="G99" s="2" t="str">
        <f>_xlfn.XLOOKUP(Tabla1[[#This Row],[MARCA]],MARCAS!E:E,MARCAS!F:F)</f>
        <v>060</v>
      </c>
      <c r="H99" s="2" t="str">
        <f>_xlfn.XLOOKUP(Tabla1[[#This Row],[MARCA]],MARCAS!C:C,MARCAS!A:A)</f>
        <v>F0001</v>
      </c>
      <c r="I99" s="38" t="s">
        <v>410</v>
      </c>
      <c r="J99" s="37" t="s">
        <v>411</v>
      </c>
      <c r="K99" s="2" t="s">
        <v>412</v>
      </c>
    </row>
    <row r="100" spans="1:11" hidden="1" x14ac:dyDescent="0.25">
      <c r="A100" s="2" t="s">
        <v>9</v>
      </c>
      <c r="B100" s="2" t="str">
        <f>_xlfn.XLOOKUP(Tabla1[[#This Row],[SOCIEDAD]],centros!D:D,centros!E:E)</f>
        <v>VA00</v>
      </c>
      <c r="C100" s="2" t="s">
        <v>364</v>
      </c>
      <c r="D100" s="2" t="s">
        <v>23</v>
      </c>
      <c r="E100" s="2" t="str">
        <f>IFERROR(INDEX(centros!$H$2:$H$45,MATCH(TRIM(Tabla1[[#This Row],[SOCIEDAD]])&amp;"|"&amp;TRIM(Tabla1[[#This Row],[LOCALIDAD]]),centros!$G$2:$G$45,0)),"REVISAR")</f>
        <v>VA06</v>
      </c>
      <c r="F100" s="2" t="s">
        <v>98</v>
      </c>
      <c r="G100" s="2" t="str">
        <f>_xlfn.XLOOKUP(Tabla1[[#This Row],[MARCA]],MARCAS!E:E,MARCAS!F:F)</f>
        <v>080</v>
      </c>
      <c r="H100" s="2" t="str">
        <f>_xlfn.XLOOKUP(Tabla1[[#This Row],[MARCA]],MARCAS!C:C,MARCAS!A:A)</f>
        <v>F0028</v>
      </c>
      <c r="I100" s="38" t="s">
        <v>413</v>
      </c>
      <c r="J100" s="37" t="s">
        <v>414</v>
      </c>
      <c r="K100" s="2" t="s">
        <v>415</v>
      </c>
    </row>
    <row r="101" spans="1:11" hidden="1" x14ac:dyDescent="0.25">
      <c r="A101" s="2" t="s">
        <v>9</v>
      </c>
      <c r="B101" s="2" t="str">
        <f>_xlfn.XLOOKUP(Tabla1[[#This Row],[SOCIEDAD]],centros!D:D,centros!E:E)</f>
        <v>VA00</v>
      </c>
      <c r="C101" s="2" t="s">
        <v>364</v>
      </c>
      <c r="D101" s="2" t="s">
        <v>23</v>
      </c>
      <c r="E101" s="2" t="str">
        <f>IFERROR(INDEX(centros!$H$2:$H$45,MATCH(TRIM(Tabla1[[#This Row],[SOCIEDAD]])&amp;"|"&amp;TRIM(Tabla1[[#This Row],[LOCALIDAD]]),centros!$G$2:$G$45,0)),"REVISAR")</f>
        <v>VA06</v>
      </c>
      <c r="F101" s="2" t="s">
        <v>26</v>
      </c>
      <c r="G101" s="2" t="str">
        <f>_xlfn.XLOOKUP(Tabla1[[#This Row],[MARCA]],MARCAS!E:E,MARCAS!F:F)</f>
        <v>110</v>
      </c>
      <c r="H101" s="2" t="str">
        <f>_xlfn.XLOOKUP(Tabla1[[#This Row],[MARCA]],MARCAS!C:C,MARCAS!A:A)</f>
        <v>F0006</v>
      </c>
      <c r="I101" s="38" t="s">
        <v>416</v>
      </c>
      <c r="J101" s="37" t="s">
        <v>417</v>
      </c>
      <c r="K101" s="2" t="s">
        <v>418</v>
      </c>
    </row>
    <row r="102" spans="1:11" hidden="1" x14ac:dyDescent="0.25">
      <c r="A102" s="2" t="s">
        <v>9</v>
      </c>
      <c r="B102" s="2" t="str">
        <f>_xlfn.XLOOKUP(Tabla1[[#This Row],[SOCIEDAD]],centros!D:D,centros!E:E)</f>
        <v>VA00</v>
      </c>
      <c r="C102" s="2" t="s">
        <v>364</v>
      </c>
      <c r="D102" s="2" t="s">
        <v>23</v>
      </c>
      <c r="E102" s="2" t="str">
        <f>IFERROR(INDEX(centros!$H$2:$H$45,MATCH(TRIM(Tabla1[[#This Row],[SOCIEDAD]])&amp;"|"&amp;TRIM(Tabla1[[#This Row],[LOCALIDAD]]),centros!$G$2:$G$45,0)),"REVISAR")</f>
        <v>VA06</v>
      </c>
      <c r="F102" s="2" t="s">
        <v>105</v>
      </c>
      <c r="G102" s="2" t="str">
        <f>_xlfn.XLOOKUP(Tabla1[[#This Row],[MARCA]],MARCAS!E:E,MARCAS!F:F)</f>
        <v>280</v>
      </c>
      <c r="H102" s="2" t="str">
        <f>_xlfn.XLOOKUP(Tabla1[[#This Row],[MARCA]],MARCAS!C:C,MARCAS!A:A)</f>
        <v>F9999</v>
      </c>
      <c r="I102" s="38" t="s">
        <v>419</v>
      </c>
      <c r="J102" s="37" t="s">
        <v>420</v>
      </c>
      <c r="K102" s="2" t="s">
        <v>421</v>
      </c>
    </row>
    <row r="103" spans="1:11" hidden="1" x14ac:dyDescent="0.25">
      <c r="A103" s="2" t="s">
        <v>9</v>
      </c>
      <c r="B103" s="2" t="str">
        <f>_xlfn.XLOOKUP(Tabla1[[#This Row],[SOCIEDAD]],centros!D:D,centros!E:E)</f>
        <v>VA00</v>
      </c>
      <c r="C103" s="2" t="s">
        <v>364</v>
      </c>
      <c r="D103" s="2" t="s">
        <v>23</v>
      </c>
      <c r="E103" s="2" t="str">
        <f>IFERROR(INDEX(centros!$H$2:$H$45,MATCH(TRIM(Tabla1[[#This Row],[SOCIEDAD]])&amp;"|"&amp;TRIM(Tabla1[[#This Row],[LOCALIDAD]]),centros!$G$2:$G$45,0)),"REVISAR")</f>
        <v>VA06</v>
      </c>
      <c r="F103" s="2" t="s">
        <v>84</v>
      </c>
      <c r="G103" s="2" t="str">
        <f>_xlfn.XLOOKUP(Tabla1[[#This Row],[MARCA]],MARCAS!E:E,MARCAS!F:F)</f>
        <v>060</v>
      </c>
      <c r="H103" s="2" t="str">
        <f>_xlfn.XLOOKUP(Tabla1[[#This Row],[MARCA]],MARCAS!C:C,MARCAS!A:A)</f>
        <v>F0022</v>
      </c>
      <c r="I103" s="38" t="s">
        <v>422</v>
      </c>
      <c r="J103" s="37" t="s">
        <v>423</v>
      </c>
      <c r="K103" s="2" t="s">
        <v>424</v>
      </c>
    </row>
    <row r="104" spans="1:11" hidden="1" x14ac:dyDescent="0.25">
      <c r="A104" s="2" t="s">
        <v>9</v>
      </c>
      <c r="B104" s="2" t="str">
        <f>_xlfn.XLOOKUP(Tabla1[[#This Row],[SOCIEDAD]],centros!D:D,centros!E:E)</f>
        <v>VA00</v>
      </c>
      <c r="C104" s="2" t="s">
        <v>364</v>
      </c>
      <c r="D104" s="2" t="s">
        <v>11</v>
      </c>
      <c r="E104" s="2" t="str">
        <f>IFERROR(INDEX(centros!$H$2:$H$45,MATCH(TRIM(Tabla1[[#This Row],[SOCIEDAD]])&amp;"|"&amp;TRIM(Tabla1[[#This Row],[LOCALIDAD]]),centros!$G$2:$G$45,0)),"REVISAR")</f>
        <v>VA00</v>
      </c>
      <c r="F104" s="2" t="s">
        <v>8</v>
      </c>
      <c r="G104" s="2" t="str">
        <f>_xlfn.XLOOKUP(Tabla1[[#This Row],[MARCA]],MARCAS!E:E,MARCAS!F:F)</f>
        <v>060</v>
      </c>
      <c r="H104" s="2" t="str">
        <f>_xlfn.XLOOKUP(Tabla1[[#This Row],[MARCA]],MARCAS!C:C,MARCAS!A:A)</f>
        <v>F0001</v>
      </c>
      <c r="I104" s="38" t="s">
        <v>425</v>
      </c>
      <c r="J104" s="37" t="s">
        <v>426</v>
      </c>
      <c r="K104" s="2" t="s">
        <v>427</v>
      </c>
    </row>
    <row r="105" spans="1:11" hidden="1" x14ac:dyDescent="0.25">
      <c r="A105" s="2" t="s">
        <v>9</v>
      </c>
      <c r="B105" s="2" t="str">
        <f>_xlfn.XLOOKUP(Tabla1[[#This Row],[SOCIEDAD]],centros!D:D,centros!E:E)</f>
        <v>VA00</v>
      </c>
      <c r="C105" s="2" t="s">
        <v>364</v>
      </c>
      <c r="D105" s="2" t="s">
        <v>11</v>
      </c>
      <c r="E105" s="2" t="str">
        <f>IFERROR(INDEX(centros!$H$2:$H$45,MATCH(TRIM(Tabla1[[#This Row],[SOCIEDAD]])&amp;"|"&amp;TRIM(Tabla1[[#This Row],[LOCALIDAD]]),centros!$G$2:$G$45,0)),"REVISAR")</f>
        <v>VA00</v>
      </c>
      <c r="F105" s="2" t="s">
        <v>98</v>
      </c>
      <c r="G105" s="2" t="str">
        <f>_xlfn.XLOOKUP(Tabla1[[#This Row],[MARCA]],MARCAS!E:E,MARCAS!F:F)</f>
        <v>080</v>
      </c>
      <c r="H105" s="2" t="str">
        <f>_xlfn.XLOOKUP(Tabla1[[#This Row],[MARCA]],MARCAS!C:C,MARCAS!A:A)</f>
        <v>F0028</v>
      </c>
      <c r="I105" s="38" t="s">
        <v>428</v>
      </c>
      <c r="J105" s="37" t="s">
        <v>429</v>
      </c>
      <c r="K105" s="2" t="s">
        <v>430</v>
      </c>
    </row>
    <row r="106" spans="1:11" hidden="1" x14ac:dyDescent="0.25">
      <c r="A106" s="2" t="s">
        <v>9</v>
      </c>
      <c r="B106" s="2" t="str">
        <f>_xlfn.XLOOKUP(Tabla1[[#This Row],[SOCIEDAD]],centros!D:D,centros!E:E)</f>
        <v>VA00</v>
      </c>
      <c r="C106" s="2" t="s">
        <v>364</v>
      </c>
      <c r="D106" s="2" t="s">
        <v>11</v>
      </c>
      <c r="E106" s="2" t="str">
        <f>IFERROR(INDEX(centros!$H$2:$H$45,MATCH(TRIM(Tabla1[[#This Row],[SOCIEDAD]])&amp;"|"&amp;TRIM(Tabla1[[#This Row],[LOCALIDAD]]),centros!$G$2:$G$45,0)),"REVISAR")</f>
        <v>VA00</v>
      </c>
      <c r="F106" s="2" t="s">
        <v>26</v>
      </c>
      <c r="G106" s="2" t="str">
        <f>_xlfn.XLOOKUP(Tabla1[[#This Row],[MARCA]],MARCAS!E:E,MARCAS!F:F)</f>
        <v>110</v>
      </c>
      <c r="H106" s="2" t="str">
        <f>_xlfn.XLOOKUP(Tabla1[[#This Row],[MARCA]],MARCAS!C:C,MARCAS!A:A)</f>
        <v>F0006</v>
      </c>
      <c r="I106" s="38" t="s">
        <v>431</v>
      </c>
      <c r="J106" s="37" t="s">
        <v>432</v>
      </c>
      <c r="K106" s="2" t="s">
        <v>433</v>
      </c>
    </row>
    <row r="107" spans="1:11" hidden="1" x14ac:dyDescent="0.25">
      <c r="A107" s="2" t="s">
        <v>9</v>
      </c>
      <c r="B107" s="2" t="str">
        <f>_xlfn.XLOOKUP(Tabla1[[#This Row],[SOCIEDAD]],centros!D:D,centros!E:E)</f>
        <v>VA00</v>
      </c>
      <c r="C107" s="2" t="s">
        <v>364</v>
      </c>
      <c r="D107" s="2" t="s">
        <v>11</v>
      </c>
      <c r="E107" s="2" t="str">
        <f>IFERROR(INDEX(centros!$H$2:$H$45,MATCH(TRIM(Tabla1[[#This Row],[SOCIEDAD]])&amp;"|"&amp;TRIM(Tabla1[[#This Row],[LOCALIDAD]]),centros!$G$2:$G$45,0)),"REVISAR")</f>
        <v>VA00</v>
      </c>
      <c r="F107" s="2" t="s">
        <v>105</v>
      </c>
      <c r="G107" s="2" t="str">
        <f>_xlfn.XLOOKUP(Tabla1[[#This Row],[MARCA]],MARCAS!E:E,MARCAS!F:F)</f>
        <v>280</v>
      </c>
      <c r="H107" s="2" t="str">
        <f>_xlfn.XLOOKUP(Tabla1[[#This Row],[MARCA]],MARCAS!C:C,MARCAS!A:A)</f>
        <v>F9999</v>
      </c>
      <c r="I107" s="38" t="s">
        <v>434</v>
      </c>
      <c r="J107" s="37" t="s">
        <v>435</v>
      </c>
      <c r="K107" s="2" t="s">
        <v>436</v>
      </c>
    </row>
    <row r="108" spans="1:11" hidden="1" x14ac:dyDescent="0.25">
      <c r="A108" s="2" t="s">
        <v>9</v>
      </c>
      <c r="B108" s="2" t="str">
        <f>_xlfn.XLOOKUP(Tabla1[[#This Row],[SOCIEDAD]],centros!D:D,centros!E:E)</f>
        <v>VA00</v>
      </c>
      <c r="C108" s="2" t="s">
        <v>364</v>
      </c>
      <c r="D108" s="2" t="s">
        <v>11</v>
      </c>
      <c r="E108" s="2" t="str">
        <f>IFERROR(INDEX(centros!$H$2:$H$45,MATCH(TRIM(Tabla1[[#This Row],[SOCIEDAD]])&amp;"|"&amp;TRIM(Tabla1[[#This Row],[LOCALIDAD]]),centros!$G$2:$G$45,0)),"REVISAR")</f>
        <v>VA00</v>
      </c>
      <c r="F108" s="2" t="s">
        <v>84</v>
      </c>
      <c r="G108" s="2" t="str">
        <f>_xlfn.XLOOKUP(Tabla1[[#This Row],[MARCA]],MARCAS!E:E,MARCAS!F:F)</f>
        <v>060</v>
      </c>
      <c r="H108" s="2" t="str">
        <f>_xlfn.XLOOKUP(Tabla1[[#This Row],[MARCA]],MARCAS!C:C,MARCAS!A:A)</f>
        <v>F0022</v>
      </c>
      <c r="I108" s="38" t="s">
        <v>437</v>
      </c>
      <c r="J108" s="37" t="s">
        <v>438</v>
      </c>
      <c r="K108" s="2" t="s">
        <v>439</v>
      </c>
    </row>
    <row r="109" spans="1:11" hidden="1" x14ac:dyDescent="0.25">
      <c r="A109" s="2" t="s">
        <v>9</v>
      </c>
      <c r="B109" s="2" t="str">
        <f>_xlfn.XLOOKUP(Tabla1[[#This Row],[SOCIEDAD]],centros!D:D,centros!E:E)</f>
        <v>VA00</v>
      </c>
      <c r="C109" s="2" t="s">
        <v>364</v>
      </c>
      <c r="D109" s="2" t="s">
        <v>19</v>
      </c>
      <c r="E109" s="2" t="str">
        <f>IFERROR(INDEX(centros!$H$2:$H$45,MATCH(TRIM(Tabla1[[#This Row],[SOCIEDAD]])&amp;"|"&amp;TRIM(Tabla1[[#This Row],[LOCALIDAD]]),centros!$G$2:$G$45,0)),"REVISAR")</f>
        <v>VA04</v>
      </c>
      <c r="F109" s="2" t="s">
        <v>8</v>
      </c>
      <c r="G109" s="2" t="str">
        <f>_xlfn.XLOOKUP(Tabla1[[#This Row],[MARCA]],MARCAS!E:E,MARCAS!F:F)</f>
        <v>060</v>
      </c>
      <c r="H109" s="2" t="str">
        <f>_xlfn.XLOOKUP(Tabla1[[#This Row],[MARCA]],MARCAS!C:C,MARCAS!A:A)</f>
        <v>F0001</v>
      </c>
      <c r="I109" s="38" t="s">
        <v>440</v>
      </c>
      <c r="J109" s="37" t="s">
        <v>441</v>
      </c>
      <c r="K109" s="2" t="s">
        <v>442</v>
      </c>
    </row>
    <row r="110" spans="1:11" hidden="1" x14ac:dyDescent="0.25">
      <c r="A110" s="2" t="s">
        <v>9</v>
      </c>
      <c r="B110" s="2" t="str">
        <f>_xlfn.XLOOKUP(Tabla1[[#This Row],[SOCIEDAD]],centros!D:D,centros!E:E)</f>
        <v>VA00</v>
      </c>
      <c r="C110" s="2" t="s">
        <v>364</v>
      </c>
      <c r="D110" s="2" t="s">
        <v>19</v>
      </c>
      <c r="E110" s="2" t="str">
        <f>IFERROR(INDEX(centros!$H$2:$H$45,MATCH(TRIM(Tabla1[[#This Row],[SOCIEDAD]])&amp;"|"&amp;TRIM(Tabla1[[#This Row],[LOCALIDAD]]),centros!$G$2:$G$45,0)),"REVISAR")</f>
        <v>VA04</v>
      </c>
      <c r="F110" s="2" t="s">
        <v>98</v>
      </c>
      <c r="G110" s="2" t="str">
        <f>_xlfn.XLOOKUP(Tabla1[[#This Row],[MARCA]],MARCAS!E:E,MARCAS!F:F)</f>
        <v>080</v>
      </c>
      <c r="H110" s="2" t="str">
        <f>_xlfn.XLOOKUP(Tabla1[[#This Row],[MARCA]],MARCAS!C:C,MARCAS!A:A)</f>
        <v>F0028</v>
      </c>
      <c r="I110" s="38" t="s">
        <v>443</v>
      </c>
      <c r="J110" s="37" t="s">
        <v>444</v>
      </c>
      <c r="K110" s="2" t="s">
        <v>445</v>
      </c>
    </row>
    <row r="111" spans="1:11" hidden="1" x14ac:dyDescent="0.25">
      <c r="A111" s="2" t="s">
        <v>9</v>
      </c>
      <c r="B111" s="2" t="str">
        <f>_xlfn.XLOOKUP(Tabla1[[#This Row],[SOCIEDAD]],centros!D:D,centros!E:E)</f>
        <v>VA00</v>
      </c>
      <c r="C111" s="2" t="s">
        <v>364</v>
      </c>
      <c r="D111" s="2" t="s">
        <v>19</v>
      </c>
      <c r="E111" s="2" t="str">
        <f>IFERROR(INDEX(centros!$H$2:$H$45,MATCH(TRIM(Tabla1[[#This Row],[SOCIEDAD]])&amp;"|"&amp;TRIM(Tabla1[[#This Row],[LOCALIDAD]]),centros!$G$2:$G$45,0)),"REVISAR")</f>
        <v>VA04</v>
      </c>
      <c r="F111" s="2" t="s">
        <v>26</v>
      </c>
      <c r="G111" s="2" t="str">
        <f>_xlfn.XLOOKUP(Tabla1[[#This Row],[MARCA]],MARCAS!E:E,MARCAS!F:F)</f>
        <v>110</v>
      </c>
      <c r="H111" s="2" t="str">
        <f>_xlfn.XLOOKUP(Tabla1[[#This Row],[MARCA]],MARCAS!C:C,MARCAS!A:A)</f>
        <v>F0006</v>
      </c>
      <c r="I111" s="38" t="s">
        <v>446</v>
      </c>
      <c r="J111" s="37" t="s">
        <v>447</v>
      </c>
      <c r="K111" s="2" t="s">
        <v>448</v>
      </c>
    </row>
    <row r="112" spans="1:11" hidden="1" x14ac:dyDescent="0.25">
      <c r="A112" s="2" t="s">
        <v>9</v>
      </c>
      <c r="B112" s="2" t="str">
        <f>_xlfn.XLOOKUP(Tabla1[[#This Row],[SOCIEDAD]],centros!D:D,centros!E:E)</f>
        <v>VA00</v>
      </c>
      <c r="C112" s="2" t="s">
        <v>364</v>
      </c>
      <c r="D112" s="2" t="s">
        <v>19</v>
      </c>
      <c r="E112" s="2" t="str">
        <f>IFERROR(INDEX(centros!$H$2:$H$45,MATCH(TRIM(Tabla1[[#This Row],[SOCIEDAD]])&amp;"|"&amp;TRIM(Tabla1[[#This Row],[LOCALIDAD]]),centros!$G$2:$G$45,0)),"REVISAR")</f>
        <v>VA04</v>
      </c>
      <c r="F112" s="2" t="s">
        <v>105</v>
      </c>
      <c r="G112" s="2" t="str">
        <f>_xlfn.XLOOKUP(Tabla1[[#This Row],[MARCA]],MARCAS!E:E,MARCAS!F:F)</f>
        <v>280</v>
      </c>
      <c r="H112" s="2" t="str">
        <f>_xlfn.XLOOKUP(Tabla1[[#This Row],[MARCA]],MARCAS!C:C,MARCAS!A:A)</f>
        <v>F9999</v>
      </c>
      <c r="I112" s="38" t="s">
        <v>449</v>
      </c>
      <c r="J112" s="37" t="s">
        <v>450</v>
      </c>
      <c r="K112" s="2" t="s">
        <v>451</v>
      </c>
    </row>
    <row r="113" spans="1:11" hidden="1" x14ac:dyDescent="0.25">
      <c r="A113" s="2" t="s">
        <v>9</v>
      </c>
      <c r="B113" s="2" t="str">
        <f>_xlfn.XLOOKUP(Tabla1[[#This Row],[SOCIEDAD]],centros!D:D,centros!E:E)</f>
        <v>VA00</v>
      </c>
      <c r="C113" s="2" t="s">
        <v>364</v>
      </c>
      <c r="D113" s="2" t="s">
        <v>19</v>
      </c>
      <c r="E113" s="2" t="str">
        <f>IFERROR(INDEX(centros!$H$2:$H$45,MATCH(TRIM(Tabla1[[#This Row],[SOCIEDAD]])&amp;"|"&amp;TRIM(Tabla1[[#This Row],[LOCALIDAD]]),centros!$G$2:$G$45,0)),"REVISAR")</f>
        <v>VA04</v>
      </c>
      <c r="F113" s="2" t="s">
        <v>84</v>
      </c>
      <c r="G113" s="2" t="str">
        <f>_xlfn.XLOOKUP(Tabla1[[#This Row],[MARCA]],MARCAS!E:E,MARCAS!F:F)</f>
        <v>060</v>
      </c>
      <c r="H113" s="2" t="str">
        <f>_xlfn.XLOOKUP(Tabla1[[#This Row],[MARCA]],MARCAS!C:C,MARCAS!A:A)</f>
        <v>F0022</v>
      </c>
      <c r="I113" s="38" t="s">
        <v>452</v>
      </c>
      <c r="J113" s="37" t="s">
        <v>453</v>
      </c>
      <c r="K113" s="2" t="s">
        <v>454</v>
      </c>
    </row>
    <row r="114" spans="1:11" hidden="1" x14ac:dyDescent="0.25">
      <c r="A114" s="2" t="s">
        <v>9</v>
      </c>
      <c r="B114" s="2" t="str">
        <f>_xlfn.XLOOKUP(Tabla1[[#This Row],[SOCIEDAD]],centros!D:D,centros!E:E)</f>
        <v>VA00</v>
      </c>
      <c r="C114" s="2" t="s">
        <v>364</v>
      </c>
      <c r="D114" s="2" t="s">
        <v>21</v>
      </c>
      <c r="E114" s="2" t="str">
        <f>IFERROR(INDEX(centros!$H$2:$H$45,MATCH(TRIM(Tabla1[[#This Row],[SOCIEDAD]])&amp;"|"&amp;TRIM(Tabla1[[#This Row],[LOCALIDAD]]),centros!$G$2:$G$45,0)),"REVISAR")</f>
        <v>VA05</v>
      </c>
      <c r="F114" s="2" t="s">
        <v>8</v>
      </c>
      <c r="G114" s="2" t="str">
        <f>_xlfn.XLOOKUP(Tabla1[[#This Row],[MARCA]],MARCAS!E:E,MARCAS!F:F)</f>
        <v>060</v>
      </c>
      <c r="H114" s="2" t="str">
        <f>_xlfn.XLOOKUP(Tabla1[[#This Row],[MARCA]],MARCAS!C:C,MARCAS!A:A)</f>
        <v>F0001</v>
      </c>
      <c r="I114" s="38" t="s">
        <v>455</v>
      </c>
      <c r="J114" s="37" t="s">
        <v>456</v>
      </c>
      <c r="K114" s="2" t="s">
        <v>457</v>
      </c>
    </row>
    <row r="115" spans="1:11" hidden="1" x14ac:dyDescent="0.25">
      <c r="A115" s="2" t="s">
        <v>9</v>
      </c>
      <c r="B115" s="2" t="str">
        <f>_xlfn.XLOOKUP(Tabla1[[#This Row],[SOCIEDAD]],centros!D:D,centros!E:E)</f>
        <v>VA00</v>
      </c>
      <c r="C115" s="2" t="s">
        <v>364</v>
      </c>
      <c r="D115" s="2" t="s">
        <v>21</v>
      </c>
      <c r="E115" s="2" t="str">
        <f>IFERROR(INDEX(centros!$H$2:$H$45,MATCH(TRIM(Tabla1[[#This Row],[SOCIEDAD]])&amp;"|"&amp;TRIM(Tabla1[[#This Row],[LOCALIDAD]]),centros!$G$2:$G$45,0)),"REVISAR")</f>
        <v>VA05</v>
      </c>
      <c r="F115" s="2" t="s">
        <v>98</v>
      </c>
      <c r="G115" s="2" t="str">
        <f>_xlfn.XLOOKUP(Tabla1[[#This Row],[MARCA]],MARCAS!E:E,MARCAS!F:F)</f>
        <v>080</v>
      </c>
      <c r="H115" s="2" t="str">
        <f>_xlfn.XLOOKUP(Tabla1[[#This Row],[MARCA]],MARCAS!C:C,MARCAS!A:A)</f>
        <v>F0028</v>
      </c>
      <c r="I115" s="38" t="s">
        <v>458</v>
      </c>
      <c r="J115" s="37" t="s">
        <v>459</v>
      </c>
      <c r="K115" s="2" t="s">
        <v>460</v>
      </c>
    </row>
    <row r="116" spans="1:11" hidden="1" x14ac:dyDescent="0.25">
      <c r="A116" s="2" t="s">
        <v>9</v>
      </c>
      <c r="B116" s="2" t="str">
        <f>_xlfn.XLOOKUP(Tabla1[[#This Row],[SOCIEDAD]],centros!D:D,centros!E:E)</f>
        <v>VA00</v>
      </c>
      <c r="C116" s="2" t="s">
        <v>364</v>
      </c>
      <c r="D116" s="2" t="s">
        <v>21</v>
      </c>
      <c r="E116" s="2" t="str">
        <f>IFERROR(INDEX(centros!$H$2:$H$45,MATCH(TRIM(Tabla1[[#This Row],[SOCIEDAD]])&amp;"|"&amp;TRIM(Tabla1[[#This Row],[LOCALIDAD]]),centros!$G$2:$G$45,0)),"REVISAR")</f>
        <v>VA05</v>
      </c>
      <c r="F116" s="2" t="s">
        <v>26</v>
      </c>
      <c r="G116" s="2" t="str">
        <f>_xlfn.XLOOKUP(Tabla1[[#This Row],[MARCA]],MARCAS!E:E,MARCAS!F:F)</f>
        <v>110</v>
      </c>
      <c r="H116" s="2" t="str">
        <f>_xlfn.XLOOKUP(Tabla1[[#This Row],[MARCA]],MARCAS!C:C,MARCAS!A:A)</f>
        <v>F0006</v>
      </c>
      <c r="I116" s="38" t="s">
        <v>461</v>
      </c>
      <c r="J116" s="37" t="s">
        <v>462</v>
      </c>
      <c r="K116" s="2" t="s">
        <v>463</v>
      </c>
    </row>
    <row r="117" spans="1:11" hidden="1" x14ac:dyDescent="0.25">
      <c r="A117" s="2" t="s">
        <v>9</v>
      </c>
      <c r="B117" s="2" t="str">
        <f>_xlfn.XLOOKUP(Tabla1[[#This Row],[SOCIEDAD]],centros!D:D,centros!E:E)</f>
        <v>VA00</v>
      </c>
      <c r="C117" s="2" t="s">
        <v>364</v>
      </c>
      <c r="D117" s="2" t="s">
        <v>21</v>
      </c>
      <c r="E117" s="2" t="str">
        <f>IFERROR(INDEX(centros!$H$2:$H$45,MATCH(TRIM(Tabla1[[#This Row],[SOCIEDAD]])&amp;"|"&amp;TRIM(Tabla1[[#This Row],[LOCALIDAD]]),centros!$G$2:$G$45,0)),"REVISAR")</f>
        <v>VA05</v>
      </c>
      <c r="F117" s="2" t="s">
        <v>105</v>
      </c>
      <c r="G117" s="2" t="str">
        <f>_xlfn.XLOOKUP(Tabla1[[#This Row],[MARCA]],MARCAS!E:E,MARCAS!F:F)</f>
        <v>280</v>
      </c>
      <c r="H117" s="2" t="str">
        <f>_xlfn.XLOOKUP(Tabla1[[#This Row],[MARCA]],MARCAS!C:C,MARCAS!A:A)</f>
        <v>F9999</v>
      </c>
      <c r="I117" s="38" t="s">
        <v>464</v>
      </c>
      <c r="J117" s="37" t="s">
        <v>465</v>
      </c>
      <c r="K117" s="2" t="s">
        <v>466</v>
      </c>
    </row>
    <row r="118" spans="1:11" hidden="1" x14ac:dyDescent="0.25">
      <c r="A118" s="2" t="s">
        <v>9</v>
      </c>
      <c r="B118" s="2" t="str">
        <f>_xlfn.XLOOKUP(Tabla1[[#This Row],[SOCIEDAD]],centros!D:D,centros!E:E)</f>
        <v>VA00</v>
      </c>
      <c r="C118" s="2" t="s">
        <v>364</v>
      </c>
      <c r="D118" s="2" t="s">
        <v>21</v>
      </c>
      <c r="E118" s="2" t="str">
        <f>IFERROR(INDEX(centros!$H$2:$H$45,MATCH(TRIM(Tabla1[[#This Row],[SOCIEDAD]])&amp;"|"&amp;TRIM(Tabla1[[#This Row],[LOCALIDAD]]),centros!$G$2:$G$45,0)),"REVISAR")</f>
        <v>VA05</v>
      </c>
      <c r="F118" s="2" t="s">
        <v>84</v>
      </c>
      <c r="G118" s="2" t="str">
        <f>_xlfn.XLOOKUP(Tabla1[[#This Row],[MARCA]],MARCAS!E:E,MARCAS!F:F)</f>
        <v>060</v>
      </c>
      <c r="H118" s="2" t="str">
        <f>_xlfn.XLOOKUP(Tabla1[[#This Row],[MARCA]],MARCAS!C:C,MARCAS!A:A)</f>
        <v>F0022</v>
      </c>
      <c r="I118" s="38" t="s">
        <v>467</v>
      </c>
      <c r="J118" s="37" t="s">
        <v>468</v>
      </c>
      <c r="K118" s="2" t="s">
        <v>469</v>
      </c>
    </row>
    <row r="119" spans="1:11" hidden="1" x14ac:dyDescent="0.25">
      <c r="A119" s="2" t="s">
        <v>9</v>
      </c>
      <c r="B119" s="2" t="str">
        <f>_xlfn.XLOOKUP(Tabla1[[#This Row],[SOCIEDAD]],centros!D:D,centros!E:E)</f>
        <v>VA00</v>
      </c>
      <c r="C119" s="2" t="s">
        <v>300</v>
      </c>
      <c r="D119" s="2" t="s">
        <v>15</v>
      </c>
      <c r="E119" s="2" t="str">
        <f>IFERROR(INDEX(centros!$H$2:$H$45,MATCH(TRIM(Tabla1[[#This Row],[SOCIEDAD]])&amp;"|"&amp;TRIM(Tabla1[[#This Row],[LOCALIDAD]]),centros!$G$2:$G$45,0)),"REVISAR")</f>
        <v>VA02</v>
      </c>
      <c r="F119" s="2" t="s">
        <v>8</v>
      </c>
      <c r="G119" s="2" t="str">
        <f>_xlfn.XLOOKUP(Tabla1[[#This Row],[MARCA]],MARCAS!E:E,MARCAS!F:F)</f>
        <v>060</v>
      </c>
      <c r="H119" s="2" t="str">
        <f>_xlfn.XLOOKUP(Tabla1[[#This Row],[MARCA]],MARCAS!C:C,MARCAS!A:A)</f>
        <v>F0001</v>
      </c>
      <c r="I119" s="38" t="s">
        <v>470</v>
      </c>
      <c r="J119" s="37" t="s">
        <v>471</v>
      </c>
      <c r="K119" s="2" t="s">
        <v>472</v>
      </c>
    </row>
    <row r="120" spans="1:11" hidden="1" x14ac:dyDescent="0.25">
      <c r="A120" s="2" t="s">
        <v>9</v>
      </c>
      <c r="B120" s="2" t="str">
        <f>_xlfn.XLOOKUP(Tabla1[[#This Row],[SOCIEDAD]],centros!D:D,centros!E:E)</f>
        <v>VA00</v>
      </c>
      <c r="C120" s="2" t="s">
        <v>300</v>
      </c>
      <c r="D120" s="2" t="s">
        <v>15</v>
      </c>
      <c r="E120" s="2" t="str">
        <f>IFERROR(INDEX(centros!$H$2:$H$45,MATCH(TRIM(Tabla1[[#This Row],[SOCIEDAD]])&amp;"|"&amp;TRIM(Tabla1[[#This Row],[LOCALIDAD]]),centros!$G$2:$G$45,0)),"REVISAR")</f>
        <v>VA02</v>
      </c>
      <c r="F120" s="2" t="s">
        <v>98</v>
      </c>
      <c r="G120" s="2" t="str">
        <f>_xlfn.XLOOKUP(Tabla1[[#This Row],[MARCA]],MARCAS!E:E,MARCAS!F:F)</f>
        <v>080</v>
      </c>
      <c r="H120" s="2" t="str">
        <f>_xlfn.XLOOKUP(Tabla1[[#This Row],[MARCA]],MARCAS!C:C,MARCAS!A:A)</f>
        <v>F0028</v>
      </c>
      <c r="I120" s="38" t="s">
        <v>473</v>
      </c>
      <c r="J120" s="37" t="s">
        <v>474</v>
      </c>
      <c r="K120" s="2" t="s">
        <v>475</v>
      </c>
    </row>
    <row r="121" spans="1:11" hidden="1" x14ac:dyDescent="0.25">
      <c r="A121" s="2" t="s">
        <v>9</v>
      </c>
      <c r="B121" s="2" t="str">
        <f>_xlfn.XLOOKUP(Tabla1[[#This Row],[SOCIEDAD]],centros!D:D,centros!E:E)</f>
        <v>VA00</v>
      </c>
      <c r="C121" s="2" t="s">
        <v>300</v>
      </c>
      <c r="D121" s="2" t="s">
        <v>15</v>
      </c>
      <c r="E121" s="2" t="str">
        <f>IFERROR(INDEX(centros!$H$2:$H$45,MATCH(TRIM(Tabla1[[#This Row],[SOCIEDAD]])&amp;"|"&amp;TRIM(Tabla1[[#This Row],[LOCALIDAD]]),centros!$G$2:$G$45,0)),"REVISAR")</f>
        <v>VA02</v>
      </c>
      <c r="F121" s="2" t="s">
        <v>26</v>
      </c>
      <c r="G121" s="2" t="str">
        <f>_xlfn.XLOOKUP(Tabla1[[#This Row],[MARCA]],MARCAS!E:E,MARCAS!F:F)</f>
        <v>110</v>
      </c>
      <c r="H121" s="2" t="str">
        <f>_xlfn.XLOOKUP(Tabla1[[#This Row],[MARCA]],MARCAS!C:C,MARCAS!A:A)</f>
        <v>F0006</v>
      </c>
      <c r="I121" s="38" t="s">
        <v>476</v>
      </c>
      <c r="J121" s="37" t="s">
        <v>477</v>
      </c>
      <c r="K121" s="2" t="s">
        <v>478</v>
      </c>
    </row>
    <row r="122" spans="1:11" hidden="1" x14ac:dyDescent="0.25">
      <c r="A122" s="2" t="s">
        <v>9</v>
      </c>
      <c r="B122" s="2" t="str">
        <f>_xlfn.XLOOKUP(Tabla1[[#This Row],[SOCIEDAD]],centros!D:D,centros!E:E)</f>
        <v>VA00</v>
      </c>
      <c r="C122" s="2" t="s">
        <v>300</v>
      </c>
      <c r="D122" s="2" t="s">
        <v>15</v>
      </c>
      <c r="E122" s="2" t="str">
        <f>IFERROR(INDEX(centros!$H$2:$H$45,MATCH(TRIM(Tabla1[[#This Row],[SOCIEDAD]])&amp;"|"&amp;TRIM(Tabla1[[#This Row],[LOCALIDAD]]),centros!$G$2:$G$45,0)),"REVISAR")</f>
        <v>VA02</v>
      </c>
      <c r="F122" s="2" t="s">
        <v>105</v>
      </c>
      <c r="G122" s="2" t="str">
        <f>_xlfn.XLOOKUP(Tabla1[[#This Row],[MARCA]],MARCAS!E:E,MARCAS!F:F)</f>
        <v>280</v>
      </c>
      <c r="H122" s="2" t="str">
        <f>_xlfn.XLOOKUP(Tabla1[[#This Row],[MARCA]],MARCAS!C:C,MARCAS!A:A)</f>
        <v>F9999</v>
      </c>
      <c r="I122" s="38" t="s">
        <v>479</v>
      </c>
      <c r="J122" s="37" t="s">
        <v>480</v>
      </c>
      <c r="K122" s="2" t="s">
        <v>481</v>
      </c>
    </row>
    <row r="123" spans="1:11" hidden="1" x14ac:dyDescent="0.25">
      <c r="A123" s="2" t="s">
        <v>9</v>
      </c>
      <c r="B123" s="2" t="str">
        <f>_xlfn.XLOOKUP(Tabla1[[#This Row],[SOCIEDAD]],centros!D:D,centros!E:E)</f>
        <v>VA00</v>
      </c>
      <c r="C123" s="2" t="s">
        <v>300</v>
      </c>
      <c r="D123" s="2" t="s">
        <v>15</v>
      </c>
      <c r="E123" s="2" t="str">
        <f>IFERROR(INDEX(centros!$H$2:$H$45,MATCH(TRIM(Tabla1[[#This Row],[SOCIEDAD]])&amp;"|"&amp;TRIM(Tabla1[[#This Row],[LOCALIDAD]]),centros!$G$2:$G$45,0)),"REVISAR")</f>
        <v>VA02</v>
      </c>
      <c r="F123" s="2" t="s">
        <v>84</v>
      </c>
      <c r="G123" s="2" t="str">
        <f>_xlfn.XLOOKUP(Tabla1[[#This Row],[MARCA]],MARCAS!E:E,MARCAS!F:F)</f>
        <v>060</v>
      </c>
      <c r="H123" s="2" t="str">
        <f>_xlfn.XLOOKUP(Tabla1[[#This Row],[MARCA]],MARCAS!C:C,MARCAS!A:A)</f>
        <v>F0022</v>
      </c>
      <c r="I123" s="38" t="s">
        <v>482</v>
      </c>
      <c r="J123" s="37" t="s">
        <v>483</v>
      </c>
      <c r="K123" s="2" t="s">
        <v>484</v>
      </c>
    </row>
    <row r="124" spans="1:11" hidden="1" x14ac:dyDescent="0.25">
      <c r="A124" s="2" t="s">
        <v>9</v>
      </c>
      <c r="B124" s="2" t="str">
        <f>_xlfn.XLOOKUP(Tabla1[[#This Row],[SOCIEDAD]],centros!D:D,centros!E:E)</f>
        <v>VA00</v>
      </c>
      <c r="C124" s="2" t="s">
        <v>300</v>
      </c>
      <c r="D124" s="2" t="s">
        <v>13</v>
      </c>
      <c r="E124" s="2" t="str">
        <f>IFERROR(INDEX(centros!$H$2:$H$45,MATCH(TRIM(Tabla1[[#This Row],[SOCIEDAD]])&amp;"|"&amp;TRIM(Tabla1[[#This Row],[LOCALIDAD]]),centros!$G$2:$G$45,0)),"REVISAR")</f>
        <v>VA01</v>
      </c>
      <c r="F124" s="2" t="s">
        <v>8</v>
      </c>
      <c r="G124" s="2" t="str">
        <f>_xlfn.XLOOKUP(Tabla1[[#This Row],[MARCA]],MARCAS!E:E,MARCAS!F:F)</f>
        <v>060</v>
      </c>
      <c r="H124" s="2" t="str">
        <f>_xlfn.XLOOKUP(Tabla1[[#This Row],[MARCA]],MARCAS!C:C,MARCAS!A:A)</f>
        <v>F0001</v>
      </c>
      <c r="I124" s="38" t="s">
        <v>485</v>
      </c>
      <c r="J124" s="37" t="s">
        <v>486</v>
      </c>
      <c r="K124" s="2" t="s">
        <v>487</v>
      </c>
    </row>
    <row r="125" spans="1:11" hidden="1" x14ac:dyDescent="0.25">
      <c r="A125" s="2" t="s">
        <v>9</v>
      </c>
      <c r="B125" s="2" t="str">
        <f>_xlfn.XLOOKUP(Tabla1[[#This Row],[SOCIEDAD]],centros!D:D,centros!E:E)</f>
        <v>VA00</v>
      </c>
      <c r="C125" s="2" t="s">
        <v>300</v>
      </c>
      <c r="D125" s="2" t="s">
        <v>13</v>
      </c>
      <c r="E125" s="2" t="str">
        <f>IFERROR(INDEX(centros!$H$2:$H$45,MATCH(TRIM(Tabla1[[#This Row],[SOCIEDAD]])&amp;"|"&amp;TRIM(Tabla1[[#This Row],[LOCALIDAD]]),centros!$G$2:$G$45,0)),"REVISAR")</f>
        <v>VA01</v>
      </c>
      <c r="F125" s="2" t="s">
        <v>98</v>
      </c>
      <c r="G125" s="2" t="str">
        <f>_xlfn.XLOOKUP(Tabla1[[#This Row],[MARCA]],MARCAS!E:E,MARCAS!F:F)</f>
        <v>080</v>
      </c>
      <c r="H125" s="2" t="str">
        <f>_xlfn.XLOOKUP(Tabla1[[#This Row],[MARCA]],MARCAS!C:C,MARCAS!A:A)</f>
        <v>F0028</v>
      </c>
      <c r="I125" s="38" t="s">
        <v>488</v>
      </c>
      <c r="J125" s="37" t="s">
        <v>489</v>
      </c>
      <c r="K125" s="2" t="s">
        <v>490</v>
      </c>
    </row>
    <row r="126" spans="1:11" hidden="1" x14ac:dyDescent="0.25">
      <c r="A126" s="2" t="s">
        <v>9</v>
      </c>
      <c r="B126" s="2" t="str">
        <f>_xlfn.XLOOKUP(Tabla1[[#This Row],[SOCIEDAD]],centros!D:D,centros!E:E)</f>
        <v>VA00</v>
      </c>
      <c r="C126" s="2" t="s">
        <v>300</v>
      </c>
      <c r="D126" s="2" t="s">
        <v>13</v>
      </c>
      <c r="E126" s="2" t="str">
        <f>IFERROR(INDEX(centros!$H$2:$H$45,MATCH(TRIM(Tabla1[[#This Row],[SOCIEDAD]])&amp;"|"&amp;TRIM(Tabla1[[#This Row],[LOCALIDAD]]),centros!$G$2:$G$45,0)),"REVISAR")</f>
        <v>VA01</v>
      </c>
      <c r="F126" s="2" t="s">
        <v>26</v>
      </c>
      <c r="G126" s="2" t="str">
        <f>_xlfn.XLOOKUP(Tabla1[[#This Row],[MARCA]],MARCAS!E:E,MARCAS!F:F)</f>
        <v>110</v>
      </c>
      <c r="H126" s="2" t="str">
        <f>_xlfn.XLOOKUP(Tabla1[[#This Row],[MARCA]],MARCAS!C:C,MARCAS!A:A)</f>
        <v>F0006</v>
      </c>
      <c r="I126" s="38" t="s">
        <v>491</v>
      </c>
      <c r="J126" s="37" t="s">
        <v>492</v>
      </c>
      <c r="K126" s="2" t="s">
        <v>493</v>
      </c>
    </row>
    <row r="127" spans="1:11" hidden="1" x14ac:dyDescent="0.25">
      <c r="A127" s="2" t="s">
        <v>9</v>
      </c>
      <c r="B127" s="2" t="str">
        <f>_xlfn.XLOOKUP(Tabla1[[#This Row],[SOCIEDAD]],centros!D:D,centros!E:E)</f>
        <v>VA00</v>
      </c>
      <c r="C127" s="2" t="s">
        <v>300</v>
      </c>
      <c r="D127" s="2" t="s">
        <v>13</v>
      </c>
      <c r="E127" s="2" t="str">
        <f>IFERROR(INDEX(centros!$H$2:$H$45,MATCH(TRIM(Tabla1[[#This Row],[SOCIEDAD]])&amp;"|"&amp;TRIM(Tabla1[[#This Row],[LOCALIDAD]]),centros!$G$2:$G$45,0)),"REVISAR")</f>
        <v>VA01</v>
      </c>
      <c r="F127" s="2" t="s">
        <v>105</v>
      </c>
      <c r="G127" s="2" t="str">
        <f>_xlfn.XLOOKUP(Tabla1[[#This Row],[MARCA]],MARCAS!E:E,MARCAS!F:F)</f>
        <v>280</v>
      </c>
      <c r="H127" s="2" t="str">
        <f>_xlfn.XLOOKUP(Tabla1[[#This Row],[MARCA]],MARCAS!C:C,MARCAS!A:A)</f>
        <v>F9999</v>
      </c>
      <c r="I127" s="38" t="s">
        <v>494</v>
      </c>
      <c r="J127" s="37" t="s">
        <v>495</v>
      </c>
      <c r="K127" s="2" t="s">
        <v>496</v>
      </c>
    </row>
    <row r="128" spans="1:11" hidden="1" x14ac:dyDescent="0.25">
      <c r="A128" s="2" t="s">
        <v>9</v>
      </c>
      <c r="B128" s="2" t="str">
        <f>_xlfn.XLOOKUP(Tabla1[[#This Row],[SOCIEDAD]],centros!D:D,centros!E:E)</f>
        <v>VA00</v>
      </c>
      <c r="C128" s="2" t="s">
        <v>300</v>
      </c>
      <c r="D128" s="2" t="s">
        <v>13</v>
      </c>
      <c r="E128" s="2" t="str">
        <f>IFERROR(INDEX(centros!$H$2:$H$45,MATCH(TRIM(Tabla1[[#This Row],[SOCIEDAD]])&amp;"|"&amp;TRIM(Tabla1[[#This Row],[LOCALIDAD]]),centros!$G$2:$G$45,0)),"REVISAR")</f>
        <v>VA01</v>
      </c>
      <c r="F128" s="2" t="s">
        <v>84</v>
      </c>
      <c r="G128" s="2" t="str">
        <f>_xlfn.XLOOKUP(Tabla1[[#This Row],[MARCA]],MARCAS!E:E,MARCAS!F:F)</f>
        <v>060</v>
      </c>
      <c r="H128" s="2" t="str">
        <f>_xlfn.XLOOKUP(Tabla1[[#This Row],[MARCA]],MARCAS!C:C,MARCAS!A:A)</f>
        <v>F0022</v>
      </c>
      <c r="I128" s="38" t="s">
        <v>497</v>
      </c>
      <c r="J128" s="37" t="s">
        <v>498</v>
      </c>
      <c r="K128" s="2" t="s">
        <v>499</v>
      </c>
    </row>
    <row r="129" spans="1:11" hidden="1" x14ac:dyDescent="0.25">
      <c r="A129" s="2" t="s">
        <v>9</v>
      </c>
      <c r="B129" s="2" t="str">
        <f>_xlfn.XLOOKUP(Tabla1[[#This Row],[SOCIEDAD]],centros!D:D,centros!E:E)</f>
        <v>VA00</v>
      </c>
      <c r="C129" s="2" t="s">
        <v>300</v>
      </c>
      <c r="D129" s="2" t="s">
        <v>17</v>
      </c>
      <c r="E129" s="2" t="str">
        <f>IFERROR(INDEX(centros!$H$2:$H$45,MATCH(TRIM(Tabla1[[#This Row],[SOCIEDAD]])&amp;"|"&amp;TRIM(Tabla1[[#This Row],[LOCALIDAD]]),centros!$G$2:$G$45,0)),"REVISAR")</f>
        <v>VA03</v>
      </c>
      <c r="F129" s="2" t="s">
        <v>8</v>
      </c>
      <c r="G129" s="2" t="str">
        <f>_xlfn.XLOOKUP(Tabla1[[#This Row],[MARCA]],MARCAS!E:E,MARCAS!F:F)</f>
        <v>060</v>
      </c>
      <c r="H129" s="2" t="str">
        <f>_xlfn.XLOOKUP(Tabla1[[#This Row],[MARCA]],MARCAS!C:C,MARCAS!A:A)</f>
        <v>F0001</v>
      </c>
      <c r="I129" s="38" t="s">
        <v>500</v>
      </c>
      <c r="J129" s="37" t="s">
        <v>501</v>
      </c>
      <c r="K129" s="2" t="s">
        <v>502</v>
      </c>
    </row>
    <row r="130" spans="1:11" hidden="1" x14ac:dyDescent="0.25">
      <c r="A130" s="2" t="s">
        <v>9</v>
      </c>
      <c r="B130" s="2" t="str">
        <f>_xlfn.XLOOKUP(Tabla1[[#This Row],[SOCIEDAD]],centros!D:D,centros!E:E)</f>
        <v>VA00</v>
      </c>
      <c r="C130" s="2" t="s">
        <v>300</v>
      </c>
      <c r="D130" s="2" t="s">
        <v>17</v>
      </c>
      <c r="E130" s="2" t="str">
        <f>IFERROR(INDEX(centros!$H$2:$H$45,MATCH(TRIM(Tabla1[[#This Row],[SOCIEDAD]])&amp;"|"&amp;TRIM(Tabla1[[#This Row],[LOCALIDAD]]),centros!$G$2:$G$45,0)),"REVISAR")</f>
        <v>VA03</v>
      </c>
      <c r="F130" s="2" t="s">
        <v>98</v>
      </c>
      <c r="G130" s="2" t="str">
        <f>_xlfn.XLOOKUP(Tabla1[[#This Row],[MARCA]],MARCAS!E:E,MARCAS!F:F)</f>
        <v>080</v>
      </c>
      <c r="H130" s="2" t="str">
        <f>_xlfn.XLOOKUP(Tabla1[[#This Row],[MARCA]],MARCAS!C:C,MARCAS!A:A)</f>
        <v>F0028</v>
      </c>
      <c r="I130" s="38" t="s">
        <v>503</v>
      </c>
      <c r="J130" s="37" t="s">
        <v>504</v>
      </c>
      <c r="K130" s="2" t="s">
        <v>505</v>
      </c>
    </row>
    <row r="131" spans="1:11" hidden="1" x14ac:dyDescent="0.25">
      <c r="A131" s="2" t="s">
        <v>9</v>
      </c>
      <c r="B131" s="2" t="str">
        <f>_xlfn.XLOOKUP(Tabla1[[#This Row],[SOCIEDAD]],centros!D:D,centros!E:E)</f>
        <v>VA00</v>
      </c>
      <c r="C131" s="2" t="s">
        <v>300</v>
      </c>
      <c r="D131" s="2" t="s">
        <v>17</v>
      </c>
      <c r="E131" s="2" t="str">
        <f>IFERROR(INDEX(centros!$H$2:$H$45,MATCH(TRIM(Tabla1[[#This Row],[SOCIEDAD]])&amp;"|"&amp;TRIM(Tabla1[[#This Row],[LOCALIDAD]]),centros!$G$2:$G$45,0)),"REVISAR")</f>
        <v>VA03</v>
      </c>
      <c r="F131" s="2" t="s">
        <v>26</v>
      </c>
      <c r="G131" s="2" t="str">
        <f>_xlfn.XLOOKUP(Tabla1[[#This Row],[MARCA]],MARCAS!E:E,MARCAS!F:F)</f>
        <v>110</v>
      </c>
      <c r="H131" s="2" t="str">
        <f>_xlfn.XLOOKUP(Tabla1[[#This Row],[MARCA]],MARCAS!C:C,MARCAS!A:A)</f>
        <v>F0006</v>
      </c>
      <c r="I131" s="38" t="s">
        <v>506</v>
      </c>
      <c r="J131" s="37" t="s">
        <v>507</v>
      </c>
      <c r="K131" s="2" t="s">
        <v>508</v>
      </c>
    </row>
    <row r="132" spans="1:11" hidden="1" x14ac:dyDescent="0.25">
      <c r="A132" s="2" t="s">
        <v>9</v>
      </c>
      <c r="B132" s="2" t="str">
        <f>_xlfn.XLOOKUP(Tabla1[[#This Row],[SOCIEDAD]],centros!D:D,centros!E:E)</f>
        <v>VA00</v>
      </c>
      <c r="C132" s="2" t="s">
        <v>300</v>
      </c>
      <c r="D132" s="2" t="s">
        <v>17</v>
      </c>
      <c r="E132" s="2" t="str">
        <f>IFERROR(INDEX(centros!$H$2:$H$45,MATCH(TRIM(Tabla1[[#This Row],[SOCIEDAD]])&amp;"|"&amp;TRIM(Tabla1[[#This Row],[LOCALIDAD]]),centros!$G$2:$G$45,0)),"REVISAR")</f>
        <v>VA03</v>
      </c>
      <c r="F132" s="2" t="s">
        <v>105</v>
      </c>
      <c r="G132" s="2" t="str">
        <f>_xlfn.XLOOKUP(Tabla1[[#This Row],[MARCA]],MARCAS!E:E,MARCAS!F:F)</f>
        <v>280</v>
      </c>
      <c r="H132" s="2" t="str">
        <f>_xlfn.XLOOKUP(Tabla1[[#This Row],[MARCA]],MARCAS!C:C,MARCAS!A:A)</f>
        <v>F9999</v>
      </c>
      <c r="I132" s="38" t="s">
        <v>509</v>
      </c>
      <c r="J132" s="37" t="s">
        <v>510</v>
      </c>
      <c r="K132" s="2" t="s">
        <v>511</v>
      </c>
    </row>
    <row r="133" spans="1:11" hidden="1" x14ac:dyDescent="0.25">
      <c r="A133" s="2" t="s">
        <v>9</v>
      </c>
      <c r="B133" s="2" t="str">
        <f>_xlfn.XLOOKUP(Tabla1[[#This Row],[SOCIEDAD]],centros!D:D,centros!E:E)</f>
        <v>VA00</v>
      </c>
      <c r="C133" s="2" t="s">
        <v>300</v>
      </c>
      <c r="D133" s="2" t="s">
        <v>17</v>
      </c>
      <c r="E133" s="2" t="str">
        <f>IFERROR(INDEX(centros!$H$2:$H$45,MATCH(TRIM(Tabla1[[#This Row],[SOCIEDAD]])&amp;"|"&amp;TRIM(Tabla1[[#This Row],[LOCALIDAD]]),centros!$G$2:$G$45,0)),"REVISAR")</f>
        <v>VA03</v>
      </c>
      <c r="F133" s="2" t="s">
        <v>84</v>
      </c>
      <c r="G133" s="2" t="str">
        <f>_xlfn.XLOOKUP(Tabla1[[#This Row],[MARCA]],MARCAS!E:E,MARCAS!F:F)</f>
        <v>060</v>
      </c>
      <c r="H133" s="2" t="str">
        <f>_xlfn.XLOOKUP(Tabla1[[#This Row],[MARCA]],MARCAS!C:C,MARCAS!A:A)</f>
        <v>F0022</v>
      </c>
      <c r="I133" s="38" t="s">
        <v>512</v>
      </c>
      <c r="J133" s="37" t="s">
        <v>513</v>
      </c>
      <c r="K133" s="2" t="s">
        <v>514</v>
      </c>
    </row>
    <row r="134" spans="1:11" hidden="1" x14ac:dyDescent="0.25">
      <c r="A134" s="2" t="s">
        <v>9</v>
      </c>
      <c r="B134" s="2" t="str">
        <f>_xlfn.XLOOKUP(Tabla1[[#This Row],[SOCIEDAD]],centros!D:D,centros!E:E)</f>
        <v>VA00</v>
      </c>
      <c r="C134" s="2" t="s">
        <v>300</v>
      </c>
      <c r="D134" s="2" t="s">
        <v>23</v>
      </c>
      <c r="E134" s="2" t="str">
        <f>IFERROR(INDEX(centros!$H$2:$H$45,MATCH(TRIM(Tabla1[[#This Row],[SOCIEDAD]])&amp;"|"&amp;TRIM(Tabla1[[#This Row],[LOCALIDAD]]),centros!$G$2:$G$45,0)),"REVISAR")</f>
        <v>VA06</v>
      </c>
      <c r="F134" s="2" t="s">
        <v>8</v>
      </c>
      <c r="G134" s="2" t="str">
        <f>_xlfn.XLOOKUP(Tabla1[[#This Row],[MARCA]],MARCAS!E:E,MARCAS!F:F)</f>
        <v>060</v>
      </c>
      <c r="H134" s="2" t="str">
        <f>_xlfn.XLOOKUP(Tabla1[[#This Row],[MARCA]],MARCAS!C:C,MARCAS!A:A)</f>
        <v>F0001</v>
      </c>
      <c r="I134" s="38" t="s">
        <v>515</v>
      </c>
      <c r="J134" s="37" t="s">
        <v>516</v>
      </c>
      <c r="K134" s="2" t="s">
        <v>517</v>
      </c>
    </row>
    <row r="135" spans="1:11" hidden="1" x14ac:dyDescent="0.25">
      <c r="A135" s="2" t="s">
        <v>9</v>
      </c>
      <c r="B135" s="2" t="str">
        <f>_xlfn.XLOOKUP(Tabla1[[#This Row],[SOCIEDAD]],centros!D:D,centros!E:E)</f>
        <v>VA00</v>
      </c>
      <c r="C135" s="2" t="s">
        <v>300</v>
      </c>
      <c r="D135" s="2" t="s">
        <v>23</v>
      </c>
      <c r="E135" s="2" t="str">
        <f>IFERROR(INDEX(centros!$H$2:$H$45,MATCH(TRIM(Tabla1[[#This Row],[SOCIEDAD]])&amp;"|"&amp;TRIM(Tabla1[[#This Row],[LOCALIDAD]]),centros!$G$2:$G$45,0)),"REVISAR")</f>
        <v>VA06</v>
      </c>
      <c r="F135" s="2" t="s">
        <v>98</v>
      </c>
      <c r="G135" s="2" t="str">
        <f>_xlfn.XLOOKUP(Tabla1[[#This Row],[MARCA]],MARCAS!E:E,MARCAS!F:F)</f>
        <v>080</v>
      </c>
      <c r="H135" s="2" t="str">
        <f>_xlfn.XLOOKUP(Tabla1[[#This Row],[MARCA]],MARCAS!C:C,MARCAS!A:A)</f>
        <v>F0028</v>
      </c>
      <c r="I135" s="38" t="s">
        <v>518</v>
      </c>
      <c r="J135" s="37" t="s">
        <v>519</v>
      </c>
      <c r="K135" s="2" t="s">
        <v>520</v>
      </c>
    </row>
    <row r="136" spans="1:11" hidden="1" x14ac:dyDescent="0.25">
      <c r="A136" s="2" t="s">
        <v>9</v>
      </c>
      <c r="B136" s="2" t="str">
        <f>_xlfn.XLOOKUP(Tabla1[[#This Row],[SOCIEDAD]],centros!D:D,centros!E:E)</f>
        <v>VA00</v>
      </c>
      <c r="C136" s="2" t="s">
        <v>300</v>
      </c>
      <c r="D136" s="2" t="s">
        <v>23</v>
      </c>
      <c r="E136" s="2" t="str">
        <f>IFERROR(INDEX(centros!$H$2:$H$45,MATCH(TRIM(Tabla1[[#This Row],[SOCIEDAD]])&amp;"|"&amp;TRIM(Tabla1[[#This Row],[LOCALIDAD]]),centros!$G$2:$G$45,0)),"REVISAR")</f>
        <v>VA06</v>
      </c>
      <c r="F136" s="2" t="s">
        <v>26</v>
      </c>
      <c r="G136" s="2" t="str">
        <f>_xlfn.XLOOKUP(Tabla1[[#This Row],[MARCA]],MARCAS!E:E,MARCAS!F:F)</f>
        <v>110</v>
      </c>
      <c r="H136" s="2" t="str">
        <f>_xlfn.XLOOKUP(Tabla1[[#This Row],[MARCA]],MARCAS!C:C,MARCAS!A:A)</f>
        <v>F0006</v>
      </c>
      <c r="I136" s="38" t="s">
        <v>521</v>
      </c>
      <c r="J136" s="37" t="s">
        <v>522</v>
      </c>
      <c r="K136" s="2" t="s">
        <v>523</v>
      </c>
    </row>
    <row r="137" spans="1:11" hidden="1" x14ac:dyDescent="0.25">
      <c r="A137" s="2" t="s">
        <v>9</v>
      </c>
      <c r="B137" s="2" t="str">
        <f>_xlfn.XLOOKUP(Tabla1[[#This Row],[SOCIEDAD]],centros!D:D,centros!E:E)</f>
        <v>VA00</v>
      </c>
      <c r="C137" s="2" t="s">
        <v>300</v>
      </c>
      <c r="D137" s="2" t="s">
        <v>23</v>
      </c>
      <c r="E137" s="2" t="str">
        <f>IFERROR(INDEX(centros!$H$2:$H$45,MATCH(TRIM(Tabla1[[#This Row],[SOCIEDAD]])&amp;"|"&amp;TRIM(Tabla1[[#This Row],[LOCALIDAD]]),centros!$G$2:$G$45,0)),"REVISAR")</f>
        <v>VA06</v>
      </c>
      <c r="F137" s="2" t="s">
        <v>105</v>
      </c>
      <c r="G137" s="2" t="str">
        <f>_xlfn.XLOOKUP(Tabla1[[#This Row],[MARCA]],MARCAS!E:E,MARCAS!F:F)</f>
        <v>280</v>
      </c>
      <c r="H137" s="2" t="str">
        <f>_xlfn.XLOOKUP(Tabla1[[#This Row],[MARCA]],MARCAS!C:C,MARCAS!A:A)</f>
        <v>F9999</v>
      </c>
      <c r="I137" s="38" t="s">
        <v>524</v>
      </c>
      <c r="J137" s="37" t="s">
        <v>525</v>
      </c>
      <c r="K137" s="2" t="s">
        <v>526</v>
      </c>
    </row>
    <row r="138" spans="1:11" hidden="1" x14ac:dyDescent="0.25">
      <c r="A138" s="2" t="s">
        <v>9</v>
      </c>
      <c r="B138" s="2" t="str">
        <f>_xlfn.XLOOKUP(Tabla1[[#This Row],[SOCIEDAD]],centros!D:D,centros!E:E)</f>
        <v>VA00</v>
      </c>
      <c r="C138" s="2" t="s">
        <v>300</v>
      </c>
      <c r="D138" s="2" t="s">
        <v>23</v>
      </c>
      <c r="E138" s="2" t="str">
        <f>IFERROR(INDEX(centros!$H$2:$H$45,MATCH(TRIM(Tabla1[[#This Row],[SOCIEDAD]])&amp;"|"&amp;TRIM(Tabla1[[#This Row],[LOCALIDAD]]),centros!$G$2:$G$45,0)),"REVISAR")</f>
        <v>VA06</v>
      </c>
      <c r="F138" s="2" t="s">
        <v>84</v>
      </c>
      <c r="G138" s="2" t="str">
        <f>_xlfn.XLOOKUP(Tabla1[[#This Row],[MARCA]],MARCAS!E:E,MARCAS!F:F)</f>
        <v>060</v>
      </c>
      <c r="H138" s="2" t="str">
        <f>_xlfn.XLOOKUP(Tabla1[[#This Row],[MARCA]],MARCAS!C:C,MARCAS!A:A)</f>
        <v>F0022</v>
      </c>
      <c r="I138" s="38" t="s">
        <v>527</v>
      </c>
      <c r="J138" s="37" t="s">
        <v>528</v>
      </c>
      <c r="K138" s="2" t="s">
        <v>529</v>
      </c>
    </row>
    <row r="139" spans="1:11" hidden="1" x14ac:dyDescent="0.25">
      <c r="A139" s="2" t="s">
        <v>9</v>
      </c>
      <c r="B139" s="2" t="str">
        <f>_xlfn.XLOOKUP(Tabla1[[#This Row],[SOCIEDAD]],centros!D:D,centros!E:E)</f>
        <v>VA00</v>
      </c>
      <c r="C139" s="2" t="s">
        <v>300</v>
      </c>
      <c r="D139" s="2" t="s">
        <v>11</v>
      </c>
      <c r="E139" s="2" t="str">
        <f>IFERROR(INDEX(centros!$H$2:$H$45,MATCH(TRIM(Tabla1[[#This Row],[SOCIEDAD]])&amp;"|"&amp;TRIM(Tabla1[[#This Row],[LOCALIDAD]]),centros!$G$2:$G$45,0)),"REVISAR")</f>
        <v>VA00</v>
      </c>
      <c r="F139" s="2" t="s">
        <v>8</v>
      </c>
      <c r="G139" s="2" t="str">
        <f>_xlfn.XLOOKUP(Tabla1[[#This Row],[MARCA]],MARCAS!E:E,MARCAS!F:F)</f>
        <v>060</v>
      </c>
      <c r="H139" s="2" t="str">
        <f>_xlfn.XLOOKUP(Tabla1[[#This Row],[MARCA]],MARCAS!C:C,MARCAS!A:A)</f>
        <v>F0001</v>
      </c>
      <c r="I139" s="38" t="s">
        <v>530</v>
      </c>
      <c r="J139" s="37" t="s">
        <v>531</v>
      </c>
      <c r="K139" s="2" t="s">
        <v>532</v>
      </c>
    </row>
    <row r="140" spans="1:11" hidden="1" x14ac:dyDescent="0.25">
      <c r="A140" s="2" t="s">
        <v>9</v>
      </c>
      <c r="B140" s="2" t="str">
        <f>_xlfn.XLOOKUP(Tabla1[[#This Row],[SOCIEDAD]],centros!D:D,centros!E:E)</f>
        <v>VA00</v>
      </c>
      <c r="C140" s="2" t="s">
        <v>300</v>
      </c>
      <c r="D140" s="2" t="s">
        <v>11</v>
      </c>
      <c r="E140" s="2" t="str">
        <f>IFERROR(INDEX(centros!$H$2:$H$45,MATCH(TRIM(Tabla1[[#This Row],[SOCIEDAD]])&amp;"|"&amp;TRIM(Tabla1[[#This Row],[LOCALIDAD]]),centros!$G$2:$G$45,0)),"REVISAR")</f>
        <v>VA00</v>
      </c>
      <c r="F140" s="2" t="s">
        <v>98</v>
      </c>
      <c r="G140" s="2" t="str">
        <f>_xlfn.XLOOKUP(Tabla1[[#This Row],[MARCA]],MARCAS!E:E,MARCAS!F:F)</f>
        <v>080</v>
      </c>
      <c r="H140" s="2" t="str">
        <f>_xlfn.XLOOKUP(Tabla1[[#This Row],[MARCA]],MARCAS!C:C,MARCAS!A:A)</f>
        <v>F0028</v>
      </c>
      <c r="I140" s="38" t="s">
        <v>533</v>
      </c>
      <c r="J140" s="37" t="s">
        <v>534</v>
      </c>
      <c r="K140" s="2" t="s">
        <v>339</v>
      </c>
    </row>
    <row r="141" spans="1:11" hidden="1" x14ac:dyDescent="0.25">
      <c r="A141" s="2" t="s">
        <v>9</v>
      </c>
      <c r="B141" s="2" t="str">
        <f>_xlfn.XLOOKUP(Tabla1[[#This Row],[SOCIEDAD]],centros!D:D,centros!E:E)</f>
        <v>VA00</v>
      </c>
      <c r="C141" s="2" t="s">
        <v>300</v>
      </c>
      <c r="D141" s="2" t="s">
        <v>11</v>
      </c>
      <c r="E141" s="2" t="str">
        <f>IFERROR(INDEX(centros!$H$2:$H$45,MATCH(TRIM(Tabla1[[#This Row],[SOCIEDAD]])&amp;"|"&amp;TRIM(Tabla1[[#This Row],[LOCALIDAD]]),centros!$G$2:$G$45,0)),"REVISAR")</f>
        <v>VA00</v>
      </c>
      <c r="F141" s="2" t="s">
        <v>26</v>
      </c>
      <c r="G141" s="2" t="str">
        <f>_xlfn.XLOOKUP(Tabla1[[#This Row],[MARCA]],MARCAS!E:E,MARCAS!F:F)</f>
        <v>110</v>
      </c>
      <c r="H141" s="2" t="str">
        <f>_xlfn.XLOOKUP(Tabla1[[#This Row],[MARCA]],MARCAS!C:C,MARCAS!A:A)</f>
        <v>F0006</v>
      </c>
      <c r="I141" s="38" t="s">
        <v>535</v>
      </c>
      <c r="J141" s="37" t="s">
        <v>536</v>
      </c>
      <c r="K141" s="2" t="s">
        <v>537</v>
      </c>
    </row>
    <row r="142" spans="1:11" hidden="1" x14ac:dyDescent="0.25">
      <c r="A142" s="2" t="s">
        <v>9</v>
      </c>
      <c r="B142" s="2" t="str">
        <f>_xlfn.XLOOKUP(Tabla1[[#This Row],[SOCIEDAD]],centros!D:D,centros!E:E)</f>
        <v>VA00</v>
      </c>
      <c r="C142" s="2" t="s">
        <v>300</v>
      </c>
      <c r="D142" s="2" t="s">
        <v>11</v>
      </c>
      <c r="E142" s="2" t="str">
        <f>IFERROR(INDEX(centros!$H$2:$H$45,MATCH(TRIM(Tabla1[[#This Row],[SOCIEDAD]])&amp;"|"&amp;TRIM(Tabla1[[#This Row],[LOCALIDAD]]),centros!$G$2:$G$45,0)),"REVISAR")</f>
        <v>VA00</v>
      </c>
      <c r="F142" s="2" t="s">
        <v>105</v>
      </c>
      <c r="G142" s="2" t="str">
        <f>_xlfn.XLOOKUP(Tabla1[[#This Row],[MARCA]],MARCAS!E:E,MARCAS!F:F)</f>
        <v>280</v>
      </c>
      <c r="H142" s="2" t="str">
        <f>_xlfn.XLOOKUP(Tabla1[[#This Row],[MARCA]],MARCAS!C:C,MARCAS!A:A)</f>
        <v>F9999</v>
      </c>
      <c r="I142" s="38" t="s">
        <v>538</v>
      </c>
      <c r="J142" s="37" t="s">
        <v>539</v>
      </c>
      <c r="K142" s="2" t="s">
        <v>357</v>
      </c>
    </row>
    <row r="143" spans="1:11" hidden="1" x14ac:dyDescent="0.25">
      <c r="A143" s="2" t="s">
        <v>9</v>
      </c>
      <c r="B143" s="2" t="str">
        <f>_xlfn.XLOOKUP(Tabla1[[#This Row],[SOCIEDAD]],centros!D:D,centros!E:E)</f>
        <v>VA00</v>
      </c>
      <c r="C143" s="2" t="s">
        <v>300</v>
      </c>
      <c r="D143" s="2" t="s">
        <v>11</v>
      </c>
      <c r="E143" s="2" t="str">
        <f>IFERROR(INDEX(centros!$H$2:$H$45,MATCH(TRIM(Tabla1[[#This Row],[SOCIEDAD]])&amp;"|"&amp;TRIM(Tabla1[[#This Row],[LOCALIDAD]]),centros!$G$2:$G$45,0)),"REVISAR")</f>
        <v>VA00</v>
      </c>
      <c r="F143" s="2" t="s">
        <v>84</v>
      </c>
      <c r="G143" s="2" t="str">
        <f>_xlfn.XLOOKUP(Tabla1[[#This Row],[MARCA]],MARCAS!E:E,MARCAS!F:F)</f>
        <v>060</v>
      </c>
      <c r="H143" s="2" t="str">
        <f>_xlfn.XLOOKUP(Tabla1[[#This Row],[MARCA]],MARCAS!C:C,MARCAS!A:A)</f>
        <v>F0022</v>
      </c>
      <c r="I143" s="38" t="s">
        <v>540</v>
      </c>
      <c r="J143" s="37" t="s">
        <v>541</v>
      </c>
      <c r="K143" s="2" t="s">
        <v>336</v>
      </c>
    </row>
    <row r="144" spans="1:11" hidden="1" x14ac:dyDescent="0.25">
      <c r="A144" s="2" t="s">
        <v>9</v>
      </c>
      <c r="B144" s="2" t="str">
        <f>_xlfn.XLOOKUP(Tabla1[[#This Row],[SOCIEDAD]],centros!D:D,centros!E:E)</f>
        <v>VA00</v>
      </c>
      <c r="C144" s="2" t="s">
        <v>300</v>
      </c>
      <c r="D144" s="2" t="s">
        <v>19</v>
      </c>
      <c r="E144" s="2" t="str">
        <f>IFERROR(INDEX(centros!$H$2:$H$45,MATCH(TRIM(Tabla1[[#This Row],[SOCIEDAD]])&amp;"|"&amp;TRIM(Tabla1[[#This Row],[LOCALIDAD]]),centros!$G$2:$G$45,0)),"REVISAR")</f>
        <v>VA04</v>
      </c>
      <c r="F144" s="2" t="s">
        <v>8</v>
      </c>
      <c r="G144" s="2" t="str">
        <f>_xlfn.XLOOKUP(Tabla1[[#This Row],[MARCA]],MARCAS!E:E,MARCAS!F:F)</f>
        <v>060</v>
      </c>
      <c r="H144" s="2" t="str">
        <f>_xlfn.XLOOKUP(Tabla1[[#This Row],[MARCA]],MARCAS!C:C,MARCAS!A:A)</f>
        <v>F0001</v>
      </c>
      <c r="I144" s="38" t="s">
        <v>542</v>
      </c>
      <c r="J144" s="37" t="s">
        <v>543</v>
      </c>
      <c r="K144" s="2" t="s">
        <v>544</v>
      </c>
    </row>
    <row r="145" spans="1:11" hidden="1" x14ac:dyDescent="0.25">
      <c r="A145" s="2" t="s">
        <v>9</v>
      </c>
      <c r="B145" s="2" t="str">
        <f>_xlfn.XLOOKUP(Tabla1[[#This Row],[SOCIEDAD]],centros!D:D,centros!E:E)</f>
        <v>VA00</v>
      </c>
      <c r="C145" s="2" t="s">
        <v>300</v>
      </c>
      <c r="D145" s="2" t="s">
        <v>19</v>
      </c>
      <c r="E145" s="2" t="str">
        <f>IFERROR(INDEX(centros!$H$2:$H$45,MATCH(TRIM(Tabla1[[#This Row],[SOCIEDAD]])&amp;"|"&amp;TRIM(Tabla1[[#This Row],[LOCALIDAD]]),centros!$G$2:$G$45,0)),"REVISAR")</f>
        <v>VA04</v>
      </c>
      <c r="F145" s="2" t="s">
        <v>98</v>
      </c>
      <c r="G145" s="2" t="str">
        <f>_xlfn.XLOOKUP(Tabla1[[#This Row],[MARCA]],MARCAS!E:E,MARCAS!F:F)</f>
        <v>080</v>
      </c>
      <c r="H145" s="2" t="str">
        <f>_xlfn.XLOOKUP(Tabla1[[#This Row],[MARCA]],MARCAS!C:C,MARCAS!A:A)</f>
        <v>F0028</v>
      </c>
      <c r="I145" s="38" t="s">
        <v>545</v>
      </c>
      <c r="J145" s="37" t="s">
        <v>546</v>
      </c>
      <c r="K145" s="2" t="s">
        <v>547</v>
      </c>
    </row>
    <row r="146" spans="1:11" hidden="1" x14ac:dyDescent="0.25">
      <c r="A146" s="2" t="s">
        <v>9</v>
      </c>
      <c r="B146" s="2" t="str">
        <f>_xlfn.XLOOKUP(Tabla1[[#This Row],[SOCIEDAD]],centros!D:D,centros!E:E)</f>
        <v>VA00</v>
      </c>
      <c r="C146" s="2" t="s">
        <v>300</v>
      </c>
      <c r="D146" s="2" t="s">
        <v>19</v>
      </c>
      <c r="E146" s="2" t="str">
        <f>IFERROR(INDEX(centros!$H$2:$H$45,MATCH(TRIM(Tabla1[[#This Row],[SOCIEDAD]])&amp;"|"&amp;TRIM(Tabla1[[#This Row],[LOCALIDAD]]),centros!$G$2:$G$45,0)),"REVISAR")</f>
        <v>VA04</v>
      </c>
      <c r="F146" s="2" t="s">
        <v>26</v>
      </c>
      <c r="G146" s="2" t="str">
        <f>_xlfn.XLOOKUP(Tabla1[[#This Row],[MARCA]],MARCAS!E:E,MARCAS!F:F)</f>
        <v>110</v>
      </c>
      <c r="H146" s="2" t="str">
        <f>_xlfn.XLOOKUP(Tabla1[[#This Row],[MARCA]],MARCAS!C:C,MARCAS!A:A)</f>
        <v>F0006</v>
      </c>
      <c r="I146" s="38" t="s">
        <v>548</v>
      </c>
      <c r="J146" s="37" t="s">
        <v>549</v>
      </c>
      <c r="K146" s="2" t="s">
        <v>550</v>
      </c>
    </row>
    <row r="147" spans="1:11" hidden="1" x14ac:dyDescent="0.25">
      <c r="A147" s="2" t="s">
        <v>9</v>
      </c>
      <c r="B147" s="2" t="str">
        <f>_xlfn.XLOOKUP(Tabla1[[#This Row],[SOCIEDAD]],centros!D:D,centros!E:E)</f>
        <v>VA00</v>
      </c>
      <c r="C147" s="2" t="s">
        <v>300</v>
      </c>
      <c r="D147" s="2" t="s">
        <v>19</v>
      </c>
      <c r="E147" s="2" t="str">
        <f>IFERROR(INDEX(centros!$H$2:$H$45,MATCH(TRIM(Tabla1[[#This Row],[SOCIEDAD]])&amp;"|"&amp;TRIM(Tabla1[[#This Row],[LOCALIDAD]]),centros!$G$2:$G$45,0)),"REVISAR")</f>
        <v>VA04</v>
      </c>
      <c r="F147" s="2" t="s">
        <v>105</v>
      </c>
      <c r="G147" s="2" t="str">
        <f>_xlfn.XLOOKUP(Tabla1[[#This Row],[MARCA]],MARCAS!E:E,MARCAS!F:F)</f>
        <v>280</v>
      </c>
      <c r="H147" s="2" t="str">
        <f>_xlfn.XLOOKUP(Tabla1[[#This Row],[MARCA]],MARCAS!C:C,MARCAS!A:A)</f>
        <v>F9999</v>
      </c>
      <c r="I147" s="38" t="s">
        <v>551</v>
      </c>
      <c r="J147" s="37" t="s">
        <v>552</v>
      </c>
      <c r="K147" s="2" t="s">
        <v>553</v>
      </c>
    </row>
    <row r="148" spans="1:11" hidden="1" x14ac:dyDescent="0.25">
      <c r="A148" s="2" t="s">
        <v>9</v>
      </c>
      <c r="B148" s="2" t="str">
        <f>_xlfn.XLOOKUP(Tabla1[[#This Row],[SOCIEDAD]],centros!D:D,centros!E:E)</f>
        <v>VA00</v>
      </c>
      <c r="C148" s="2" t="s">
        <v>300</v>
      </c>
      <c r="D148" s="2" t="s">
        <v>19</v>
      </c>
      <c r="E148" s="2" t="str">
        <f>IFERROR(INDEX(centros!$H$2:$H$45,MATCH(TRIM(Tabla1[[#This Row],[SOCIEDAD]])&amp;"|"&amp;TRIM(Tabla1[[#This Row],[LOCALIDAD]]),centros!$G$2:$G$45,0)),"REVISAR")</f>
        <v>VA04</v>
      </c>
      <c r="F148" s="2" t="s">
        <v>84</v>
      </c>
      <c r="G148" s="2" t="str">
        <f>_xlfn.XLOOKUP(Tabla1[[#This Row],[MARCA]],MARCAS!E:E,MARCAS!F:F)</f>
        <v>060</v>
      </c>
      <c r="H148" s="2" t="str">
        <f>_xlfn.XLOOKUP(Tabla1[[#This Row],[MARCA]],MARCAS!C:C,MARCAS!A:A)</f>
        <v>F0022</v>
      </c>
      <c r="I148" s="38" t="s">
        <v>554</v>
      </c>
      <c r="J148" s="37" t="s">
        <v>555</v>
      </c>
      <c r="K148" s="2" t="s">
        <v>556</v>
      </c>
    </row>
    <row r="149" spans="1:11" hidden="1" x14ac:dyDescent="0.25">
      <c r="A149" s="2" t="s">
        <v>9</v>
      </c>
      <c r="B149" s="2" t="str">
        <f>_xlfn.XLOOKUP(Tabla1[[#This Row],[SOCIEDAD]],centros!D:D,centros!E:E)</f>
        <v>VA00</v>
      </c>
      <c r="C149" s="2" t="s">
        <v>300</v>
      </c>
      <c r="D149" s="2" t="s">
        <v>21</v>
      </c>
      <c r="E149" s="2" t="str">
        <f>IFERROR(INDEX(centros!$H$2:$H$45,MATCH(TRIM(Tabla1[[#This Row],[SOCIEDAD]])&amp;"|"&amp;TRIM(Tabla1[[#This Row],[LOCALIDAD]]),centros!$G$2:$G$45,0)),"REVISAR")</f>
        <v>VA05</v>
      </c>
      <c r="F149" s="2" t="s">
        <v>8</v>
      </c>
      <c r="G149" s="2" t="str">
        <f>_xlfn.XLOOKUP(Tabla1[[#This Row],[MARCA]],MARCAS!E:E,MARCAS!F:F)</f>
        <v>060</v>
      </c>
      <c r="H149" s="2" t="str">
        <f>_xlfn.XLOOKUP(Tabla1[[#This Row],[MARCA]],MARCAS!C:C,MARCAS!A:A)</f>
        <v>F0001</v>
      </c>
      <c r="I149" s="38" t="s">
        <v>557</v>
      </c>
      <c r="J149" s="37" t="s">
        <v>558</v>
      </c>
      <c r="K149" s="2" t="s">
        <v>559</v>
      </c>
    </row>
    <row r="150" spans="1:11" hidden="1" x14ac:dyDescent="0.25">
      <c r="A150" s="2" t="s">
        <v>9</v>
      </c>
      <c r="B150" s="2" t="str">
        <f>_xlfn.XLOOKUP(Tabla1[[#This Row],[SOCIEDAD]],centros!D:D,centros!E:E)</f>
        <v>VA00</v>
      </c>
      <c r="C150" s="2" t="s">
        <v>300</v>
      </c>
      <c r="D150" s="2" t="s">
        <v>21</v>
      </c>
      <c r="E150" s="2" t="str">
        <f>IFERROR(INDEX(centros!$H$2:$H$45,MATCH(TRIM(Tabla1[[#This Row],[SOCIEDAD]])&amp;"|"&amp;TRIM(Tabla1[[#This Row],[LOCALIDAD]]),centros!$G$2:$G$45,0)),"REVISAR")</f>
        <v>VA05</v>
      </c>
      <c r="F150" s="2" t="s">
        <v>98</v>
      </c>
      <c r="G150" s="2" t="str">
        <f>_xlfn.XLOOKUP(Tabla1[[#This Row],[MARCA]],MARCAS!E:E,MARCAS!F:F)</f>
        <v>080</v>
      </c>
      <c r="H150" s="2" t="str">
        <f>_xlfn.XLOOKUP(Tabla1[[#This Row],[MARCA]],MARCAS!C:C,MARCAS!A:A)</f>
        <v>F0028</v>
      </c>
      <c r="I150" s="38" t="s">
        <v>560</v>
      </c>
      <c r="J150" s="37" t="s">
        <v>561</v>
      </c>
      <c r="K150" s="2" t="s">
        <v>562</v>
      </c>
    </row>
    <row r="151" spans="1:11" hidden="1" x14ac:dyDescent="0.25">
      <c r="A151" s="2" t="s">
        <v>9</v>
      </c>
      <c r="B151" s="2" t="str">
        <f>_xlfn.XLOOKUP(Tabla1[[#This Row],[SOCIEDAD]],centros!D:D,centros!E:E)</f>
        <v>VA00</v>
      </c>
      <c r="C151" s="2" t="s">
        <v>300</v>
      </c>
      <c r="D151" s="2" t="s">
        <v>21</v>
      </c>
      <c r="E151" s="2" t="str">
        <f>IFERROR(INDEX(centros!$H$2:$H$45,MATCH(TRIM(Tabla1[[#This Row],[SOCIEDAD]])&amp;"|"&amp;TRIM(Tabla1[[#This Row],[LOCALIDAD]]),centros!$G$2:$G$45,0)),"REVISAR")</f>
        <v>VA05</v>
      </c>
      <c r="F151" s="2" t="s">
        <v>26</v>
      </c>
      <c r="G151" s="2" t="str">
        <f>_xlfn.XLOOKUP(Tabla1[[#This Row],[MARCA]],MARCAS!E:E,MARCAS!F:F)</f>
        <v>110</v>
      </c>
      <c r="H151" s="2" t="str">
        <f>_xlfn.XLOOKUP(Tabla1[[#This Row],[MARCA]],MARCAS!C:C,MARCAS!A:A)</f>
        <v>F0006</v>
      </c>
      <c r="I151" s="38" t="s">
        <v>563</v>
      </c>
      <c r="J151" s="37" t="s">
        <v>564</v>
      </c>
      <c r="K151" s="2" t="s">
        <v>565</v>
      </c>
    </row>
    <row r="152" spans="1:11" hidden="1" x14ac:dyDescent="0.25">
      <c r="A152" s="2" t="s">
        <v>9</v>
      </c>
      <c r="B152" s="2" t="str">
        <f>_xlfn.XLOOKUP(Tabla1[[#This Row],[SOCIEDAD]],centros!D:D,centros!E:E)</f>
        <v>VA00</v>
      </c>
      <c r="C152" s="2" t="s">
        <v>300</v>
      </c>
      <c r="D152" s="2" t="s">
        <v>21</v>
      </c>
      <c r="E152" s="2" t="str">
        <f>IFERROR(INDEX(centros!$H$2:$H$45,MATCH(TRIM(Tabla1[[#This Row],[SOCIEDAD]])&amp;"|"&amp;TRIM(Tabla1[[#This Row],[LOCALIDAD]]),centros!$G$2:$G$45,0)),"REVISAR")</f>
        <v>VA05</v>
      </c>
      <c r="F152" s="2" t="s">
        <v>105</v>
      </c>
      <c r="G152" s="2" t="str">
        <f>_xlfn.XLOOKUP(Tabla1[[#This Row],[MARCA]],MARCAS!E:E,MARCAS!F:F)</f>
        <v>280</v>
      </c>
      <c r="H152" s="2" t="str">
        <f>_xlfn.XLOOKUP(Tabla1[[#This Row],[MARCA]],MARCAS!C:C,MARCAS!A:A)</f>
        <v>F9999</v>
      </c>
      <c r="I152" s="38" t="s">
        <v>566</v>
      </c>
      <c r="J152" s="37" t="s">
        <v>567</v>
      </c>
      <c r="K152" s="2" t="s">
        <v>568</v>
      </c>
    </row>
    <row r="153" spans="1:11" hidden="1" x14ac:dyDescent="0.25">
      <c r="A153" s="2" t="s">
        <v>9</v>
      </c>
      <c r="B153" s="2" t="str">
        <f>_xlfn.XLOOKUP(Tabla1[[#This Row],[SOCIEDAD]],centros!D:D,centros!E:E)</f>
        <v>VA00</v>
      </c>
      <c r="C153" s="2" t="s">
        <v>300</v>
      </c>
      <c r="D153" s="2" t="s">
        <v>21</v>
      </c>
      <c r="E153" s="2" t="str">
        <f>IFERROR(INDEX(centros!$H$2:$H$45,MATCH(TRIM(Tabla1[[#This Row],[SOCIEDAD]])&amp;"|"&amp;TRIM(Tabla1[[#This Row],[LOCALIDAD]]),centros!$G$2:$G$45,0)),"REVISAR")</f>
        <v>VA05</v>
      </c>
      <c r="F153" s="2" t="s">
        <v>84</v>
      </c>
      <c r="G153" s="2" t="str">
        <f>_xlfn.XLOOKUP(Tabla1[[#This Row],[MARCA]],MARCAS!E:E,MARCAS!F:F)</f>
        <v>060</v>
      </c>
      <c r="H153" s="2" t="str">
        <f>_xlfn.XLOOKUP(Tabla1[[#This Row],[MARCA]],MARCAS!C:C,MARCAS!A:A)</f>
        <v>F0022</v>
      </c>
      <c r="I153" s="38" t="s">
        <v>569</v>
      </c>
      <c r="J153" s="37" t="s">
        <v>570</v>
      </c>
      <c r="K153" s="2" t="s">
        <v>571</v>
      </c>
    </row>
    <row r="154" spans="1:11" hidden="1" x14ac:dyDescent="0.25">
      <c r="A154" s="2" t="s">
        <v>9</v>
      </c>
      <c r="B154" s="2" t="str">
        <f>_xlfn.XLOOKUP(Tabla1[[#This Row],[SOCIEDAD]],centros!D:D,centros!E:E)</f>
        <v>VA00</v>
      </c>
      <c r="C154" s="2" t="s">
        <v>263</v>
      </c>
      <c r="D154" s="2" t="s">
        <v>15</v>
      </c>
      <c r="E154" s="2" t="str">
        <f>IFERROR(INDEX(centros!$H$2:$H$45,MATCH(TRIM(Tabla1[[#This Row],[SOCIEDAD]])&amp;"|"&amp;TRIM(Tabla1[[#This Row],[LOCALIDAD]]),centros!$G$2:$G$45,0)),"REVISAR")</f>
        <v>VA02</v>
      </c>
      <c r="F154" s="2" t="s">
        <v>8</v>
      </c>
      <c r="G154" s="2" t="str">
        <f>_xlfn.XLOOKUP(Tabla1[[#This Row],[MARCA]],MARCAS!E:E,MARCAS!F:F)</f>
        <v>060</v>
      </c>
      <c r="H154" s="2" t="str">
        <f>_xlfn.XLOOKUP(Tabla1[[#This Row],[MARCA]],MARCAS!C:C,MARCAS!A:A)</f>
        <v>F0001</v>
      </c>
      <c r="I154" s="38" t="s">
        <v>572</v>
      </c>
      <c r="J154" s="37" t="s">
        <v>573</v>
      </c>
      <c r="K154" s="2" t="s">
        <v>574</v>
      </c>
    </row>
    <row r="155" spans="1:11" hidden="1" x14ac:dyDescent="0.25">
      <c r="A155" s="2" t="s">
        <v>9</v>
      </c>
      <c r="B155" s="2" t="str">
        <f>_xlfn.XLOOKUP(Tabla1[[#This Row],[SOCIEDAD]],centros!D:D,centros!E:E)</f>
        <v>VA00</v>
      </c>
      <c r="C155" s="2" t="s">
        <v>263</v>
      </c>
      <c r="D155" s="2" t="s">
        <v>15</v>
      </c>
      <c r="E155" s="2" t="str">
        <f>IFERROR(INDEX(centros!$H$2:$H$45,MATCH(TRIM(Tabla1[[#This Row],[SOCIEDAD]])&amp;"|"&amp;TRIM(Tabla1[[#This Row],[LOCALIDAD]]),centros!$G$2:$G$45,0)),"REVISAR")</f>
        <v>VA02</v>
      </c>
      <c r="F155" s="2" t="s">
        <v>98</v>
      </c>
      <c r="G155" s="2" t="str">
        <f>_xlfn.XLOOKUP(Tabla1[[#This Row],[MARCA]],MARCAS!E:E,MARCAS!F:F)</f>
        <v>080</v>
      </c>
      <c r="H155" s="2" t="str">
        <f>_xlfn.XLOOKUP(Tabla1[[#This Row],[MARCA]],MARCAS!C:C,MARCAS!A:A)</f>
        <v>F0028</v>
      </c>
      <c r="I155" s="38" t="s">
        <v>575</v>
      </c>
      <c r="J155" s="37" t="s">
        <v>576</v>
      </c>
      <c r="K155" s="2" t="s">
        <v>577</v>
      </c>
    </row>
    <row r="156" spans="1:11" hidden="1" x14ac:dyDescent="0.25">
      <c r="A156" s="2" t="s">
        <v>9</v>
      </c>
      <c r="B156" s="2" t="str">
        <f>_xlfn.XLOOKUP(Tabla1[[#This Row],[SOCIEDAD]],centros!D:D,centros!E:E)</f>
        <v>VA00</v>
      </c>
      <c r="C156" s="2" t="s">
        <v>263</v>
      </c>
      <c r="D156" s="2" t="s">
        <v>15</v>
      </c>
      <c r="E156" s="2" t="str">
        <f>IFERROR(INDEX(centros!$H$2:$H$45,MATCH(TRIM(Tabla1[[#This Row],[SOCIEDAD]])&amp;"|"&amp;TRIM(Tabla1[[#This Row],[LOCALIDAD]]),centros!$G$2:$G$45,0)),"REVISAR")</f>
        <v>VA02</v>
      </c>
      <c r="F156" s="2" t="s">
        <v>26</v>
      </c>
      <c r="G156" s="2" t="str">
        <f>_xlfn.XLOOKUP(Tabla1[[#This Row],[MARCA]],MARCAS!E:E,MARCAS!F:F)</f>
        <v>110</v>
      </c>
      <c r="H156" s="2" t="str">
        <f>_xlfn.XLOOKUP(Tabla1[[#This Row],[MARCA]],MARCAS!C:C,MARCAS!A:A)</f>
        <v>F0006</v>
      </c>
      <c r="I156" s="38" t="s">
        <v>578</v>
      </c>
      <c r="J156" s="37" t="s">
        <v>579</v>
      </c>
      <c r="K156" s="2" t="s">
        <v>580</v>
      </c>
    </row>
    <row r="157" spans="1:11" hidden="1" x14ac:dyDescent="0.25">
      <c r="A157" s="2" t="s">
        <v>9</v>
      </c>
      <c r="B157" s="2" t="str">
        <f>_xlfn.XLOOKUP(Tabla1[[#This Row],[SOCIEDAD]],centros!D:D,centros!E:E)</f>
        <v>VA00</v>
      </c>
      <c r="C157" s="2" t="s">
        <v>263</v>
      </c>
      <c r="D157" s="2" t="s">
        <v>15</v>
      </c>
      <c r="E157" s="2" t="str">
        <f>IFERROR(INDEX(centros!$H$2:$H$45,MATCH(TRIM(Tabla1[[#This Row],[SOCIEDAD]])&amp;"|"&amp;TRIM(Tabla1[[#This Row],[LOCALIDAD]]),centros!$G$2:$G$45,0)),"REVISAR")</f>
        <v>VA02</v>
      </c>
      <c r="F157" s="2" t="s">
        <v>105</v>
      </c>
      <c r="G157" s="2" t="str">
        <f>_xlfn.XLOOKUP(Tabla1[[#This Row],[MARCA]],MARCAS!E:E,MARCAS!F:F)</f>
        <v>280</v>
      </c>
      <c r="H157" s="2" t="str">
        <f>_xlfn.XLOOKUP(Tabla1[[#This Row],[MARCA]],MARCAS!C:C,MARCAS!A:A)</f>
        <v>F9999</v>
      </c>
      <c r="I157" s="38" t="s">
        <v>581</v>
      </c>
      <c r="J157" s="37" t="s">
        <v>582</v>
      </c>
      <c r="K157" s="2" t="s">
        <v>583</v>
      </c>
    </row>
    <row r="158" spans="1:11" hidden="1" x14ac:dyDescent="0.25">
      <c r="A158" s="2" t="s">
        <v>9</v>
      </c>
      <c r="B158" s="2" t="str">
        <f>_xlfn.XLOOKUP(Tabla1[[#This Row],[SOCIEDAD]],centros!D:D,centros!E:E)</f>
        <v>VA00</v>
      </c>
      <c r="C158" s="2" t="s">
        <v>263</v>
      </c>
      <c r="D158" s="2" t="s">
        <v>15</v>
      </c>
      <c r="E158" s="2" t="str">
        <f>IFERROR(INDEX(centros!$H$2:$H$45,MATCH(TRIM(Tabla1[[#This Row],[SOCIEDAD]])&amp;"|"&amp;TRIM(Tabla1[[#This Row],[LOCALIDAD]]),centros!$G$2:$G$45,0)),"REVISAR")</f>
        <v>VA02</v>
      </c>
      <c r="F158" s="2" t="s">
        <v>84</v>
      </c>
      <c r="G158" s="2" t="str">
        <f>_xlfn.XLOOKUP(Tabla1[[#This Row],[MARCA]],MARCAS!E:E,MARCAS!F:F)</f>
        <v>060</v>
      </c>
      <c r="H158" s="2" t="str">
        <f>_xlfn.XLOOKUP(Tabla1[[#This Row],[MARCA]],MARCAS!C:C,MARCAS!A:A)</f>
        <v>F0022</v>
      </c>
      <c r="I158" s="38" t="s">
        <v>584</v>
      </c>
      <c r="J158" s="37" t="s">
        <v>585</v>
      </c>
      <c r="K158" s="2" t="s">
        <v>586</v>
      </c>
    </row>
    <row r="159" spans="1:11" hidden="1" x14ac:dyDescent="0.25">
      <c r="A159" s="2" t="s">
        <v>9</v>
      </c>
      <c r="B159" s="2" t="str">
        <f>_xlfn.XLOOKUP(Tabla1[[#This Row],[SOCIEDAD]],centros!D:D,centros!E:E)</f>
        <v>VA00</v>
      </c>
      <c r="C159" s="2" t="s">
        <v>263</v>
      </c>
      <c r="D159" s="2" t="s">
        <v>13</v>
      </c>
      <c r="E159" s="2" t="str">
        <f>IFERROR(INDEX(centros!$H$2:$H$45,MATCH(TRIM(Tabla1[[#This Row],[SOCIEDAD]])&amp;"|"&amp;TRIM(Tabla1[[#This Row],[LOCALIDAD]]),centros!$G$2:$G$45,0)),"REVISAR")</f>
        <v>VA01</v>
      </c>
      <c r="F159" s="2" t="s">
        <v>8</v>
      </c>
      <c r="G159" s="2" t="str">
        <f>_xlfn.XLOOKUP(Tabla1[[#This Row],[MARCA]],MARCAS!E:E,MARCAS!F:F)</f>
        <v>060</v>
      </c>
      <c r="H159" s="2" t="str">
        <f>_xlfn.XLOOKUP(Tabla1[[#This Row],[MARCA]],MARCAS!C:C,MARCAS!A:A)</f>
        <v>F0001</v>
      </c>
      <c r="I159" s="38" t="s">
        <v>587</v>
      </c>
      <c r="J159" s="37" t="s">
        <v>588</v>
      </c>
      <c r="K159" s="2" t="s">
        <v>589</v>
      </c>
    </row>
    <row r="160" spans="1:11" hidden="1" x14ac:dyDescent="0.25">
      <c r="A160" s="2" t="s">
        <v>9</v>
      </c>
      <c r="B160" s="2" t="str">
        <f>_xlfn.XLOOKUP(Tabla1[[#This Row],[SOCIEDAD]],centros!D:D,centros!E:E)</f>
        <v>VA00</v>
      </c>
      <c r="C160" s="2" t="s">
        <v>263</v>
      </c>
      <c r="D160" s="2" t="s">
        <v>13</v>
      </c>
      <c r="E160" s="2" t="str">
        <f>IFERROR(INDEX(centros!$H$2:$H$45,MATCH(TRIM(Tabla1[[#This Row],[SOCIEDAD]])&amp;"|"&amp;TRIM(Tabla1[[#This Row],[LOCALIDAD]]),centros!$G$2:$G$45,0)),"REVISAR")</f>
        <v>VA01</v>
      </c>
      <c r="F160" s="2" t="s">
        <v>98</v>
      </c>
      <c r="G160" s="2" t="str">
        <f>_xlfn.XLOOKUP(Tabla1[[#This Row],[MARCA]],MARCAS!E:E,MARCAS!F:F)</f>
        <v>080</v>
      </c>
      <c r="H160" s="2" t="str">
        <f>_xlfn.XLOOKUP(Tabla1[[#This Row],[MARCA]],MARCAS!C:C,MARCAS!A:A)</f>
        <v>F0028</v>
      </c>
      <c r="I160" s="38" t="s">
        <v>590</v>
      </c>
      <c r="J160" s="37" t="s">
        <v>591</v>
      </c>
      <c r="K160" s="2" t="s">
        <v>592</v>
      </c>
    </row>
    <row r="161" spans="1:11" hidden="1" x14ac:dyDescent="0.25">
      <c r="A161" s="2" t="s">
        <v>9</v>
      </c>
      <c r="B161" s="2" t="str">
        <f>_xlfn.XLOOKUP(Tabla1[[#This Row],[SOCIEDAD]],centros!D:D,centros!E:E)</f>
        <v>VA00</v>
      </c>
      <c r="C161" s="2" t="s">
        <v>263</v>
      </c>
      <c r="D161" s="2" t="s">
        <v>13</v>
      </c>
      <c r="E161" s="2" t="str">
        <f>IFERROR(INDEX(centros!$H$2:$H$45,MATCH(TRIM(Tabla1[[#This Row],[SOCIEDAD]])&amp;"|"&amp;TRIM(Tabla1[[#This Row],[LOCALIDAD]]),centros!$G$2:$G$45,0)),"REVISAR")</f>
        <v>VA01</v>
      </c>
      <c r="F161" s="2" t="s">
        <v>26</v>
      </c>
      <c r="G161" s="2" t="str">
        <f>_xlfn.XLOOKUP(Tabla1[[#This Row],[MARCA]],MARCAS!E:E,MARCAS!F:F)</f>
        <v>110</v>
      </c>
      <c r="H161" s="2" t="str">
        <f>_xlfn.XLOOKUP(Tabla1[[#This Row],[MARCA]],MARCAS!C:C,MARCAS!A:A)</f>
        <v>F0006</v>
      </c>
      <c r="I161" s="38" t="s">
        <v>593</v>
      </c>
      <c r="J161" s="37" t="s">
        <v>594</v>
      </c>
      <c r="K161" s="2" t="s">
        <v>595</v>
      </c>
    </row>
    <row r="162" spans="1:11" hidden="1" x14ac:dyDescent="0.25">
      <c r="A162" s="2" t="s">
        <v>9</v>
      </c>
      <c r="B162" s="2" t="str">
        <f>_xlfn.XLOOKUP(Tabla1[[#This Row],[SOCIEDAD]],centros!D:D,centros!E:E)</f>
        <v>VA00</v>
      </c>
      <c r="C162" s="2" t="s">
        <v>263</v>
      </c>
      <c r="D162" s="2" t="s">
        <v>13</v>
      </c>
      <c r="E162" s="2" t="str">
        <f>IFERROR(INDEX(centros!$H$2:$H$45,MATCH(TRIM(Tabla1[[#This Row],[SOCIEDAD]])&amp;"|"&amp;TRIM(Tabla1[[#This Row],[LOCALIDAD]]),centros!$G$2:$G$45,0)),"REVISAR")</f>
        <v>VA01</v>
      </c>
      <c r="F162" s="2" t="s">
        <v>105</v>
      </c>
      <c r="G162" s="2" t="str">
        <f>_xlfn.XLOOKUP(Tabla1[[#This Row],[MARCA]],MARCAS!E:E,MARCAS!F:F)</f>
        <v>280</v>
      </c>
      <c r="H162" s="2" t="str">
        <f>_xlfn.XLOOKUP(Tabla1[[#This Row],[MARCA]],MARCAS!C:C,MARCAS!A:A)</f>
        <v>F9999</v>
      </c>
      <c r="I162" s="38" t="s">
        <v>596</v>
      </c>
      <c r="J162" s="37" t="s">
        <v>597</v>
      </c>
      <c r="K162" s="2" t="s">
        <v>598</v>
      </c>
    </row>
    <row r="163" spans="1:11" hidden="1" x14ac:dyDescent="0.25">
      <c r="A163" s="2" t="s">
        <v>9</v>
      </c>
      <c r="B163" s="2" t="str">
        <f>_xlfn.XLOOKUP(Tabla1[[#This Row],[SOCIEDAD]],centros!D:D,centros!E:E)</f>
        <v>VA00</v>
      </c>
      <c r="C163" s="2" t="s">
        <v>263</v>
      </c>
      <c r="D163" s="2" t="s">
        <v>13</v>
      </c>
      <c r="E163" s="2" t="str">
        <f>IFERROR(INDEX(centros!$H$2:$H$45,MATCH(TRIM(Tabla1[[#This Row],[SOCIEDAD]])&amp;"|"&amp;TRIM(Tabla1[[#This Row],[LOCALIDAD]]),centros!$G$2:$G$45,0)),"REVISAR")</f>
        <v>VA01</v>
      </c>
      <c r="F163" s="2" t="s">
        <v>84</v>
      </c>
      <c r="G163" s="2" t="str">
        <f>_xlfn.XLOOKUP(Tabla1[[#This Row],[MARCA]],MARCAS!E:E,MARCAS!F:F)</f>
        <v>060</v>
      </c>
      <c r="H163" s="2" t="str">
        <f>_xlfn.XLOOKUP(Tabla1[[#This Row],[MARCA]],MARCAS!C:C,MARCAS!A:A)</f>
        <v>F0022</v>
      </c>
      <c r="I163" s="38" t="s">
        <v>599</v>
      </c>
      <c r="J163" s="37" t="s">
        <v>600</v>
      </c>
      <c r="K163" s="2" t="s">
        <v>601</v>
      </c>
    </row>
    <row r="164" spans="1:11" hidden="1" x14ac:dyDescent="0.25">
      <c r="A164" s="2" t="s">
        <v>9</v>
      </c>
      <c r="B164" s="2" t="str">
        <f>_xlfn.XLOOKUP(Tabla1[[#This Row],[SOCIEDAD]],centros!D:D,centros!E:E)</f>
        <v>VA00</v>
      </c>
      <c r="C164" s="2" t="s">
        <v>263</v>
      </c>
      <c r="D164" s="2" t="s">
        <v>17</v>
      </c>
      <c r="E164" s="2" t="str">
        <f>IFERROR(INDEX(centros!$H$2:$H$45,MATCH(TRIM(Tabla1[[#This Row],[SOCIEDAD]])&amp;"|"&amp;TRIM(Tabla1[[#This Row],[LOCALIDAD]]),centros!$G$2:$G$45,0)),"REVISAR")</f>
        <v>VA03</v>
      </c>
      <c r="F164" s="2" t="s">
        <v>8</v>
      </c>
      <c r="G164" s="2" t="str">
        <f>_xlfn.XLOOKUP(Tabla1[[#This Row],[MARCA]],MARCAS!E:E,MARCAS!F:F)</f>
        <v>060</v>
      </c>
      <c r="H164" s="2" t="str">
        <f>_xlfn.XLOOKUP(Tabla1[[#This Row],[MARCA]],MARCAS!C:C,MARCAS!A:A)</f>
        <v>F0001</v>
      </c>
      <c r="I164" s="38" t="s">
        <v>602</v>
      </c>
      <c r="J164" s="37" t="s">
        <v>603</v>
      </c>
      <c r="K164" s="2" t="s">
        <v>604</v>
      </c>
    </row>
    <row r="165" spans="1:11" hidden="1" x14ac:dyDescent="0.25">
      <c r="A165" s="2" t="s">
        <v>9</v>
      </c>
      <c r="B165" s="2" t="str">
        <f>_xlfn.XLOOKUP(Tabla1[[#This Row],[SOCIEDAD]],centros!D:D,centros!E:E)</f>
        <v>VA00</v>
      </c>
      <c r="C165" s="2" t="s">
        <v>263</v>
      </c>
      <c r="D165" s="2" t="s">
        <v>17</v>
      </c>
      <c r="E165" s="2" t="str">
        <f>IFERROR(INDEX(centros!$H$2:$H$45,MATCH(TRIM(Tabla1[[#This Row],[SOCIEDAD]])&amp;"|"&amp;TRIM(Tabla1[[#This Row],[LOCALIDAD]]),centros!$G$2:$G$45,0)),"REVISAR")</f>
        <v>VA03</v>
      </c>
      <c r="F165" s="2" t="s">
        <v>98</v>
      </c>
      <c r="G165" s="2" t="str">
        <f>_xlfn.XLOOKUP(Tabla1[[#This Row],[MARCA]],MARCAS!E:E,MARCAS!F:F)</f>
        <v>080</v>
      </c>
      <c r="H165" s="2" t="str">
        <f>_xlfn.XLOOKUP(Tabla1[[#This Row],[MARCA]],MARCAS!C:C,MARCAS!A:A)</f>
        <v>F0028</v>
      </c>
      <c r="I165" s="38" t="s">
        <v>605</v>
      </c>
      <c r="J165" s="37" t="s">
        <v>606</v>
      </c>
      <c r="K165" s="2" t="s">
        <v>607</v>
      </c>
    </row>
    <row r="166" spans="1:11" hidden="1" x14ac:dyDescent="0.25">
      <c r="A166" s="2" t="s">
        <v>9</v>
      </c>
      <c r="B166" s="2" t="str">
        <f>_xlfn.XLOOKUP(Tabla1[[#This Row],[SOCIEDAD]],centros!D:D,centros!E:E)</f>
        <v>VA00</v>
      </c>
      <c r="C166" s="2" t="s">
        <v>263</v>
      </c>
      <c r="D166" s="2" t="s">
        <v>17</v>
      </c>
      <c r="E166" s="2" t="str">
        <f>IFERROR(INDEX(centros!$H$2:$H$45,MATCH(TRIM(Tabla1[[#This Row],[SOCIEDAD]])&amp;"|"&amp;TRIM(Tabla1[[#This Row],[LOCALIDAD]]),centros!$G$2:$G$45,0)),"REVISAR")</f>
        <v>VA03</v>
      </c>
      <c r="F166" s="2" t="s">
        <v>26</v>
      </c>
      <c r="G166" s="2" t="str">
        <f>_xlfn.XLOOKUP(Tabla1[[#This Row],[MARCA]],MARCAS!E:E,MARCAS!F:F)</f>
        <v>110</v>
      </c>
      <c r="H166" s="2" t="str">
        <f>_xlfn.XLOOKUP(Tabla1[[#This Row],[MARCA]],MARCAS!C:C,MARCAS!A:A)</f>
        <v>F0006</v>
      </c>
      <c r="I166" s="38" t="s">
        <v>608</v>
      </c>
      <c r="J166" s="37" t="s">
        <v>609</v>
      </c>
      <c r="K166" s="2" t="s">
        <v>610</v>
      </c>
    </row>
    <row r="167" spans="1:11" hidden="1" x14ac:dyDescent="0.25">
      <c r="A167" s="2" t="s">
        <v>9</v>
      </c>
      <c r="B167" s="2" t="str">
        <f>_xlfn.XLOOKUP(Tabla1[[#This Row],[SOCIEDAD]],centros!D:D,centros!E:E)</f>
        <v>VA00</v>
      </c>
      <c r="C167" s="2" t="s">
        <v>263</v>
      </c>
      <c r="D167" s="2" t="s">
        <v>17</v>
      </c>
      <c r="E167" s="2" t="str">
        <f>IFERROR(INDEX(centros!$H$2:$H$45,MATCH(TRIM(Tabla1[[#This Row],[SOCIEDAD]])&amp;"|"&amp;TRIM(Tabla1[[#This Row],[LOCALIDAD]]),centros!$G$2:$G$45,0)),"REVISAR")</f>
        <v>VA03</v>
      </c>
      <c r="F167" s="2" t="s">
        <v>105</v>
      </c>
      <c r="G167" s="2" t="str">
        <f>_xlfn.XLOOKUP(Tabla1[[#This Row],[MARCA]],MARCAS!E:E,MARCAS!F:F)</f>
        <v>280</v>
      </c>
      <c r="H167" s="2" t="str">
        <f>_xlfn.XLOOKUP(Tabla1[[#This Row],[MARCA]],MARCAS!C:C,MARCAS!A:A)</f>
        <v>F9999</v>
      </c>
      <c r="I167" s="38" t="s">
        <v>611</v>
      </c>
      <c r="J167" s="37" t="s">
        <v>612</v>
      </c>
      <c r="K167" s="2" t="s">
        <v>613</v>
      </c>
    </row>
    <row r="168" spans="1:11" hidden="1" x14ac:dyDescent="0.25">
      <c r="A168" s="2" t="s">
        <v>9</v>
      </c>
      <c r="B168" s="2" t="str">
        <f>_xlfn.XLOOKUP(Tabla1[[#This Row],[SOCIEDAD]],centros!D:D,centros!E:E)</f>
        <v>VA00</v>
      </c>
      <c r="C168" s="2" t="s">
        <v>263</v>
      </c>
      <c r="D168" s="2" t="s">
        <v>17</v>
      </c>
      <c r="E168" s="2" t="str">
        <f>IFERROR(INDEX(centros!$H$2:$H$45,MATCH(TRIM(Tabla1[[#This Row],[SOCIEDAD]])&amp;"|"&amp;TRIM(Tabla1[[#This Row],[LOCALIDAD]]),centros!$G$2:$G$45,0)),"REVISAR")</f>
        <v>VA03</v>
      </c>
      <c r="F168" s="2" t="s">
        <v>84</v>
      </c>
      <c r="G168" s="2" t="str">
        <f>_xlfn.XLOOKUP(Tabla1[[#This Row],[MARCA]],MARCAS!E:E,MARCAS!F:F)</f>
        <v>060</v>
      </c>
      <c r="H168" s="2" t="str">
        <f>_xlfn.XLOOKUP(Tabla1[[#This Row],[MARCA]],MARCAS!C:C,MARCAS!A:A)</f>
        <v>F0022</v>
      </c>
      <c r="I168" s="38" t="s">
        <v>614</v>
      </c>
      <c r="J168" s="37" t="s">
        <v>615</v>
      </c>
      <c r="K168" s="2" t="s">
        <v>616</v>
      </c>
    </row>
    <row r="169" spans="1:11" hidden="1" x14ac:dyDescent="0.25">
      <c r="A169" s="2" t="s">
        <v>9</v>
      </c>
      <c r="B169" s="2" t="str">
        <f>_xlfn.XLOOKUP(Tabla1[[#This Row],[SOCIEDAD]],centros!D:D,centros!E:E)</f>
        <v>VA00</v>
      </c>
      <c r="C169" s="2" t="s">
        <v>263</v>
      </c>
      <c r="D169" s="2" t="s">
        <v>23</v>
      </c>
      <c r="E169" s="2" t="str">
        <f>IFERROR(INDEX(centros!$H$2:$H$45,MATCH(TRIM(Tabla1[[#This Row],[SOCIEDAD]])&amp;"|"&amp;TRIM(Tabla1[[#This Row],[LOCALIDAD]]),centros!$G$2:$G$45,0)),"REVISAR")</f>
        <v>VA06</v>
      </c>
      <c r="F169" s="2" t="s">
        <v>8</v>
      </c>
      <c r="G169" s="2" t="str">
        <f>_xlfn.XLOOKUP(Tabla1[[#This Row],[MARCA]],MARCAS!E:E,MARCAS!F:F)</f>
        <v>060</v>
      </c>
      <c r="H169" s="2" t="str">
        <f>_xlfn.XLOOKUP(Tabla1[[#This Row],[MARCA]],MARCAS!C:C,MARCAS!A:A)</f>
        <v>F0001</v>
      </c>
      <c r="I169" s="38" t="s">
        <v>617</v>
      </c>
      <c r="J169" s="37" t="s">
        <v>618</v>
      </c>
      <c r="K169" s="2" t="s">
        <v>619</v>
      </c>
    </row>
    <row r="170" spans="1:11" hidden="1" x14ac:dyDescent="0.25">
      <c r="A170" s="2" t="s">
        <v>9</v>
      </c>
      <c r="B170" s="2" t="str">
        <f>_xlfn.XLOOKUP(Tabla1[[#This Row],[SOCIEDAD]],centros!D:D,centros!E:E)</f>
        <v>VA00</v>
      </c>
      <c r="C170" s="2" t="s">
        <v>263</v>
      </c>
      <c r="D170" s="2" t="s">
        <v>23</v>
      </c>
      <c r="E170" s="2" t="str">
        <f>IFERROR(INDEX(centros!$H$2:$H$45,MATCH(TRIM(Tabla1[[#This Row],[SOCIEDAD]])&amp;"|"&amp;TRIM(Tabla1[[#This Row],[LOCALIDAD]]),centros!$G$2:$G$45,0)),"REVISAR")</f>
        <v>VA06</v>
      </c>
      <c r="F170" s="2" t="s">
        <v>98</v>
      </c>
      <c r="G170" s="2" t="str">
        <f>_xlfn.XLOOKUP(Tabla1[[#This Row],[MARCA]],MARCAS!E:E,MARCAS!F:F)</f>
        <v>080</v>
      </c>
      <c r="H170" s="2" t="str">
        <f>_xlfn.XLOOKUP(Tabla1[[#This Row],[MARCA]],MARCAS!C:C,MARCAS!A:A)</f>
        <v>F0028</v>
      </c>
      <c r="I170" s="38" t="s">
        <v>620</v>
      </c>
      <c r="J170" s="37" t="s">
        <v>621</v>
      </c>
      <c r="K170" s="2" t="s">
        <v>622</v>
      </c>
    </row>
    <row r="171" spans="1:11" hidden="1" x14ac:dyDescent="0.25">
      <c r="A171" s="2" t="s">
        <v>9</v>
      </c>
      <c r="B171" s="2" t="str">
        <f>_xlfn.XLOOKUP(Tabla1[[#This Row],[SOCIEDAD]],centros!D:D,centros!E:E)</f>
        <v>VA00</v>
      </c>
      <c r="C171" s="2" t="s">
        <v>263</v>
      </c>
      <c r="D171" s="2" t="s">
        <v>23</v>
      </c>
      <c r="E171" s="2" t="str">
        <f>IFERROR(INDEX(centros!$H$2:$H$45,MATCH(TRIM(Tabla1[[#This Row],[SOCIEDAD]])&amp;"|"&amp;TRIM(Tabla1[[#This Row],[LOCALIDAD]]),centros!$G$2:$G$45,0)),"REVISAR")</f>
        <v>VA06</v>
      </c>
      <c r="F171" s="2" t="s">
        <v>26</v>
      </c>
      <c r="G171" s="2" t="str">
        <f>_xlfn.XLOOKUP(Tabla1[[#This Row],[MARCA]],MARCAS!E:E,MARCAS!F:F)</f>
        <v>110</v>
      </c>
      <c r="H171" s="2" t="str">
        <f>_xlfn.XLOOKUP(Tabla1[[#This Row],[MARCA]],MARCAS!C:C,MARCAS!A:A)</f>
        <v>F0006</v>
      </c>
      <c r="I171" s="38" t="s">
        <v>623</v>
      </c>
      <c r="J171" s="37" t="s">
        <v>624</v>
      </c>
      <c r="K171" s="2" t="s">
        <v>625</v>
      </c>
    </row>
    <row r="172" spans="1:11" hidden="1" x14ac:dyDescent="0.25">
      <c r="A172" s="2" t="s">
        <v>9</v>
      </c>
      <c r="B172" s="2" t="str">
        <f>_xlfn.XLOOKUP(Tabla1[[#This Row],[SOCIEDAD]],centros!D:D,centros!E:E)</f>
        <v>VA00</v>
      </c>
      <c r="C172" s="2" t="s">
        <v>263</v>
      </c>
      <c r="D172" s="2" t="s">
        <v>23</v>
      </c>
      <c r="E172" s="2" t="str">
        <f>IFERROR(INDEX(centros!$H$2:$H$45,MATCH(TRIM(Tabla1[[#This Row],[SOCIEDAD]])&amp;"|"&amp;TRIM(Tabla1[[#This Row],[LOCALIDAD]]),centros!$G$2:$G$45,0)),"REVISAR")</f>
        <v>VA06</v>
      </c>
      <c r="F172" s="2" t="s">
        <v>105</v>
      </c>
      <c r="G172" s="2" t="str">
        <f>_xlfn.XLOOKUP(Tabla1[[#This Row],[MARCA]],MARCAS!E:E,MARCAS!F:F)</f>
        <v>280</v>
      </c>
      <c r="H172" s="2" t="str">
        <f>_xlfn.XLOOKUP(Tabla1[[#This Row],[MARCA]],MARCAS!C:C,MARCAS!A:A)</f>
        <v>F9999</v>
      </c>
      <c r="I172" s="38" t="s">
        <v>626</v>
      </c>
      <c r="J172" s="37" t="s">
        <v>627</v>
      </c>
      <c r="K172" s="2" t="s">
        <v>628</v>
      </c>
    </row>
    <row r="173" spans="1:11" hidden="1" x14ac:dyDescent="0.25">
      <c r="A173" s="2" t="s">
        <v>9</v>
      </c>
      <c r="B173" s="2" t="str">
        <f>_xlfn.XLOOKUP(Tabla1[[#This Row],[SOCIEDAD]],centros!D:D,centros!E:E)</f>
        <v>VA00</v>
      </c>
      <c r="C173" s="2" t="s">
        <v>263</v>
      </c>
      <c r="D173" s="2" t="s">
        <v>23</v>
      </c>
      <c r="E173" s="2" t="str">
        <f>IFERROR(INDEX(centros!$H$2:$H$45,MATCH(TRIM(Tabla1[[#This Row],[SOCIEDAD]])&amp;"|"&amp;TRIM(Tabla1[[#This Row],[LOCALIDAD]]),centros!$G$2:$G$45,0)),"REVISAR")</f>
        <v>VA06</v>
      </c>
      <c r="F173" s="2" t="s">
        <v>84</v>
      </c>
      <c r="G173" s="2" t="str">
        <f>_xlfn.XLOOKUP(Tabla1[[#This Row],[MARCA]],MARCAS!E:E,MARCAS!F:F)</f>
        <v>060</v>
      </c>
      <c r="H173" s="2" t="str">
        <f>_xlfn.XLOOKUP(Tabla1[[#This Row],[MARCA]],MARCAS!C:C,MARCAS!A:A)</f>
        <v>F0022</v>
      </c>
      <c r="I173" s="38" t="s">
        <v>629</v>
      </c>
      <c r="J173" s="37" t="s">
        <v>630</v>
      </c>
      <c r="K173" s="2" t="s">
        <v>631</v>
      </c>
    </row>
    <row r="174" spans="1:11" hidden="1" x14ac:dyDescent="0.25">
      <c r="A174" s="2" t="s">
        <v>9</v>
      </c>
      <c r="B174" s="2" t="str">
        <f>_xlfn.XLOOKUP(Tabla1[[#This Row],[SOCIEDAD]],centros!D:D,centros!E:E)</f>
        <v>VA00</v>
      </c>
      <c r="C174" s="2" t="s">
        <v>263</v>
      </c>
      <c r="D174" s="2" t="s">
        <v>11</v>
      </c>
      <c r="E174" s="2" t="str">
        <f>IFERROR(INDEX(centros!$H$2:$H$45,MATCH(TRIM(Tabla1[[#This Row],[SOCIEDAD]])&amp;"|"&amp;TRIM(Tabla1[[#This Row],[LOCALIDAD]]),centros!$G$2:$G$45,0)),"REVISAR")</f>
        <v>VA00</v>
      </c>
      <c r="F174" s="2" t="s">
        <v>8</v>
      </c>
      <c r="G174" s="2" t="str">
        <f>_xlfn.XLOOKUP(Tabla1[[#This Row],[MARCA]],MARCAS!E:E,MARCAS!F:F)</f>
        <v>060</v>
      </c>
      <c r="H174" s="2" t="str">
        <f>_xlfn.XLOOKUP(Tabla1[[#This Row],[MARCA]],MARCAS!C:C,MARCAS!A:A)</f>
        <v>F0001</v>
      </c>
      <c r="I174" s="38" t="s">
        <v>632</v>
      </c>
      <c r="J174" s="37" t="s">
        <v>633</v>
      </c>
      <c r="K174" s="2" t="s">
        <v>634</v>
      </c>
    </row>
    <row r="175" spans="1:11" hidden="1" x14ac:dyDescent="0.25">
      <c r="A175" s="2" t="s">
        <v>9</v>
      </c>
      <c r="B175" s="2" t="str">
        <f>_xlfn.XLOOKUP(Tabla1[[#This Row],[SOCIEDAD]],centros!D:D,centros!E:E)</f>
        <v>VA00</v>
      </c>
      <c r="C175" s="2" t="s">
        <v>263</v>
      </c>
      <c r="D175" s="2" t="s">
        <v>11</v>
      </c>
      <c r="E175" s="2" t="str">
        <f>IFERROR(INDEX(centros!$H$2:$H$45,MATCH(TRIM(Tabla1[[#This Row],[SOCIEDAD]])&amp;"|"&amp;TRIM(Tabla1[[#This Row],[LOCALIDAD]]),centros!$G$2:$G$45,0)),"REVISAR")</f>
        <v>VA00</v>
      </c>
      <c r="F175" s="2" t="s">
        <v>98</v>
      </c>
      <c r="G175" s="2" t="str">
        <f>_xlfn.XLOOKUP(Tabla1[[#This Row],[MARCA]],MARCAS!E:E,MARCAS!F:F)</f>
        <v>080</v>
      </c>
      <c r="H175" s="2" t="str">
        <f>_xlfn.XLOOKUP(Tabla1[[#This Row],[MARCA]],MARCAS!C:C,MARCAS!A:A)</f>
        <v>F0028</v>
      </c>
      <c r="I175" s="38" t="s">
        <v>635</v>
      </c>
      <c r="J175" s="37" t="s">
        <v>274</v>
      </c>
      <c r="K175" s="2" t="s">
        <v>275</v>
      </c>
    </row>
    <row r="176" spans="1:11" hidden="1" x14ac:dyDescent="0.25">
      <c r="A176" s="2" t="s">
        <v>9</v>
      </c>
      <c r="B176" s="2" t="str">
        <f>_xlfn.XLOOKUP(Tabla1[[#This Row],[SOCIEDAD]],centros!D:D,centros!E:E)</f>
        <v>VA00</v>
      </c>
      <c r="C176" s="2" t="s">
        <v>263</v>
      </c>
      <c r="D176" s="2" t="s">
        <v>11</v>
      </c>
      <c r="E176" s="2" t="str">
        <f>IFERROR(INDEX(centros!$H$2:$H$45,MATCH(TRIM(Tabla1[[#This Row],[SOCIEDAD]])&amp;"|"&amp;TRIM(Tabla1[[#This Row],[LOCALIDAD]]),centros!$G$2:$G$45,0)),"REVISAR")</f>
        <v>VA00</v>
      </c>
      <c r="F176" s="2" t="s">
        <v>26</v>
      </c>
      <c r="G176" s="2" t="str">
        <f>_xlfn.XLOOKUP(Tabla1[[#This Row],[MARCA]],MARCAS!E:E,MARCAS!F:F)</f>
        <v>110</v>
      </c>
      <c r="H176" s="2" t="str">
        <f>_xlfn.XLOOKUP(Tabla1[[#This Row],[MARCA]],MARCAS!C:C,MARCAS!A:A)</f>
        <v>F0006</v>
      </c>
      <c r="I176" s="38" t="s">
        <v>636</v>
      </c>
      <c r="J176" s="37" t="s">
        <v>637</v>
      </c>
      <c r="K176" s="2" t="s">
        <v>638</v>
      </c>
    </row>
    <row r="177" spans="1:11" hidden="1" x14ac:dyDescent="0.25">
      <c r="A177" s="2" t="s">
        <v>9</v>
      </c>
      <c r="B177" s="2" t="str">
        <f>_xlfn.XLOOKUP(Tabla1[[#This Row],[SOCIEDAD]],centros!D:D,centros!E:E)</f>
        <v>VA00</v>
      </c>
      <c r="C177" s="2" t="s">
        <v>263</v>
      </c>
      <c r="D177" s="2" t="s">
        <v>11</v>
      </c>
      <c r="E177" s="2" t="str">
        <f>IFERROR(INDEX(centros!$H$2:$H$45,MATCH(TRIM(Tabla1[[#This Row],[SOCIEDAD]])&amp;"|"&amp;TRIM(Tabla1[[#This Row],[LOCALIDAD]]),centros!$G$2:$G$45,0)),"REVISAR")</f>
        <v>VA00</v>
      </c>
      <c r="F177" s="2" t="s">
        <v>105</v>
      </c>
      <c r="G177" s="2" t="str">
        <f>_xlfn.XLOOKUP(Tabla1[[#This Row],[MARCA]],MARCAS!E:E,MARCAS!F:F)</f>
        <v>280</v>
      </c>
      <c r="H177" s="2" t="str">
        <f>_xlfn.XLOOKUP(Tabla1[[#This Row],[MARCA]],MARCAS!C:C,MARCAS!A:A)</f>
        <v>F9999</v>
      </c>
      <c r="I177" s="38" t="s">
        <v>639</v>
      </c>
      <c r="J177" s="37" t="s">
        <v>295</v>
      </c>
      <c r="K177" s="2" t="s">
        <v>296</v>
      </c>
    </row>
    <row r="178" spans="1:11" hidden="1" x14ac:dyDescent="0.25">
      <c r="A178" s="2" t="s">
        <v>9</v>
      </c>
      <c r="B178" s="2" t="str">
        <f>_xlfn.XLOOKUP(Tabla1[[#This Row],[SOCIEDAD]],centros!D:D,centros!E:E)</f>
        <v>VA00</v>
      </c>
      <c r="C178" s="2" t="s">
        <v>263</v>
      </c>
      <c r="D178" s="2" t="s">
        <v>11</v>
      </c>
      <c r="E178" s="2" t="str">
        <f>IFERROR(INDEX(centros!$H$2:$H$45,MATCH(TRIM(Tabla1[[#This Row],[SOCIEDAD]])&amp;"|"&amp;TRIM(Tabla1[[#This Row],[LOCALIDAD]]),centros!$G$2:$G$45,0)),"REVISAR")</f>
        <v>VA00</v>
      </c>
      <c r="F178" s="2" t="s">
        <v>84</v>
      </c>
      <c r="G178" s="2" t="str">
        <f>_xlfn.XLOOKUP(Tabla1[[#This Row],[MARCA]],MARCAS!E:E,MARCAS!F:F)</f>
        <v>060</v>
      </c>
      <c r="H178" s="2" t="str">
        <f>_xlfn.XLOOKUP(Tabla1[[#This Row],[MARCA]],MARCAS!C:C,MARCAS!A:A)</f>
        <v>F0022</v>
      </c>
      <c r="I178" s="38" t="s">
        <v>640</v>
      </c>
      <c r="J178" s="37" t="s">
        <v>271</v>
      </c>
      <c r="K178" s="2" t="s">
        <v>272</v>
      </c>
    </row>
    <row r="179" spans="1:11" hidden="1" x14ac:dyDescent="0.25">
      <c r="A179" s="2" t="s">
        <v>9</v>
      </c>
      <c r="B179" s="2" t="str">
        <f>_xlfn.XLOOKUP(Tabla1[[#This Row],[SOCIEDAD]],centros!D:D,centros!E:E)</f>
        <v>VA00</v>
      </c>
      <c r="C179" s="2" t="s">
        <v>263</v>
      </c>
      <c r="D179" s="2" t="s">
        <v>19</v>
      </c>
      <c r="E179" s="2" t="str">
        <f>IFERROR(INDEX(centros!$H$2:$H$45,MATCH(TRIM(Tabla1[[#This Row],[SOCIEDAD]])&amp;"|"&amp;TRIM(Tabla1[[#This Row],[LOCALIDAD]]),centros!$G$2:$G$45,0)),"REVISAR")</f>
        <v>VA04</v>
      </c>
      <c r="F179" s="2" t="s">
        <v>8</v>
      </c>
      <c r="G179" s="2" t="str">
        <f>_xlfn.XLOOKUP(Tabla1[[#This Row],[MARCA]],MARCAS!E:E,MARCAS!F:F)</f>
        <v>060</v>
      </c>
      <c r="H179" s="2" t="str">
        <f>_xlfn.XLOOKUP(Tabla1[[#This Row],[MARCA]],MARCAS!C:C,MARCAS!A:A)</f>
        <v>F0001</v>
      </c>
      <c r="I179" s="38" t="s">
        <v>641</v>
      </c>
      <c r="J179" s="37" t="s">
        <v>642</v>
      </c>
      <c r="K179" s="2" t="s">
        <v>643</v>
      </c>
    </row>
    <row r="180" spans="1:11" hidden="1" x14ac:dyDescent="0.25">
      <c r="A180" s="2" t="s">
        <v>9</v>
      </c>
      <c r="B180" s="2" t="str">
        <f>_xlfn.XLOOKUP(Tabla1[[#This Row],[SOCIEDAD]],centros!D:D,centros!E:E)</f>
        <v>VA00</v>
      </c>
      <c r="C180" s="2" t="s">
        <v>263</v>
      </c>
      <c r="D180" s="2" t="s">
        <v>19</v>
      </c>
      <c r="E180" s="2" t="str">
        <f>IFERROR(INDEX(centros!$H$2:$H$45,MATCH(TRIM(Tabla1[[#This Row],[SOCIEDAD]])&amp;"|"&amp;TRIM(Tabla1[[#This Row],[LOCALIDAD]]),centros!$G$2:$G$45,0)),"REVISAR")</f>
        <v>VA04</v>
      </c>
      <c r="F180" s="2" t="s">
        <v>98</v>
      </c>
      <c r="G180" s="2" t="str">
        <f>_xlfn.XLOOKUP(Tabla1[[#This Row],[MARCA]],MARCAS!E:E,MARCAS!F:F)</f>
        <v>080</v>
      </c>
      <c r="H180" s="2" t="str">
        <f>_xlfn.XLOOKUP(Tabla1[[#This Row],[MARCA]],MARCAS!C:C,MARCAS!A:A)</f>
        <v>F0028</v>
      </c>
      <c r="I180" s="38" t="s">
        <v>644</v>
      </c>
      <c r="J180" s="37" t="s">
        <v>645</v>
      </c>
      <c r="K180" s="2" t="s">
        <v>646</v>
      </c>
    </row>
    <row r="181" spans="1:11" hidden="1" x14ac:dyDescent="0.25">
      <c r="A181" s="2" t="s">
        <v>9</v>
      </c>
      <c r="B181" s="2" t="str">
        <f>_xlfn.XLOOKUP(Tabla1[[#This Row],[SOCIEDAD]],centros!D:D,centros!E:E)</f>
        <v>VA00</v>
      </c>
      <c r="C181" s="2" t="s">
        <v>263</v>
      </c>
      <c r="D181" s="2" t="s">
        <v>19</v>
      </c>
      <c r="E181" s="2" t="str">
        <f>IFERROR(INDEX(centros!$H$2:$H$45,MATCH(TRIM(Tabla1[[#This Row],[SOCIEDAD]])&amp;"|"&amp;TRIM(Tabla1[[#This Row],[LOCALIDAD]]),centros!$G$2:$G$45,0)),"REVISAR")</f>
        <v>VA04</v>
      </c>
      <c r="F181" s="2" t="s">
        <v>26</v>
      </c>
      <c r="G181" s="2" t="str">
        <f>_xlfn.XLOOKUP(Tabla1[[#This Row],[MARCA]],MARCAS!E:E,MARCAS!F:F)</f>
        <v>110</v>
      </c>
      <c r="H181" s="2" t="str">
        <f>_xlfn.XLOOKUP(Tabla1[[#This Row],[MARCA]],MARCAS!C:C,MARCAS!A:A)</f>
        <v>F0006</v>
      </c>
      <c r="I181" s="38" t="s">
        <v>647</v>
      </c>
      <c r="J181" s="37" t="s">
        <v>648</v>
      </c>
      <c r="K181" s="2" t="s">
        <v>649</v>
      </c>
    </row>
    <row r="182" spans="1:11" hidden="1" x14ac:dyDescent="0.25">
      <c r="A182" s="2" t="s">
        <v>9</v>
      </c>
      <c r="B182" s="2" t="str">
        <f>_xlfn.XLOOKUP(Tabla1[[#This Row],[SOCIEDAD]],centros!D:D,centros!E:E)</f>
        <v>VA00</v>
      </c>
      <c r="C182" s="2" t="s">
        <v>263</v>
      </c>
      <c r="D182" s="2" t="s">
        <v>19</v>
      </c>
      <c r="E182" s="2" t="str">
        <f>IFERROR(INDEX(centros!$H$2:$H$45,MATCH(TRIM(Tabla1[[#This Row],[SOCIEDAD]])&amp;"|"&amp;TRIM(Tabla1[[#This Row],[LOCALIDAD]]),centros!$G$2:$G$45,0)),"REVISAR")</f>
        <v>VA04</v>
      </c>
      <c r="F182" s="2" t="s">
        <v>105</v>
      </c>
      <c r="G182" s="2" t="str">
        <f>_xlfn.XLOOKUP(Tabla1[[#This Row],[MARCA]],MARCAS!E:E,MARCAS!F:F)</f>
        <v>280</v>
      </c>
      <c r="H182" s="2" t="str">
        <f>_xlfn.XLOOKUP(Tabla1[[#This Row],[MARCA]],MARCAS!C:C,MARCAS!A:A)</f>
        <v>F9999</v>
      </c>
      <c r="I182" s="38" t="s">
        <v>650</v>
      </c>
      <c r="J182" s="37" t="s">
        <v>651</v>
      </c>
      <c r="K182" s="2" t="s">
        <v>652</v>
      </c>
    </row>
    <row r="183" spans="1:11" hidden="1" x14ac:dyDescent="0.25">
      <c r="A183" s="2" t="s">
        <v>9</v>
      </c>
      <c r="B183" s="2" t="str">
        <f>_xlfn.XLOOKUP(Tabla1[[#This Row],[SOCIEDAD]],centros!D:D,centros!E:E)</f>
        <v>VA00</v>
      </c>
      <c r="C183" s="2" t="s">
        <v>263</v>
      </c>
      <c r="D183" s="2" t="s">
        <v>19</v>
      </c>
      <c r="E183" s="2" t="str">
        <f>IFERROR(INDEX(centros!$H$2:$H$45,MATCH(TRIM(Tabla1[[#This Row],[SOCIEDAD]])&amp;"|"&amp;TRIM(Tabla1[[#This Row],[LOCALIDAD]]),centros!$G$2:$G$45,0)),"REVISAR")</f>
        <v>VA04</v>
      </c>
      <c r="F183" s="2" t="s">
        <v>84</v>
      </c>
      <c r="G183" s="2" t="str">
        <f>_xlfn.XLOOKUP(Tabla1[[#This Row],[MARCA]],MARCAS!E:E,MARCAS!F:F)</f>
        <v>060</v>
      </c>
      <c r="H183" s="2" t="str">
        <f>_xlfn.XLOOKUP(Tabla1[[#This Row],[MARCA]],MARCAS!C:C,MARCAS!A:A)</f>
        <v>F0022</v>
      </c>
      <c r="I183" s="38" t="s">
        <v>653</v>
      </c>
      <c r="J183" s="37" t="s">
        <v>654</v>
      </c>
      <c r="K183" s="2" t="s">
        <v>655</v>
      </c>
    </row>
    <row r="184" spans="1:11" hidden="1" x14ac:dyDescent="0.25">
      <c r="A184" s="2" t="s">
        <v>9</v>
      </c>
      <c r="B184" s="2" t="str">
        <f>_xlfn.XLOOKUP(Tabla1[[#This Row],[SOCIEDAD]],centros!D:D,centros!E:E)</f>
        <v>VA00</v>
      </c>
      <c r="C184" s="2" t="s">
        <v>263</v>
      </c>
      <c r="D184" s="2" t="s">
        <v>21</v>
      </c>
      <c r="E184" s="2" t="str">
        <f>IFERROR(INDEX(centros!$H$2:$H$45,MATCH(TRIM(Tabla1[[#This Row],[SOCIEDAD]])&amp;"|"&amp;TRIM(Tabla1[[#This Row],[LOCALIDAD]]),centros!$G$2:$G$45,0)),"REVISAR")</f>
        <v>VA05</v>
      </c>
      <c r="F184" s="2" t="s">
        <v>8</v>
      </c>
      <c r="G184" s="2" t="str">
        <f>_xlfn.XLOOKUP(Tabla1[[#This Row],[MARCA]],MARCAS!E:E,MARCAS!F:F)</f>
        <v>060</v>
      </c>
      <c r="H184" s="2" t="str">
        <f>_xlfn.XLOOKUP(Tabla1[[#This Row],[MARCA]],MARCAS!C:C,MARCAS!A:A)</f>
        <v>F0001</v>
      </c>
      <c r="I184" s="38" t="s">
        <v>656</v>
      </c>
      <c r="J184" s="37" t="s">
        <v>657</v>
      </c>
      <c r="K184" s="2" t="s">
        <v>658</v>
      </c>
    </row>
    <row r="185" spans="1:11" hidden="1" x14ac:dyDescent="0.25">
      <c r="A185" s="2" t="s">
        <v>9</v>
      </c>
      <c r="B185" s="2" t="str">
        <f>_xlfn.XLOOKUP(Tabla1[[#This Row],[SOCIEDAD]],centros!D:D,centros!E:E)</f>
        <v>VA00</v>
      </c>
      <c r="C185" s="2" t="s">
        <v>263</v>
      </c>
      <c r="D185" s="2" t="s">
        <v>21</v>
      </c>
      <c r="E185" s="2" t="str">
        <f>IFERROR(INDEX(centros!$H$2:$H$45,MATCH(TRIM(Tabla1[[#This Row],[SOCIEDAD]])&amp;"|"&amp;TRIM(Tabla1[[#This Row],[LOCALIDAD]]),centros!$G$2:$G$45,0)),"REVISAR")</f>
        <v>VA05</v>
      </c>
      <c r="F185" s="2" t="s">
        <v>98</v>
      </c>
      <c r="G185" s="2" t="str">
        <f>_xlfn.XLOOKUP(Tabla1[[#This Row],[MARCA]],MARCAS!E:E,MARCAS!F:F)</f>
        <v>080</v>
      </c>
      <c r="H185" s="2" t="str">
        <f>_xlfn.XLOOKUP(Tabla1[[#This Row],[MARCA]],MARCAS!C:C,MARCAS!A:A)</f>
        <v>F0028</v>
      </c>
      <c r="I185" s="38" t="s">
        <v>659</v>
      </c>
      <c r="J185" s="37" t="s">
        <v>660</v>
      </c>
      <c r="K185" s="2" t="s">
        <v>661</v>
      </c>
    </row>
    <row r="186" spans="1:11" hidden="1" x14ac:dyDescent="0.25">
      <c r="A186" s="2" t="s">
        <v>9</v>
      </c>
      <c r="B186" s="2" t="str">
        <f>_xlfn.XLOOKUP(Tabla1[[#This Row],[SOCIEDAD]],centros!D:D,centros!E:E)</f>
        <v>VA00</v>
      </c>
      <c r="C186" s="2" t="s">
        <v>263</v>
      </c>
      <c r="D186" s="2" t="s">
        <v>21</v>
      </c>
      <c r="E186" s="2" t="str">
        <f>IFERROR(INDEX(centros!$H$2:$H$45,MATCH(TRIM(Tabla1[[#This Row],[SOCIEDAD]])&amp;"|"&amp;TRIM(Tabla1[[#This Row],[LOCALIDAD]]),centros!$G$2:$G$45,0)),"REVISAR")</f>
        <v>VA05</v>
      </c>
      <c r="F186" s="2" t="s">
        <v>26</v>
      </c>
      <c r="G186" s="2" t="str">
        <f>_xlfn.XLOOKUP(Tabla1[[#This Row],[MARCA]],MARCAS!E:E,MARCAS!F:F)</f>
        <v>110</v>
      </c>
      <c r="H186" s="2" t="str">
        <f>_xlfn.XLOOKUP(Tabla1[[#This Row],[MARCA]],MARCAS!C:C,MARCAS!A:A)</f>
        <v>F0006</v>
      </c>
      <c r="I186" s="38" t="s">
        <v>662</v>
      </c>
      <c r="J186" s="37" t="s">
        <v>663</v>
      </c>
      <c r="K186" s="2" t="s">
        <v>664</v>
      </c>
    </row>
    <row r="187" spans="1:11" hidden="1" x14ac:dyDescent="0.25">
      <c r="A187" s="2" t="s">
        <v>9</v>
      </c>
      <c r="B187" s="2" t="str">
        <f>_xlfn.XLOOKUP(Tabla1[[#This Row],[SOCIEDAD]],centros!D:D,centros!E:E)</f>
        <v>VA00</v>
      </c>
      <c r="C187" s="2" t="s">
        <v>263</v>
      </c>
      <c r="D187" s="2" t="s">
        <v>21</v>
      </c>
      <c r="E187" s="2" t="str">
        <f>IFERROR(INDEX(centros!$H$2:$H$45,MATCH(TRIM(Tabla1[[#This Row],[SOCIEDAD]])&amp;"|"&amp;TRIM(Tabla1[[#This Row],[LOCALIDAD]]),centros!$G$2:$G$45,0)),"REVISAR")</f>
        <v>VA05</v>
      </c>
      <c r="F187" s="2" t="s">
        <v>105</v>
      </c>
      <c r="G187" s="2" t="str">
        <f>_xlfn.XLOOKUP(Tabla1[[#This Row],[MARCA]],MARCAS!E:E,MARCAS!F:F)</f>
        <v>280</v>
      </c>
      <c r="H187" s="2" t="str">
        <f>_xlfn.XLOOKUP(Tabla1[[#This Row],[MARCA]],MARCAS!C:C,MARCAS!A:A)</f>
        <v>F9999</v>
      </c>
      <c r="I187" s="38" t="s">
        <v>665</v>
      </c>
      <c r="J187" s="37" t="s">
        <v>666</v>
      </c>
      <c r="K187" s="2" t="s">
        <v>667</v>
      </c>
    </row>
    <row r="188" spans="1:11" hidden="1" x14ac:dyDescent="0.25">
      <c r="A188" s="2" t="s">
        <v>9</v>
      </c>
      <c r="B188" s="2" t="str">
        <f>_xlfn.XLOOKUP(Tabla1[[#This Row],[SOCIEDAD]],centros!D:D,centros!E:E)</f>
        <v>VA00</v>
      </c>
      <c r="C188" s="2" t="s">
        <v>263</v>
      </c>
      <c r="D188" s="2" t="s">
        <v>21</v>
      </c>
      <c r="E188" s="2" t="str">
        <f>IFERROR(INDEX(centros!$H$2:$H$45,MATCH(TRIM(Tabla1[[#This Row],[SOCIEDAD]])&amp;"|"&amp;TRIM(Tabla1[[#This Row],[LOCALIDAD]]),centros!$G$2:$G$45,0)),"REVISAR")</f>
        <v>VA05</v>
      </c>
      <c r="F188" s="2" t="s">
        <v>84</v>
      </c>
      <c r="G188" s="2" t="str">
        <f>_xlfn.XLOOKUP(Tabla1[[#This Row],[MARCA]],MARCAS!E:E,MARCAS!F:F)</f>
        <v>060</v>
      </c>
      <c r="H188" s="2" t="str">
        <f>_xlfn.XLOOKUP(Tabla1[[#This Row],[MARCA]],MARCAS!C:C,MARCAS!A:A)</f>
        <v>F0022</v>
      </c>
      <c r="I188" s="38" t="s">
        <v>668</v>
      </c>
      <c r="J188" s="37" t="s">
        <v>669</v>
      </c>
      <c r="K188" s="2" t="s">
        <v>670</v>
      </c>
    </row>
    <row r="189" spans="1:11" hidden="1" x14ac:dyDescent="0.25">
      <c r="A189" s="2" t="s">
        <v>9</v>
      </c>
      <c r="B189" s="2" t="str">
        <f>_xlfn.XLOOKUP(Tabla1[[#This Row],[SOCIEDAD]],centros!D:D,centros!E:E)</f>
        <v>VA00</v>
      </c>
      <c r="C189" s="2" t="s">
        <v>671</v>
      </c>
      <c r="D189" s="2" t="s">
        <v>15</v>
      </c>
      <c r="E189" s="2" t="str">
        <f>IFERROR(INDEX(centros!$H$2:$H$45,MATCH(TRIM(Tabla1[[#This Row],[SOCIEDAD]])&amp;"|"&amp;TRIM(Tabla1[[#This Row],[LOCALIDAD]]),centros!$G$2:$G$45,0)),"REVISAR")</f>
        <v>VA02</v>
      </c>
      <c r="F189" s="2" t="s">
        <v>8</v>
      </c>
      <c r="G189" s="2" t="str">
        <f>_xlfn.XLOOKUP(Tabla1[[#This Row],[MARCA]],MARCAS!E:E,MARCAS!F:F)</f>
        <v>060</v>
      </c>
      <c r="H189" s="2" t="str">
        <f>_xlfn.XLOOKUP(Tabla1[[#This Row],[MARCA]],MARCAS!C:C,MARCAS!A:A)</f>
        <v>F0001</v>
      </c>
      <c r="I189" s="38" t="s">
        <v>672</v>
      </c>
      <c r="J189" s="37" t="s">
        <v>673</v>
      </c>
      <c r="K189" s="2" t="s">
        <v>674</v>
      </c>
    </row>
    <row r="190" spans="1:11" hidden="1" x14ac:dyDescent="0.25">
      <c r="A190" s="2" t="s">
        <v>9</v>
      </c>
      <c r="B190" s="2" t="str">
        <f>_xlfn.XLOOKUP(Tabla1[[#This Row],[SOCIEDAD]],centros!D:D,centros!E:E)</f>
        <v>VA00</v>
      </c>
      <c r="C190" s="2" t="s">
        <v>671</v>
      </c>
      <c r="D190" s="2" t="s">
        <v>15</v>
      </c>
      <c r="E190" s="2" t="str">
        <f>IFERROR(INDEX(centros!$H$2:$H$45,MATCH(TRIM(Tabla1[[#This Row],[SOCIEDAD]])&amp;"|"&amp;TRIM(Tabla1[[#This Row],[LOCALIDAD]]),centros!$G$2:$G$45,0)),"REVISAR")</f>
        <v>VA02</v>
      </c>
      <c r="F190" s="2" t="s">
        <v>98</v>
      </c>
      <c r="G190" s="2" t="str">
        <f>_xlfn.XLOOKUP(Tabla1[[#This Row],[MARCA]],MARCAS!E:E,MARCAS!F:F)</f>
        <v>080</v>
      </c>
      <c r="H190" s="2" t="str">
        <f>_xlfn.XLOOKUP(Tabla1[[#This Row],[MARCA]],MARCAS!C:C,MARCAS!A:A)</f>
        <v>F0028</v>
      </c>
      <c r="I190" s="38" t="s">
        <v>675</v>
      </c>
      <c r="J190" s="37" t="s">
        <v>676</v>
      </c>
      <c r="K190" s="2" t="s">
        <v>677</v>
      </c>
    </row>
    <row r="191" spans="1:11" hidden="1" x14ac:dyDescent="0.25">
      <c r="A191" s="2" t="s">
        <v>9</v>
      </c>
      <c r="B191" s="2" t="str">
        <f>_xlfn.XLOOKUP(Tabla1[[#This Row],[SOCIEDAD]],centros!D:D,centros!E:E)</f>
        <v>VA00</v>
      </c>
      <c r="C191" s="2" t="s">
        <v>671</v>
      </c>
      <c r="D191" s="2" t="s">
        <v>15</v>
      </c>
      <c r="E191" s="2" t="str">
        <f>IFERROR(INDEX(centros!$H$2:$H$45,MATCH(TRIM(Tabla1[[#This Row],[SOCIEDAD]])&amp;"|"&amp;TRIM(Tabla1[[#This Row],[LOCALIDAD]]),centros!$G$2:$G$45,0)),"REVISAR")</f>
        <v>VA02</v>
      </c>
      <c r="F191" s="2" t="s">
        <v>26</v>
      </c>
      <c r="G191" s="2" t="str">
        <f>_xlfn.XLOOKUP(Tabla1[[#This Row],[MARCA]],MARCAS!E:E,MARCAS!F:F)</f>
        <v>110</v>
      </c>
      <c r="H191" s="2" t="str">
        <f>_xlfn.XLOOKUP(Tabla1[[#This Row],[MARCA]],MARCAS!C:C,MARCAS!A:A)</f>
        <v>F0006</v>
      </c>
      <c r="I191" s="38" t="s">
        <v>678</v>
      </c>
      <c r="J191" s="37" t="s">
        <v>679</v>
      </c>
      <c r="K191" s="2" t="s">
        <v>680</v>
      </c>
    </row>
    <row r="192" spans="1:11" hidden="1" x14ac:dyDescent="0.25">
      <c r="A192" s="2" t="s">
        <v>9</v>
      </c>
      <c r="B192" s="2" t="str">
        <f>_xlfn.XLOOKUP(Tabla1[[#This Row],[SOCIEDAD]],centros!D:D,centros!E:E)</f>
        <v>VA00</v>
      </c>
      <c r="C192" s="2" t="s">
        <v>671</v>
      </c>
      <c r="D192" s="2" t="s">
        <v>15</v>
      </c>
      <c r="E192" s="2" t="str">
        <f>IFERROR(INDEX(centros!$H$2:$H$45,MATCH(TRIM(Tabla1[[#This Row],[SOCIEDAD]])&amp;"|"&amp;TRIM(Tabla1[[#This Row],[LOCALIDAD]]),centros!$G$2:$G$45,0)),"REVISAR")</f>
        <v>VA02</v>
      </c>
      <c r="F192" s="2" t="s">
        <v>105</v>
      </c>
      <c r="G192" s="2" t="str">
        <f>_xlfn.XLOOKUP(Tabla1[[#This Row],[MARCA]],MARCAS!E:E,MARCAS!F:F)</f>
        <v>280</v>
      </c>
      <c r="H192" s="2" t="str">
        <f>_xlfn.XLOOKUP(Tabla1[[#This Row],[MARCA]],MARCAS!C:C,MARCAS!A:A)</f>
        <v>F9999</v>
      </c>
      <c r="I192" s="38" t="s">
        <v>681</v>
      </c>
      <c r="J192" s="37" t="s">
        <v>682</v>
      </c>
      <c r="K192" s="2" t="s">
        <v>683</v>
      </c>
    </row>
    <row r="193" spans="1:11" hidden="1" x14ac:dyDescent="0.25">
      <c r="A193" s="2" t="s">
        <v>9</v>
      </c>
      <c r="B193" s="2" t="str">
        <f>_xlfn.XLOOKUP(Tabla1[[#This Row],[SOCIEDAD]],centros!D:D,centros!E:E)</f>
        <v>VA00</v>
      </c>
      <c r="C193" s="2" t="s">
        <v>671</v>
      </c>
      <c r="D193" s="2" t="s">
        <v>15</v>
      </c>
      <c r="E193" s="2" t="str">
        <f>IFERROR(INDEX(centros!$H$2:$H$45,MATCH(TRIM(Tabla1[[#This Row],[SOCIEDAD]])&amp;"|"&amp;TRIM(Tabla1[[#This Row],[LOCALIDAD]]),centros!$G$2:$G$45,0)),"REVISAR")</f>
        <v>VA02</v>
      </c>
      <c r="F193" s="2" t="s">
        <v>84</v>
      </c>
      <c r="G193" s="2" t="str">
        <f>_xlfn.XLOOKUP(Tabla1[[#This Row],[MARCA]],MARCAS!E:E,MARCAS!F:F)</f>
        <v>060</v>
      </c>
      <c r="H193" s="2" t="str">
        <f>_xlfn.XLOOKUP(Tabla1[[#This Row],[MARCA]],MARCAS!C:C,MARCAS!A:A)</f>
        <v>F0022</v>
      </c>
      <c r="I193" s="38" t="s">
        <v>684</v>
      </c>
      <c r="J193" s="37" t="s">
        <v>685</v>
      </c>
      <c r="K193" s="2" t="s">
        <v>686</v>
      </c>
    </row>
    <row r="194" spans="1:11" hidden="1" x14ac:dyDescent="0.25">
      <c r="A194" s="2" t="s">
        <v>9</v>
      </c>
      <c r="B194" s="2" t="str">
        <f>_xlfn.XLOOKUP(Tabla1[[#This Row],[SOCIEDAD]],centros!D:D,centros!E:E)</f>
        <v>VA00</v>
      </c>
      <c r="C194" s="2" t="s">
        <v>671</v>
      </c>
      <c r="D194" s="2" t="s">
        <v>13</v>
      </c>
      <c r="E194" s="2" t="str">
        <f>IFERROR(INDEX(centros!$H$2:$H$45,MATCH(TRIM(Tabla1[[#This Row],[SOCIEDAD]])&amp;"|"&amp;TRIM(Tabla1[[#This Row],[LOCALIDAD]]),centros!$G$2:$G$45,0)),"REVISAR")</f>
        <v>VA01</v>
      </c>
      <c r="F194" s="2" t="s">
        <v>8</v>
      </c>
      <c r="G194" s="2" t="str">
        <f>_xlfn.XLOOKUP(Tabla1[[#This Row],[MARCA]],MARCAS!E:E,MARCAS!F:F)</f>
        <v>060</v>
      </c>
      <c r="H194" s="2" t="str">
        <f>_xlfn.XLOOKUP(Tabla1[[#This Row],[MARCA]],MARCAS!C:C,MARCAS!A:A)</f>
        <v>F0001</v>
      </c>
      <c r="I194" s="38" t="s">
        <v>687</v>
      </c>
      <c r="J194" s="37" t="s">
        <v>688</v>
      </c>
      <c r="K194" s="2" t="s">
        <v>689</v>
      </c>
    </row>
    <row r="195" spans="1:11" hidden="1" x14ac:dyDescent="0.25">
      <c r="A195" s="2" t="s">
        <v>9</v>
      </c>
      <c r="B195" s="2" t="str">
        <f>_xlfn.XLOOKUP(Tabla1[[#This Row],[SOCIEDAD]],centros!D:D,centros!E:E)</f>
        <v>VA00</v>
      </c>
      <c r="C195" s="2" t="s">
        <v>671</v>
      </c>
      <c r="D195" s="2" t="s">
        <v>13</v>
      </c>
      <c r="E195" s="2" t="str">
        <f>IFERROR(INDEX(centros!$H$2:$H$45,MATCH(TRIM(Tabla1[[#This Row],[SOCIEDAD]])&amp;"|"&amp;TRIM(Tabla1[[#This Row],[LOCALIDAD]]),centros!$G$2:$G$45,0)),"REVISAR")</f>
        <v>VA01</v>
      </c>
      <c r="F195" s="2" t="s">
        <v>98</v>
      </c>
      <c r="G195" s="2" t="str">
        <f>_xlfn.XLOOKUP(Tabla1[[#This Row],[MARCA]],MARCAS!E:E,MARCAS!F:F)</f>
        <v>080</v>
      </c>
      <c r="H195" s="2" t="str">
        <f>_xlfn.XLOOKUP(Tabla1[[#This Row],[MARCA]],MARCAS!C:C,MARCAS!A:A)</f>
        <v>F0028</v>
      </c>
      <c r="I195" s="38" t="s">
        <v>690</v>
      </c>
      <c r="J195" s="37" t="s">
        <v>691</v>
      </c>
      <c r="K195" s="2" t="s">
        <v>692</v>
      </c>
    </row>
    <row r="196" spans="1:11" hidden="1" x14ac:dyDescent="0.25">
      <c r="A196" s="2" t="s">
        <v>9</v>
      </c>
      <c r="B196" s="2" t="str">
        <f>_xlfn.XLOOKUP(Tabla1[[#This Row],[SOCIEDAD]],centros!D:D,centros!E:E)</f>
        <v>VA00</v>
      </c>
      <c r="C196" s="2" t="s">
        <v>671</v>
      </c>
      <c r="D196" s="2" t="s">
        <v>13</v>
      </c>
      <c r="E196" s="2" t="str">
        <f>IFERROR(INDEX(centros!$H$2:$H$45,MATCH(TRIM(Tabla1[[#This Row],[SOCIEDAD]])&amp;"|"&amp;TRIM(Tabla1[[#This Row],[LOCALIDAD]]),centros!$G$2:$G$45,0)),"REVISAR")</f>
        <v>VA01</v>
      </c>
      <c r="F196" s="2" t="s">
        <v>26</v>
      </c>
      <c r="G196" s="2" t="str">
        <f>_xlfn.XLOOKUP(Tabla1[[#This Row],[MARCA]],MARCAS!E:E,MARCAS!F:F)</f>
        <v>110</v>
      </c>
      <c r="H196" s="2" t="str">
        <f>_xlfn.XLOOKUP(Tabla1[[#This Row],[MARCA]],MARCAS!C:C,MARCAS!A:A)</f>
        <v>F0006</v>
      </c>
      <c r="I196" s="38" t="s">
        <v>693</v>
      </c>
      <c r="J196" s="37" t="s">
        <v>694</v>
      </c>
      <c r="K196" s="2" t="s">
        <v>695</v>
      </c>
    </row>
    <row r="197" spans="1:11" hidden="1" x14ac:dyDescent="0.25">
      <c r="A197" s="2" t="s">
        <v>9</v>
      </c>
      <c r="B197" s="2" t="str">
        <f>_xlfn.XLOOKUP(Tabla1[[#This Row],[SOCIEDAD]],centros!D:D,centros!E:E)</f>
        <v>VA00</v>
      </c>
      <c r="C197" s="2" t="s">
        <v>671</v>
      </c>
      <c r="D197" s="2" t="s">
        <v>13</v>
      </c>
      <c r="E197" s="2" t="str">
        <f>IFERROR(INDEX(centros!$H$2:$H$45,MATCH(TRIM(Tabla1[[#This Row],[SOCIEDAD]])&amp;"|"&amp;TRIM(Tabla1[[#This Row],[LOCALIDAD]]),centros!$G$2:$G$45,0)),"REVISAR")</f>
        <v>VA01</v>
      </c>
      <c r="F197" s="2" t="s">
        <v>105</v>
      </c>
      <c r="G197" s="2" t="str">
        <f>_xlfn.XLOOKUP(Tabla1[[#This Row],[MARCA]],MARCAS!E:E,MARCAS!F:F)</f>
        <v>280</v>
      </c>
      <c r="H197" s="2" t="str">
        <f>_xlfn.XLOOKUP(Tabla1[[#This Row],[MARCA]],MARCAS!C:C,MARCAS!A:A)</f>
        <v>F9999</v>
      </c>
      <c r="I197" s="38" t="s">
        <v>696</v>
      </c>
      <c r="J197" s="37" t="s">
        <v>697</v>
      </c>
      <c r="K197" s="2" t="s">
        <v>698</v>
      </c>
    </row>
    <row r="198" spans="1:11" hidden="1" x14ac:dyDescent="0.25">
      <c r="A198" s="2" t="s">
        <v>9</v>
      </c>
      <c r="B198" s="2" t="str">
        <f>_xlfn.XLOOKUP(Tabla1[[#This Row],[SOCIEDAD]],centros!D:D,centros!E:E)</f>
        <v>VA00</v>
      </c>
      <c r="C198" s="2" t="s">
        <v>671</v>
      </c>
      <c r="D198" s="2" t="s">
        <v>13</v>
      </c>
      <c r="E198" s="2" t="str">
        <f>IFERROR(INDEX(centros!$H$2:$H$45,MATCH(TRIM(Tabla1[[#This Row],[SOCIEDAD]])&amp;"|"&amp;TRIM(Tabla1[[#This Row],[LOCALIDAD]]),centros!$G$2:$G$45,0)),"REVISAR")</f>
        <v>VA01</v>
      </c>
      <c r="F198" s="2" t="s">
        <v>84</v>
      </c>
      <c r="G198" s="2" t="str">
        <f>_xlfn.XLOOKUP(Tabla1[[#This Row],[MARCA]],MARCAS!E:E,MARCAS!F:F)</f>
        <v>060</v>
      </c>
      <c r="H198" s="2" t="str">
        <f>_xlfn.XLOOKUP(Tabla1[[#This Row],[MARCA]],MARCAS!C:C,MARCAS!A:A)</f>
        <v>F0022</v>
      </c>
      <c r="I198" s="38" t="s">
        <v>699</v>
      </c>
      <c r="J198" s="37" t="s">
        <v>700</v>
      </c>
      <c r="K198" s="2" t="s">
        <v>701</v>
      </c>
    </row>
    <row r="199" spans="1:11" hidden="1" x14ac:dyDescent="0.25">
      <c r="A199" s="2" t="s">
        <v>9</v>
      </c>
      <c r="B199" s="2" t="str">
        <f>_xlfn.XLOOKUP(Tabla1[[#This Row],[SOCIEDAD]],centros!D:D,centros!E:E)</f>
        <v>VA00</v>
      </c>
      <c r="C199" s="2" t="s">
        <v>671</v>
      </c>
      <c r="D199" s="2" t="s">
        <v>17</v>
      </c>
      <c r="E199" s="2" t="str">
        <f>IFERROR(INDEX(centros!$H$2:$H$45,MATCH(TRIM(Tabla1[[#This Row],[SOCIEDAD]])&amp;"|"&amp;TRIM(Tabla1[[#This Row],[LOCALIDAD]]),centros!$G$2:$G$45,0)),"REVISAR")</f>
        <v>VA03</v>
      </c>
      <c r="F199" s="2" t="s">
        <v>8</v>
      </c>
      <c r="G199" s="2" t="str">
        <f>_xlfn.XLOOKUP(Tabla1[[#This Row],[MARCA]],MARCAS!E:E,MARCAS!F:F)</f>
        <v>060</v>
      </c>
      <c r="H199" s="2" t="str">
        <f>_xlfn.XLOOKUP(Tabla1[[#This Row],[MARCA]],MARCAS!C:C,MARCAS!A:A)</f>
        <v>F0001</v>
      </c>
      <c r="I199" s="38" t="s">
        <v>702</v>
      </c>
      <c r="J199" s="37" t="s">
        <v>703</v>
      </c>
      <c r="K199" s="2" t="s">
        <v>704</v>
      </c>
    </row>
    <row r="200" spans="1:11" hidden="1" x14ac:dyDescent="0.25">
      <c r="A200" s="2" t="s">
        <v>9</v>
      </c>
      <c r="B200" s="2" t="str">
        <f>_xlfn.XLOOKUP(Tabla1[[#This Row],[SOCIEDAD]],centros!D:D,centros!E:E)</f>
        <v>VA00</v>
      </c>
      <c r="C200" s="2" t="s">
        <v>671</v>
      </c>
      <c r="D200" s="2" t="s">
        <v>17</v>
      </c>
      <c r="E200" s="2" t="str">
        <f>IFERROR(INDEX(centros!$H$2:$H$45,MATCH(TRIM(Tabla1[[#This Row],[SOCIEDAD]])&amp;"|"&amp;TRIM(Tabla1[[#This Row],[LOCALIDAD]]),centros!$G$2:$G$45,0)),"REVISAR")</f>
        <v>VA03</v>
      </c>
      <c r="F200" s="2" t="s">
        <v>98</v>
      </c>
      <c r="G200" s="2" t="str">
        <f>_xlfn.XLOOKUP(Tabla1[[#This Row],[MARCA]],MARCAS!E:E,MARCAS!F:F)</f>
        <v>080</v>
      </c>
      <c r="H200" s="2" t="str">
        <f>_xlfn.XLOOKUP(Tabla1[[#This Row],[MARCA]],MARCAS!C:C,MARCAS!A:A)</f>
        <v>F0028</v>
      </c>
      <c r="I200" s="38" t="s">
        <v>705</v>
      </c>
      <c r="J200" s="37" t="s">
        <v>706</v>
      </c>
      <c r="K200" s="2" t="s">
        <v>707</v>
      </c>
    </row>
    <row r="201" spans="1:11" hidden="1" x14ac:dyDescent="0.25">
      <c r="A201" s="2" t="s">
        <v>9</v>
      </c>
      <c r="B201" s="2" t="str">
        <f>_xlfn.XLOOKUP(Tabla1[[#This Row],[SOCIEDAD]],centros!D:D,centros!E:E)</f>
        <v>VA00</v>
      </c>
      <c r="C201" s="2" t="s">
        <v>671</v>
      </c>
      <c r="D201" s="2" t="s">
        <v>17</v>
      </c>
      <c r="E201" s="2" t="str">
        <f>IFERROR(INDEX(centros!$H$2:$H$45,MATCH(TRIM(Tabla1[[#This Row],[SOCIEDAD]])&amp;"|"&amp;TRIM(Tabla1[[#This Row],[LOCALIDAD]]),centros!$G$2:$G$45,0)),"REVISAR")</f>
        <v>VA03</v>
      </c>
      <c r="F201" s="2" t="s">
        <v>26</v>
      </c>
      <c r="G201" s="2" t="str">
        <f>_xlfn.XLOOKUP(Tabla1[[#This Row],[MARCA]],MARCAS!E:E,MARCAS!F:F)</f>
        <v>110</v>
      </c>
      <c r="H201" s="2" t="str">
        <f>_xlfn.XLOOKUP(Tabla1[[#This Row],[MARCA]],MARCAS!C:C,MARCAS!A:A)</f>
        <v>F0006</v>
      </c>
      <c r="I201" s="38" t="s">
        <v>708</v>
      </c>
      <c r="J201" s="37" t="s">
        <v>709</v>
      </c>
      <c r="K201" s="2" t="s">
        <v>710</v>
      </c>
    </row>
    <row r="202" spans="1:11" hidden="1" x14ac:dyDescent="0.25">
      <c r="A202" s="2" t="s">
        <v>9</v>
      </c>
      <c r="B202" s="2" t="str">
        <f>_xlfn.XLOOKUP(Tabla1[[#This Row],[SOCIEDAD]],centros!D:D,centros!E:E)</f>
        <v>VA00</v>
      </c>
      <c r="C202" s="2" t="s">
        <v>671</v>
      </c>
      <c r="D202" s="2" t="s">
        <v>17</v>
      </c>
      <c r="E202" s="2" t="str">
        <f>IFERROR(INDEX(centros!$H$2:$H$45,MATCH(TRIM(Tabla1[[#This Row],[SOCIEDAD]])&amp;"|"&amp;TRIM(Tabla1[[#This Row],[LOCALIDAD]]),centros!$G$2:$G$45,0)),"REVISAR")</f>
        <v>VA03</v>
      </c>
      <c r="F202" s="2" t="s">
        <v>105</v>
      </c>
      <c r="G202" s="2" t="str">
        <f>_xlfn.XLOOKUP(Tabla1[[#This Row],[MARCA]],MARCAS!E:E,MARCAS!F:F)</f>
        <v>280</v>
      </c>
      <c r="H202" s="2" t="str">
        <f>_xlfn.XLOOKUP(Tabla1[[#This Row],[MARCA]],MARCAS!C:C,MARCAS!A:A)</f>
        <v>F9999</v>
      </c>
      <c r="I202" s="38" t="s">
        <v>711</v>
      </c>
      <c r="J202" s="37" t="s">
        <v>712</v>
      </c>
      <c r="K202" s="2" t="s">
        <v>713</v>
      </c>
    </row>
    <row r="203" spans="1:11" hidden="1" x14ac:dyDescent="0.25">
      <c r="A203" s="2" t="s">
        <v>9</v>
      </c>
      <c r="B203" s="2" t="str">
        <f>_xlfn.XLOOKUP(Tabla1[[#This Row],[SOCIEDAD]],centros!D:D,centros!E:E)</f>
        <v>VA00</v>
      </c>
      <c r="C203" s="2" t="s">
        <v>671</v>
      </c>
      <c r="D203" s="2" t="s">
        <v>17</v>
      </c>
      <c r="E203" s="2" t="str">
        <f>IFERROR(INDEX(centros!$H$2:$H$45,MATCH(TRIM(Tabla1[[#This Row],[SOCIEDAD]])&amp;"|"&amp;TRIM(Tabla1[[#This Row],[LOCALIDAD]]),centros!$G$2:$G$45,0)),"REVISAR")</f>
        <v>VA03</v>
      </c>
      <c r="F203" s="2" t="s">
        <v>84</v>
      </c>
      <c r="G203" s="2" t="str">
        <f>_xlfn.XLOOKUP(Tabla1[[#This Row],[MARCA]],MARCAS!E:E,MARCAS!F:F)</f>
        <v>060</v>
      </c>
      <c r="H203" s="2" t="str">
        <f>_xlfn.XLOOKUP(Tabla1[[#This Row],[MARCA]],MARCAS!C:C,MARCAS!A:A)</f>
        <v>F0022</v>
      </c>
      <c r="I203" s="38" t="s">
        <v>714</v>
      </c>
      <c r="J203" s="37" t="s">
        <v>715</v>
      </c>
      <c r="K203" s="2" t="s">
        <v>716</v>
      </c>
    </row>
    <row r="204" spans="1:11" hidden="1" x14ac:dyDescent="0.25">
      <c r="A204" s="2" t="s">
        <v>9</v>
      </c>
      <c r="B204" s="2" t="str">
        <f>_xlfn.XLOOKUP(Tabla1[[#This Row],[SOCIEDAD]],centros!D:D,centros!E:E)</f>
        <v>VA00</v>
      </c>
      <c r="C204" s="2" t="s">
        <v>671</v>
      </c>
      <c r="D204" s="2" t="s">
        <v>23</v>
      </c>
      <c r="E204" s="2" t="str">
        <f>IFERROR(INDEX(centros!$H$2:$H$45,MATCH(TRIM(Tabla1[[#This Row],[SOCIEDAD]])&amp;"|"&amp;TRIM(Tabla1[[#This Row],[LOCALIDAD]]),centros!$G$2:$G$45,0)),"REVISAR")</f>
        <v>VA06</v>
      </c>
      <c r="F204" s="2" t="s">
        <v>8</v>
      </c>
      <c r="G204" s="2" t="str">
        <f>_xlfn.XLOOKUP(Tabla1[[#This Row],[MARCA]],MARCAS!E:E,MARCAS!F:F)</f>
        <v>060</v>
      </c>
      <c r="H204" s="2" t="str">
        <f>_xlfn.XLOOKUP(Tabla1[[#This Row],[MARCA]],MARCAS!C:C,MARCAS!A:A)</f>
        <v>F0001</v>
      </c>
      <c r="I204" s="38" t="s">
        <v>717</v>
      </c>
      <c r="J204" s="37" t="s">
        <v>718</v>
      </c>
      <c r="K204" s="2" t="s">
        <v>719</v>
      </c>
    </row>
    <row r="205" spans="1:11" hidden="1" x14ac:dyDescent="0.25">
      <c r="A205" s="2" t="s">
        <v>9</v>
      </c>
      <c r="B205" s="2" t="str">
        <f>_xlfn.XLOOKUP(Tabla1[[#This Row],[SOCIEDAD]],centros!D:D,centros!E:E)</f>
        <v>VA00</v>
      </c>
      <c r="C205" s="2" t="s">
        <v>671</v>
      </c>
      <c r="D205" s="2" t="s">
        <v>23</v>
      </c>
      <c r="E205" s="2" t="str">
        <f>IFERROR(INDEX(centros!$H$2:$H$45,MATCH(TRIM(Tabla1[[#This Row],[SOCIEDAD]])&amp;"|"&amp;TRIM(Tabla1[[#This Row],[LOCALIDAD]]),centros!$G$2:$G$45,0)),"REVISAR")</f>
        <v>VA06</v>
      </c>
      <c r="F205" s="2" t="s">
        <v>98</v>
      </c>
      <c r="G205" s="2" t="str">
        <f>_xlfn.XLOOKUP(Tabla1[[#This Row],[MARCA]],MARCAS!E:E,MARCAS!F:F)</f>
        <v>080</v>
      </c>
      <c r="H205" s="2" t="str">
        <f>_xlfn.XLOOKUP(Tabla1[[#This Row],[MARCA]],MARCAS!C:C,MARCAS!A:A)</f>
        <v>F0028</v>
      </c>
      <c r="I205" s="38" t="s">
        <v>720</v>
      </c>
      <c r="J205" s="37" t="s">
        <v>721</v>
      </c>
      <c r="K205" s="2" t="s">
        <v>722</v>
      </c>
    </row>
    <row r="206" spans="1:11" hidden="1" x14ac:dyDescent="0.25">
      <c r="A206" s="2" t="s">
        <v>9</v>
      </c>
      <c r="B206" s="2" t="str">
        <f>_xlfn.XLOOKUP(Tabla1[[#This Row],[SOCIEDAD]],centros!D:D,centros!E:E)</f>
        <v>VA00</v>
      </c>
      <c r="C206" s="2" t="s">
        <v>671</v>
      </c>
      <c r="D206" s="2" t="s">
        <v>23</v>
      </c>
      <c r="E206" s="2" t="str">
        <f>IFERROR(INDEX(centros!$H$2:$H$45,MATCH(TRIM(Tabla1[[#This Row],[SOCIEDAD]])&amp;"|"&amp;TRIM(Tabla1[[#This Row],[LOCALIDAD]]),centros!$G$2:$G$45,0)),"REVISAR")</f>
        <v>VA06</v>
      </c>
      <c r="F206" s="2" t="s">
        <v>26</v>
      </c>
      <c r="G206" s="2" t="str">
        <f>_xlfn.XLOOKUP(Tabla1[[#This Row],[MARCA]],MARCAS!E:E,MARCAS!F:F)</f>
        <v>110</v>
      </c>
      <c r="H206" s="2" t="str">
        <f>_xlfn.XLOOKUP(Tabla1[[#This Row],[MARCA]],MARCAS!C:C,MARCAS!A:A)</f>
        <v>F0006</v>
      </c>
      <c r="I206" s="38" t="s">
        <v>723</v>
      </c>
      <c r="J206" s="37" t="s">
        <v>724</v>
      </c>
      <c r="K206" s="2" t="s">
        <v>725</v>
      </c>
    </row>
    <row r="207" spans="1:11" hidden="1" x14ac:dyDescent="0.25">
      <c r="A207" s="2" t="s">
        <v>9</v>
      </c>
      <c r="B207" s="2" t="str">
        <f>_xlfn.XLOOKUP(Tabla1[[#This Row],[SOCIEDAD]],centros!D:D,centros!E:E)</f>
        <v>VA00</v>
      </c>
      <c r="C207" s="2" t="s">
        <v>671</v>
      </c>
      <c r="D207" s="2" t="s">
        <v>23</v>
      </c>
      <c r="E207" s="2" t="str">
        <f>IFERROR(INDEX(centros!$H$2:$H$45,MATCH(TRIM(Tabla1[[#This Row],[SOCIEDAD]])&amp;"|"&amp;TRIM(Tabla1[[#This Row],[LOCALIDAD]]),centros!$G$2:$G$45,0)),"REVISAR")</f>
        <v>VA06</v>
      </c>
      <c r="F207" s="2" t="s">
        <v>105</v>
      </c>
      <c r="G207" s="2" t="str">
        <f>_xlfn.XLOOKUP(Tabla1[[#This Row],[MARCA]],MARCAS!E:E,MARCAS!F:F)</f>
        <v>280</v>
      </c>
      <c r="H207" s="2" t="str">
        <f>_xlfn.XLOOKUP(Tabla1[[#This Row],[MARCA]],MARCAS!C:C,MARCAS!A:A)</f>
        <v>F9999</v>
      </c>
      <c r="I207" s="38" t="s">
        <v>726</v>
      </c>
      <c r="J207" s="37" t="s">
        <v>727</v>
      </c>
      <c r="K207" s="2" t="s">
        <v>728</v>
      </c>
    </row>
    <row r="208" spans="1:11" hidden="1" x14ac:dyDescent="0.25">
      <c r="A208" s="2" t="s">
        <v>9</v>
      </c>
      <c r="B208" s="2" t="str">
        <f>_xlfn.XLOOKUP(Tabla1[[#This Row],[SOCIEDAD]],centros!D:D,centros!E:E)</f>
        <v>VA00</v>
      </c>
      <c r="C208" s="2" t="s">
        <v>671</v>
      </c>
      <c r="D208" s="2" t="s">
        <v>23</v>
      </c>
      <c r="E208" s="2" t="str">
        <f>IFERROR(INDEX(centros!$H$2:$H$45,MATCH(TRIM(Tabla1[[#This Row],[SOCIEDAD]])&amp;"|"&amp;TRIM(Tabla1[[#This Row],[LOCALIDAD]]),centros!$G$2:$G$45,0)),"REVISAR")</f>
        <v>VA06</v>
      </c>
      <c r="F208" s="2" t="s">
        <v>84</v>
      </c>
      <c r="G208" s="2" t="str">
        <f>_xlfn.XLOOKUP(Tabla1[[#This Row],[MARCA]],MARCAS!E:E,MARCAS!F:F)</f>
        <v>060</v>
      </c>
      <c r="H208" s="2" t="str">
        <f>_xlfn.XLOOKUP(Tabla1[[#This Row],[MARCA]],MARCAS!C:C,MARCAS!A:A)</f>
        <v>F0022</v>
      </c>
      <c r="I208" s="38" t="s">
        <v>729</v>
      </c>
      <c r="J208" s="37" t="s">
        <v>730</v>
      </c>
      <c r="K208" s="2" t="s">
        <v>731</v>
      </c>
    </row>
    <row r="209" spans="1:11" hidden="1" x14ac:dyDescent="0.25">
      <c r="A209" s="2" t="s">
        <v>9</v>
      </c>
      <c r="B209" s="2" t="str">
        <f>_xlfn.XLOOKUP(Tabla1[[#This Row],[SOCIEDAD]],centros!D:D,centros!E:E)</f>
        <v>VA00</v>
      </c>
      <c r="C209" s="2" t="s">
        <v>671</v>
      </c>
      <c r="D209" s="2" t="s">
        <v>11</v>
      </c>
      <c r="E209" s="2" t="str">
        <f>IFERROR(INDEX(centros!$H$2:$H$45,MATCH(TRIM(Tabla1[[#This Row],[SOCIEDAD]])&amp;"|"&amp;TRIM(Tabla1[[#This Row],[LOCALIDAD]]),centros!$G$2:$G$45,0)),"REVISAR")</f>
        <v>VA00</v>
      </c>
      <c r="F209" s="2" t="s">
        <v>8</v>
      </c>
      <c r="G209" s="2" t="str">
        <f>_xlfn.XLOOKUP(Tabla1[[#This Row],[MARCA]],MARCAS!E:E,MARCAS!F:F)</f>
        <v>060</v>
      </c>
      <c r="H209" s="2" t="str">
        <f>_xlfn.XLOOKUP(Tabla1[[#This Row],[MARCA]],MARCAS!C:C,MARCAS!A:A)</f>
        <v>F0001</v>
      </c>
      <c r="I209" s="38" t="s">
        <v>732</v>
      </c>
      <c r="J209" s="37" t="s">
        <v>733</v>
      </c>
      <c r="K209" s="2" t="s">
        <v>734</v>
      </c>
    </row>
    <row r="210" spans="1:11" hidden="1" x14ac:dyDescent="0.25">
      <c r="A210" s="2" t="s">
        <v>9</v>
      </c>
      <c r="B210" s="2" t="str">
        <f>_xlfn.XLOOKUP(Tabla1[[#This Row],[SOCIEDAD]],centros!D:D,centros!E:E)</f>
        <v>VA00</v>
      </c>
      <c r="C210" s="2" t="s">
        <v>671</v>
      </c>
      <c r="D210" s="2" t="s">
        <v>11</v>
      </c>
      <c r="E210" s="2" t="str">
        <f>IFERROR(INDEX(centros!$H$2:$H$45,MATCH(TRIM(Tabla1[[#This Row],[SOCIEDAD]])&amp;"|"&amp;TRIM(Tabla1[[#This Row],[LOCALIDAD]]),centros!$G$2:$G$45,0)),"REVISAR")</f>
        <v>VA00</v>
      </c>
      <c r="F210" s="2" t="s">
        <v>98</v>
      </c>
      <c r="G210" s="2" t="str">
        <f>_xlfn.XLOOKUP(Tabla1[[#This Row],[MARCA]],MARCAS!E:E,MARCAS!F:F)</f>
        <v>080</v>
      </c>
      <c r="H210" s="2" t="str">
        <f>_xlfn.XLOOKUP(Tabla1[[#This Row],[MARCA]],MARCAS!C:C,MARCAS!A:A)</f>
        <v>F0028</v>
      </c>
      <c r="I210" s="38" t="s">
        <v>735</v>
      </c>
      <c r="J210" s="37" t="s">
        <v>736</v>
      </c>
      <c r="K210" s="2" t="s">
        <v>737</v>
      </c>
    </row>
    <row r="211" spans="1:11" hidden="1" x14ac:dyDescent="0.25">
      <c r="A211" s="2" t="s">
        <v>9</v>
      </c>
      <c r="B211" s="2" t="str">
        <f>_xlfn.XLOOKUP(Tabla1[[#This Row],[SOCIEDAD]],centros!D:D,centros!E:E)</f>
        <v>VA00</v>
      </c>
      <c r="C211" s="2" t="s">
        <v>671</v>
      </c>
      <c r="D211" s="2" t="s">
        <v>11</v>
      </c>
      <c r="E211" s="2" t="str">
        <f>IFERROR(INDEX(centros!$H$2:$H$45,MATCH(TRIM(Tabla1[[#This Row],[SOCIEDAD]])&amp;"|"&amp;TRIM(Tabla1[[#This Row],[LOCALIDAD]]),centros!$G$2:$G$45,0)),"REVISAR")</f>
        <v>VA00</v>
      </c>
      <c r="F211" s="2" t="s">
        <v>26</v>
      </c>
      <c r="G211" s="2" t="str">
        <f>_xlfn.XLOOKUP(Tabla1[[#This Row],[MARCA]],MARCAS!E:E,MARCAS!F:F)</f>
        <v>110</v>
      </c>
      <c r="H211" s="2" t="str">
        <f>_xlfn.XLOOKUP(Tabla1[[#This Row],[MARCA]],MARCAS!C:C,MARCAS!A:A)</f>
        <v>F0006</v>
      </c>
      <c r="I211" s="38" t="s">
        <v>738</v>
      </c>
      <c r="J211" s="37" t="s">
        <v>739</v>
      </c>
      <c r="K211" s="2" t="s">
        <v>740</v>
      </c>
    </row>
    <row r="212" spans="1:11" hidden="1" x14ac:dyDescent="0.25">
      <c r="A212" s="2" t="s">
        <v>9</v>
      </c>
      <c r="B212" s="2" t="str">
        <f>_xlfn.XLOOKUP(Tabla1[[#This Row],[SOCIEDAD]],centros!D:D,centros!E:E)</f>
        <v>VA00</v>
      </c>
      <c r="C212" s="2" t="s">
        <v>671</v>
      </c>
      <c r="D212" s="2" t="s">
        <v>11</v>
      </c>
      <c r="E212" s="2" t="str">
        <f>IFERROR(INDEX(centros!$H$2:$H$45,MATCH(TRIM(Tabla1[[#This Row],[SOCIEDAD]])&amp;"|"&amp;TRIM(Tabla1[[#This Row],[LOCALIDAD]]),centros!$G$2:$G$45,0)),"REVISAR")</f>
        <v>VA00</v>
      </c>
      <c r="F212" s="2" t="s">
        <v>105</v>
      </c>
      <c r="G212" s="2" t="str">
        <f>_xlfn.XLOOKUP(Tabla1[[#This Row],[MARCA]],MARCAS!E:E,MARCAS!F:F)</f>
        <v>280</v>
      </c>
      <c r="H212" s="2" t="str">
        <f>_xlfn.XLOOKUP(Tabla1[[#This Row],[MARCA]],MARCAS!C:C,MARCAS!A:A)</f>
        <v>F9999</v>
      </c>
      <c r="I212" s="38" t="s">
        <v>741</v>
      </c>
      <c r="J212" s="37" t="s">
        <v>742</v>
      </c>
      <c r="K212" s="2" t="s">
        <v>743</v>
      </c>
    </row>
    <row r="213" spans="1:11" hidden="1" x14ac:dyDescent="0.25">
      <c r="A213" s="2" t="s">
        <v>9</v>
      </c>
      <c r="B213" s="2" t="str">
        <f>_xlfn.XLOOKUP(Tabla1[[#This Row],[SOCIEDAD]],centros!D:D,centros!E:E)</f>
        <v>VA00</v>
      </c>
      <c r="C213" s="2" t="s">
        <v>671</v>
      </c>
      <c r="D213" s="2" t="s">
        <v>11</v>
      </c>
      <c r="E213" s="2" t="str">
        <f>IFERROR(INDEX(centros!$H$2:$H$45,MATCH(TRIM(Tabla1[[#This Row],[SOCIEDAD]])&amp;"|"&amp;TRIM(Tabla1[[#This Row],[LOCALIDAD]]),centros!$G$2:$G$45,0)),"REVISAR")</f>
        <v>VA00</v>
      </c>
      <c r="F213" s="2" t="s">
        <v>84</v>
      </c>
      <c r="G213" s="2" t="str">
        <f>_xlfn.XLOOKUP(Tabla1[[#This Row],[MARCA]],MARCAS!E:E,MARCAS!F:F)</f>
        <v>060</v>
      </c>
      <c r="H213" s="2" t="str">
        <f>_xlfn.XLOOKUP(Tabla1[[#This Row],[MARCA]],MARCAS!C:C,MARCAS!A:A)</f>
        <v>F0022</v>
      </c>
      <c r="I213" s="38" t="s">
        <v>744</v>
      </c>
      <c r="J213" s="37" t="s">
        <v>745</v>
      </c>
      <c r="K213" s="2" t="s">
        <v>746</v>
      </c>
    </row>
    <row r="214" spans="1:11" hidden="1" x14ac:dyDescent="0.25">
      <c r="A214" s="2" t="s">
        <v>9</v>
      </c>
      <c r="B214" s="2" t="str">
        <f>_xlfn.XLOOKUP(Tabla1[[#This Row],[SOCIEDAD]],centros!D:D,centros!E:E)</f>
        <v>VA00</v>
      </c>
      <c r="C214" s="2" t="s">
        <v>671</v>
      </c>
      <c r="D214" s="2" t="s">
        <v>19</v>
      </c>
      <c r="E214" s="2" t="str">
        <f>IFERROR(INDEX(centros!$H$2:$H$45,MATCH(TRIM(Tabla1[[#This Row],[SOCIEDAD]])&amp;"|"&amp;TRIM(Tabla1[[#This Row],[LOCALIDAD]]),centros!$G$2:$G$45,0)),"REVISAR")</f>
        <v>VA04</v>
      </c>
      <c r="F214" s="2" t="s">
        <v>8</v>
      </c>
      <c r="G214" s="2" t="str">
        <f>_xlfn.XLOOKUP(Tabla1[[#This Row],[MARCA]],MARCAS!E:E,MARCAS!F:F)</f>
        <v>060</v>
      </c>
      <c r="H214" s="2" t="str">
        <f>_xlfn.XLOOKUP(Tabla1[[#This Row],[MARCA]],MARCAS!C:C,MARCAS!A:A)</f>
        <v>F0001</v>
      </c>
      <c r="I214" s="38" t="s">
        <v>747</v>
      </c>
      <c r="J214" s="37" t="s">
        <v>748</v>
      </c>
      <c r="K214" s="2" t="s">
        <v>749</v>
      </c>
    </row>
    <row r="215" spans="1:11" hidden="1" x14ac:dyDescent="0.25">
      <c r="A215" s="2" t="s">
        <v>9</v>
      </c>
      <c r="B215" s="2" t="str">
        <f>_xlfn.XLOOKUP(Tabla1[[#This Row],[SOCIEDAD]],centros!D:D,centros!E:E)</f>
        <v>VA00</v>
      </c>
      <c r="C215" s="2" t="s">
        <v>671</v>
      </c>
      <c r="D215" s="2" t="s">
        <v>19</v>
      </c>
      <c r="E215" s="2" t="str">
        <f>IFERROR(INDEX(centros!$H$2:$H$45,MATCH(TRIM(Tabla1[[#This Row],[SOCIEDAD]])&amp;"|"&amp;TRIM(Tabla1[[#This Row],[LOCALIDAD]]),centros!$G$2:$G$45,0)),"REVISAR")</f>
        <v>VA04</v>
      </c>
      <c r="F215" s="2" t="s">
        <v>98</v>
      </c>
      <c r="G215" s="2" t="str">
        <f>_xlfn.XLOOKUP(Tabla1[[#This Row],[MARCA]],MARCAS!E:E,MARCAS!F:F)</f>
        <v>080</v>
      </c>
      <c r="H215" s="2" t="str">
        <f>_xlfn.XLOOKUP(Tabla1[[#This Row],[MARCA]],MARCAS!C:C,MARCAS!A:A)</f>
        <v>F0028</v>
      </c>
      <c r="I215" s="38" t="s">
        <v>750</v>
      </c>
      <c r="J215" s="37" t="s">
        <v>751</v>
      </c>
      <c r="K215" s="2" t="s">
        <v>752</v>
      </c>
    </row>
    <row r="216" spans="1:11" hidden="1" x14ac:dyDescent="0.25">
      <c r="A216" s="2" t="s">
        <v>9</v>
      </c>
      <c r="B216" s="2" t="str">
        <f>_xlfn.XLOOKUP(Tabla1[[#This Row],[SOCIEDAD]],centros!D:D,centros!E:E)</f>
        <v>VA00</v>
      </c>
      <c r="C216" s="2" t="s">
        <v>671</v>
      </c>
      <c r="D216" s="2" t="s">
        <v>19</v>
      </c>
      <c r="E216" s="2" t="str">
        <f>IFERROR(INDEX(centros!$H$2:$H$45,MATCH(TRIM(Tabla1[[#This Row],[SOCIEDAD]])&amp;"|"&amp;TRIM(Tabla1[[#This Row],[LOCALIDAD]]),centros!$G$2:$G$45,0)),"REVISAR")</f>
        <v>VA04</v>
      </c>
      <c r="F216" s="2" t="s">
        <v>26</v>
      </c>
      <c r="G216" s="2" t="str">
        <f>_xlfn.XLOOKUP(Tabla1[[#This Row],[MARCA]],MARCAS!E:E,MARCAS!F:F)</f>
        <v>110</v>
      </c>
      <c r="H216" s="2" t="str">
        <f>_xlfn.XLOOKUP(Tabla1[[#This Row],[MARCA]],MARCAS!C:C,MARCAS!A:A)</f>
        <v>F0006</v>
      </c>
      <c r="I216" s="38" t="s">
        <v>753</v>
      </c>
      <c r="J216" s="37" t="s">
        <v>754</v>
      </c>
      <c r="K216" s="2" t="s">
        <v>755</v>
      </c>
    </row>
    <row r="217" spans="1:11" hidden="1" x14ac:dyDescent="0.25">
      <c r="A217" s="2" t="s">
        <v>9</v>
      </c>
      <c r="B217" s="2" t="str">
        <f>_xlfn.XLOOKUP(Tabla1[[#This Row],[SOCIEDAD]],centros!D:D,centros!E:E)</f>
        <v>VA00</v>
      </c>
      <c r="C217" s="2" t="s">
        <v>671</v>
      </c>
      <c r="D217" s="2" t="s">
        <v>19</v>
      </c>
      <c r="E217" s="2" t="str">
        <f>IFERROR(INDEX(centros!$H$2:$H$45,MATCH(TRIM(Tabla1[[#This Row],[SOCIEDAD]])&amp;"|"&amp;TRIM(Tabla1[[#This Row],[LOCALIDAD]]),centros!$G$2:$G$45,0)),"REVISAR")</f>
        <v>VA04</v>
      </c>
      <c r="F217" s="2" t="s">
        <v>105</v>
      </c>
      <c r="G217" s="2" t="str">
        <f>_xlfn.XLOOKUP(Tabla1[[#This Row],[MARCA]],MARCAS!E:E,MARCAS!F:F)</f>
        <v>280</v>
      </c>
      <c r="H217" s="2" t="str">
        <f>_xlfn.XLOOKUP(Tabla1[[#This Row],[MARCA]],MARCAS!C:C,MARCAS!A:A)</f>
        <v>F9999</v>
      </c>
      <c r="I217" s="38" t="s">
        <v>756</v>
      </c>
      <c r="J217" s="37" t="s">
        <v>757</v>
      </c>
      <c r="K217" s="2" t="s">
        <v>758</v>
      </c>
    </row>
    <row r="218" spans="1:11" hidden="1" x14ac:dyDescent="0.25">
      <c r="A218" s="2" t="s">
        <v>9</v>
      </c>
      <c r="B218" s="2" t="str">
        <f>_xlfn.XLOOKUP(Tabla1[[#This Row],[SOCIEDAD]],centros!D:D,centros!E:E)</f>
        <v>VA00</v>
      </c>
      <c r="C218" s="2" t="s">
        <v>671</v>
      </c>
      <c r="D218" s="2" t="s">
        <v>19</v>
      </c>
      <c r="E218" s="2" t="str">
        <f>IFERROR(INDEX(centros!$H$2:$H$45,MATCH(TRIM(Tabla1[[#This Row],[SOCIEDAD]])&amp;"|"&amp;TRIM(Tabla1[[#This Row],[LOCALIDAD]]),centros!$G$2:$G$45,0)),"REVISAR")</f>
        <v>VA04</v>
      </c>
      <c r="F218" s="2" t="s">
        <v>84</v>
      </c>
      <c r="G218" s="2" t="str">
        <f>_xlfn.XLOOKUP(Tabla1[[#This Row],[MARCA]],MARCAS!E:E,MARCAS!F:F)</f>
        <v>060</v>
      </c>
      <c r="H218" s="2" t="str">
        <f>_xlfn.XLOOKUP(Tabla1[[#This Row],[MARCA]],MARCAS!C:C,MARCAS!A:A)</f>
        <v>F0022</v>
      </c>
      <c r="I218" s="38" t="s">
        <v>759</v>
      </c>
      <c r="J218" s="37" t="s">
        <v>760</v>
      </c>
      <c r="K218" s="2" t="s">
        <v>761</v>
      </c>
    </row>
    <row r="219" spans="1:11" hidden="1" x14ac:dyDescent="0.25">
      <c r="A219" s="2" t="s">
        <v>9</v>
      </c>
      <c r="B219" s="2" t="str">
        <f>_xlfn.XLOOKUP(Tabla1[[#This Row],[SOCIEDAD]],centros!D:D,centros!E:E)</f>
        <v>VA00</v>
      </c>
      <c r="C219" s="2" t="s">
        <v>671</v>
      </c>
      <c r="D219" s="2" t="s">
        <v>21</v>
      </c>
      <c r="E219" s="2" t="str">
        <f>IFERROR(INDEX(centros!$H$2:$H$45,MATCH(TRIM(Tabla1[[#This Row],[SOCIEDAD]])&amp;"|"&amp;TRIM(Tabla1[[#This Row],[LOCALIDAD]]),centros!$G$2:$G$45,0)),"REVISAR")</f>
        <v>VA05</v>
      </c>
      <c r="F219" s="2" t="s">
        <v>8</v>
      </c>
      <c r="G219" s="2" t="str">
        <f>_xlfn.XLOOKUP(Tabla1[[#This Row],[MARCA]],MARCAS!E:E,MARCAS!F:F)</f>
        <v>060</v>
      </c>
      <c r="H219" s="2" t="str">
        <f>_xlfn.XLOOKUP(Tabla1[[#This Row],[MARCA]],MARCAS!C:C,MARCAS!A:A)</f>
        <v>F0001</v>
      </c>
      <c r="I219" s="38" t="s">
        <v>762</v>
      </c>
      <c r="J219" s="37" t="s">
        <v>763</v>
      </c>
      <c r="K219" s="2" t="s">
        <v>764</v>
      </c>
    </row>
    <row r="220" spans="1:11" hidden="1" x14ac:dyDescent="0.25">
      <c r="A220" s="2" t="s">
        <v>9</v>
      </c>
      <c r="B220" s="2" t="str">
        <f>_xlfn.XLOOKUP(Tabla1[[#This Row],[SOCIEDAD]],centros!D:D,centros!E:E)</f>
        <v>VA00</v>
      </c>
      <c r="C220" s="2" t="s">
        <v>671</v>
      </c>
      <c r="D220" s="2" t="s">
        <v>21</v>
      </c>
      <c r="E220" s="2" t="str">
        <f>IFERROR(INDEX(centros!$H$2:$H$45,MATCH(TRIM(Tabla1[[#This Row],[SOCIEDAD]])&amp;"|"&amp;TRIM(Tabla1[[#This Row],[LOCALIDAD]]),centros!$G$2:$G$45,0)),"REVISAR")</f>
        <v>VA05</v>
      </c>
      <c r="F220" s="2" t="s">
        <v>98</v>
      </c>
      <c r="G220" s="2" t="str">
        <f>_xlfn.XLOOKUP(Tabla1[[#This Row],[MARCA]],MARCAS!E:E,MARCAS!F:F)</f>
        <v>080</v>
      </c>
      <c r="H220" s="2" t="str">
        <f>_xlfn.XLOOKUP(Tabla1[[#This Row],[MARCA]],MARCAS!C:C,MARCAS!A:A)</f>
        <v>F0028</v>
      </c>
      <c r="I220" s="38" t="s">
        <v>765</v>
      </c>
      <c r="J220" s="37" t="s">
        <v>766</v>
      </c>
      <c r="K220" s="2" t="s">
        <v>767</v>
      </c>
    </row>
    <row r="221" spans="1:11" hidden="1" x14ac:dyDescent="0.25">
      <c r="A221" s="2" t="s">
        <v>9</v>
      </c>
      <c r="B221" s="2" t="str">
        <f>_xlfn.XLOOKUP(Tabla1[[#This Row],[SOCIEDAD]],centros!D:D,centros!E:E)</f>
        <v>VA00</v>
      </c>
      <c r="C221" s="2" t="s">
        <v>671</v>
      </c>
      <c r="D221" s="2" t="s">
        <v>21</v>
      </c>
      <c r="E221" s="2" t="str">
        <f>IFERROR(INDEX(centros!$H$2:$H$45,MATCH(TRIM(Tabla1[[#This Row],[SOCIEDAD]])&amp;"|"&amp;TRIM(Tabla1[[#This Row],[LOCALIDAD]]),centros!$G$2:$G$45,0)),"REVISAR")</f>
        <v>VA05</v>
      </c>
      <c r="F221" s="2" t="s">
        <v>26</v>
      </c>
      <c r="G221" s="2" t="str">
        <f>_xlfn.XLOOKUP(Tabla1[[#This Row],[MARCA]],MARCAS!E:E,MARCAS!F:F)</f>
        <v>110</v>
      </c>
      <c r="H221" s="2" t="str">
        <f>_xlfn.XLOOKUP(Tabla1[[#This Row],[MARCA]],MARCAS!C:C,MARCAS!A:A)</f>
        <v>F0006</v>
      </c>
      <c r="I221" s="38" t="s">
        <v>768</v>
      </c>
      <c r="J221" s="37" t="s">
        <v>769</v>
      </c>
      <c r="K221" s="2" t="s">
        <v>770</v>
      </c>
    </row>
    <row r="222" spans="1:11" hidden="1" x14ac:dyDescent="0.25">
      <c r="A222" s="2" t="s">
        <v>9</v>
      </c>
      <c r="B222" s="2" t="str">
        <f>_xlfn.XLOOKUP(Tabla1[[#This Row],[SOCIEDAD]],centros!D:D,centros!E:E)</f>
        <v>VA00</v>
      </c>
      <c r="C222" s="2" t="s">
        <v>671</v>
      </c>
      <c r="D222" s="2" t="s">
        <v>21</v>
      </c>
      <c r="E222" s="2" t="str">
        <f>IFERROR(INDEX(centros!$H$2:$H$45,MATCH(TRIM(Tabla1[[#This Row],[SOCIEDAD]])&amp;"|"&amp;TRIM(Tabla1[[#This Row],[LOCALIDAD]]),centros!$G$2:$G$45,0)),"REVISAR")</f>
        <v>VA05</v>
      </c>
      <c r="F222" s="2" t="s">
        <v>105</v>
      </c>
      <c r="G222" s="2" t="str">
        <f>_xlfn.XLOOKUP(Tabla1[[#This Row],[MARCA]],MARCAS!E:E,MARCAS!F:F)</f>
        <v>280</v>
      </c>
      <c r="H222" s="2" t="str">
        <f>_xlfn.XLOOKUP(Tabla1[[#This Row],[MARCA]],MARCAS!C:C,MARCAS!A:A)</f>
        <v>F9999</v>
      </c>
      <c r="I222" s="38" t="s">
        <v>771</v>
      </c>
      <c r="J222" s="37" t="s">
        <v>772</v>
      </c>
      <c r="K222" s="2" t="s">
        <v>773</v>
      </c>
    </row>
    <row r="223" spans="1:11" hidden="1" x14ac:dyDescent="0.25">
      <c r="A223" s="2" t="s">
        <v>9</v>
      </c>
      <c r="B223" s="2" t="str">
        <f>_xlfn.XLOOKUP(Tabla1[[#This Row],[SOCIEDAD]],centros!D:D,centros!E:E)</f>
        <v>VA00</v>
      </c>
      <c r="C223" s="2" t="s">
        <v>671</v>
      </c>
      <c r="D223" s="2" t="s">
        <v>21</v>
      </c>
      <c r="E223" s="2" t="str">
        <f>IFERROR(INDEX(centros!$H$2:$H$45,MATCH(TRIM(Tabla1[[#This Row],[SOCIEDAD]])&amp;"|"&amp;TRIM(Tabla1[[#This Row],[LOCALIDAD]]),centros!$G$2:$G$45,0)),"REVISAR")</f>
        <v>VA05</v>
      </c>
      <c r="F223" s="2" t="s">
        <v>84</v>
      </c>
      <c r="G223" s="2" t="str">
        <f>_xlfn.XLOOKUP(Tabla1[[#This Row],[MARCA]],MARCAS!E:E,MARCAS!F:F)</f>
        <v>060</v>
      </c>
      <c r="H223" s="2" t="str">
        <f>_xlfn.XLOOKUP(Tabla1[[#This Row],[MARCA]],MARCAS!C:C,MARCAS!A:A)</f>
        <v>F0022</v>
      </c>
      <c r="I223" s="38" t="s">
        <v>774</v>
      </c>
      <c r="J223" s="37" t="s">
        <v>775</v>
      </c>
      <c r="K223" s="2" t="s">
        <v>776</v>
      </c>
    </row>
    <row r="224" spans="1:11" hidden="1" x14ac:dyDescent="0.25">
      <c r="A224" s="2" t="s">
        <v>9</v>
      </c>
      <c r="B224" s="2" t="str">
        <f>_xlfn.XLOOKUP(Tabla1[[#This Row],[SOCIEDAD]],centros!D:D,centros!E:E)</f>
        <v>VA00</v>
      </c>
      <c r="C224" s="2" t="s">
        <v>219</v>
      </c>
      <c r="D224" s="2" t="s">
        <v>15</v>
      </c>
      <c r="E224" s="2" t="str">
        <f>IFERROR(INDEX(centros!$H$2:$H$45,MATCH(TRIM(Tabla1[[#This Row],[SOCIEDAD]])&amp;"|"&amp;TRIM(Tabla1[[#This Row],[LOCALIDAD]]),centros!$G$2:$G$45,0)),"REVISAR")</f>
        <v>VA02</v>
      </c>
      <c r="F224" s="2" t="s">
        <v>8</v>
      </c>
      <c r="G224" s="2" t="str">
        <f>_xlfn.XLOOKUP(Tabla1[[#This Row],[MARCA]],MARCAS!E:E,MARCAS!F:F)</f>
        <v>060</v>
      </c>
      <c r="H224" s="2" t="str">
        <f>_xlfn.XLOOKUP(Tabla1[[#This Row],[MARCA]],MARCAS!C:C,MARCAS!A:A)</f>
        <v>F0001</v>
      </c>
      <c r="I224" s="38" t="s">
        <v>777</v>
      </c>
      <c r="J224" s="37" t="s">
        <v>778</v>
      </c>
      <c r="K224" s="2" t="s">
        <v>779</v>
      </c>
    </row>
    <row r="225" spans="1:11" hidden="1" x14ac:dyDescent="0.25">
      <c r="A225" s="2" t="s">
        <v>9</v>
      </c>
      <c r="B225" s="2" t="str">
        <f>_xlfn.XLOOKUP(Tabla1[[#This Row],[SOCIEDAD]],centros!D:D,centros!E:E)</f>
        <v>VA00</v>
      </c>
      <c r="C225" s="2" t="s">
        <v>219</v>
      </c>
      <c r="D225" s="2" t="s">
        <v>15</v>
      </c>
      <c r="E225" s="2" t="str">
        <f>IFERROR(INDEX(centros!$H$2:$H$45,MATCH(TRIM(Tabla1[[#This Row],[SOCIEDAD]])&amp;"|"&amp;TRIM(Tabla1[[#This Row],[LOCALIDAD]]),centros!$G$2:$G$45,0)),"REVISAR")</f>
        <v>VA02</v>
      </c>
      <c r="F225" s="2" t="s">
        <v>98</v>
      </c>
      <c r="G225" s="2" t="str">
        <f>_xlfn.XLOOKUP(Tabla1[[#This Row],[MARCA]],MARCAS!E:E,MARCAS!F:F)</f>
        <v>080</v>
      </c>
      <c r="H225" s="2" t="str">
        <f>_xlfn.XLOOKUP(Tabla1[[#This Row],[MARCA]],MARCAS!C:C,MARCAS!A:A)</f>
        <v>F0028</v>
      </c>
      <c r="I225" s="38" t="s">
        <v>780</v>
      </c>
      <c r="J225" s="37" t="s">
        <v>781</v>
      </c>
      <c r="K225" s="2" t="s">
        <v>782</v>
      </c>
    </row>
    <row r="226" spans="1:11" hidden="1" x14ac:dyDescent="0.25">
      <c r="A226" s="2" t="s">
        <v>9</v>
      </c>
      <c r="B226" s="2" t="str">
        <f>_xlfn.XLOOKUP(Tabla1[[#This Row],[SOCIEDAD]],centros!D:D,centros!E:E)</f>
        <v>VA00</v>
      </c>
      <c r="C226" s="2" t="s">
        <v>219</v>
      </c>
      <c r="D226" s="2" t="s">
        <v>15</v>
      </c>
      <c r="E226" s="2" t="str">
        <f>IFERROR(INDEX(centros!$H$2:$H$45,MATCH(TRIM(Tabla1[[#This Row],[SOCIEDAD]])&amp;"|"&amp;TRIM(Tabla1[[#This Row],[LOCALIDAD]]),centros!$G$2:$G$45,0)),"REVISAR")</f>
        <v>VA02</v>
      </c>
      <c r="F226" s="2" t="s">
        <v>84</v>
      </c>
      <c r="G226" s="2" t="str">
        <f>_xlfn.XLOOKUP(Tabla1[[#This Row],[MARCA]],MARCAS!E:E,MARCAS!F:F)</f>
        <v>060</v>
      </c>
      <c r="H226" s="2" t="str">
        <f>_xlfn.XLOOKUP(Tabla1[[#This Row],[MARCA]],MARCAS!C:C,MARCAS!A:A)</f>
        <v>F0022</v>
      </c>
      <c r="I226" s="38" t="s">
        <v>783</v>
      </c>
      <c r="J226" s="37" t="s">
        <v>784</v>
      </c>
      <c r="K226" s="2" t="s">
        <v>785</v>
      </c>
    </row>
    <row r="227" spans="1:11" hidden="1" x14ac:dyDescent="0.25">
      <c r="A227" s="2" t="s">
        <v>9</v>
      </c>
      <c r="B227" s="2" t="str">
        <f>_xlfn.XLOOKUP(Tabla1[[#This Row],[SOCIEDAD]],centros!D:D,centros!E:E)</f>
        <v>VA00</v>
      </c>
      <c r="C227" s="2" t="s">
        <v>219</v>
      </c>
      <c r="D227" s="2" t="s">
        <v>13</v>
      </c>
      <c r="E227" s="2" t="str">
        <f>IFERROR(INDEX(centros!$H$2:$H$45,MATCH(TRIM(Tabla1[[#This Row],[SOCIEDAD]])&amp;"|"&amp;TRIM(Tabla1[[#This Row],[LOCALIDAD]]),centros!$G$2:$G$45,0)),"REVISAR")</f>
        <v>VA01</v>
      </c>
      <c r="F227" s="2" t="s">
        <v>8</v>
      </c>
      <c r="G227" s="2" t="str">
        <f>_xlfn.XLOOKUP(Tabla1[[#This Row],[MARCA]],MARCAS!E:E,MARCAS!F:F)</f>
        <v>060</v>
      </c>
      <c r="H227" s="2" t="str">
        <f>_xlfn.XLOOKUP(Tabla1[[#This Row],[MARCA]],MARCAS!C:C,MARCAS!A:A)</f>
        <v>F0001</v>
      </c>
      <c r="I227" s="38" t="s">
        <v>786</v>
      </c>
      <c r="J227" s="37" t="s">
        <v>787</v>
      </c>
      <c r="K227" s="2" t="s">
        <v>788</v>
      </c>
    </row>
    <row r="228" spans="1:11" hidden="1" x14ac:dyDescent="0.25">
      <c r="A228" s="2" t="s">
        <v>9</v>
      </c>
      <c r="B228" s="2" t="str">
        <f>_xlfn.XLOOKUP(Tabla1[[#This Row],[SOCIEDAD]],centros!D:D,centros!E:E)</f>
        <v>VA00</v>
      </c>
      <c r="C228" s="2" t="s">
        <v>219</v>
      </c>
      <c r="D228" s="2" t="s">
        <v>13</v>
      </c>
      <c r="E228" s="2" t="str">
        <f>IFERROR(INDEX(centros!$H$2:$H$45,MATCH(TRIM(Tabla1[[#This Row],[SOCIEDAD]])&amp;"|"&amp;TRIM(Tabla1[[#This Row],[LOCALIDAD]]),centros!$G$2:$G$45,0)),"REVISAR")</f>
        <v>VA01</v>
      </c>
      <c r="F228" s="2" t="s">
        <v>98</v>
      </c>
      <c r="G228" s="2" t="str">
        <f>_xlfn.XLOOKUP(Tabla1[[#This Row],[MARCA]],MARCAS!E:E,MARCAS!F:F)</f>
        <v>080</v>
      </c>
      <c r="H228" s="2" t="str">
        <f>_xlfn.XLOOKUP(Tabla1[[#This Row],[MARCA]],MARCAS!C:C,MARCAS!A:A)</f>
        <v>F0028</v>
      </c>
      <c r="I228" s="38" t="s">
        <v>789</v>
      </c>
      <c r="J228" s="37" t="s">
        <v>790</v>
      </c>
      <c r="K228" s="2" t="s">
        <v>791</v>
      </c>
    </row>
    <row r="229" spans="1:11" hidden="1" x14ac:dyDescent="0.25">
      <c r="A229" s="2" t="s">
        <v>9</v>
      </c>
      <c r="B229" s="2" t="str">
        <f>_xlfn.XLOOKUP(Tabla1[[#This Row],[SOCIEDAD]],centros!D:D,centros!E:E)</f>
        <v>VA00</v>
      </c>
      <c r="C229" s="2" t="s">
        <v>219</v>
      </c>
      <c r="D229" s="2" t="s">
        <v>13</v>
      </c>
      <c r="E229" s="2" t="str">
        <f>IFERROR(INDEX(centros!$H$2:$H$45,MATCH(TRIM(Tabla1[[#This Row],[SOCIEDAD]])&amp;"|"&amp;TRIM(Tabla1[[#This Row],[LOCALIDAD]]),centros!$G$2:$G$45,0)),"REVISAR")</f>
        <v>VA01</v>
      </c>
      <c r="F229" s="2" t="s">
        <v>84</v>
      </c>
      <c r="G229" s="2" t="str">
        <f>_xlfn.XLOOKUP(Tabla1[[#This Row],[MARCA]],MARCAS!E:E,MARCAS!F:F)</f>
        <v>060</v>
      </c>
      <c r="H229" s="2" t="str">
        <f>_xlfn.XLOOKUP(Tabla1[[#This Row],[MARCA]],MARCAS!C:C,MARCAS!A:A)</f>
        <v>F0022</v>
      </c>
      <c r="I229" s="38" t="s">
        <v>792</v>
      </c>
      <c r="J229" s="37" t="s">
        <v>793</v>
      </c>
      <c r="K229" s="2" t="s">
        <v>794</v>
      </c>
    </row>
    <row r="230" spans="1:11" hidden="1" x14ac:dyDescent="0.25">
      <c r="A230" s="2" t="s">
        <v>9</v>
      </c>
      <c r="B230" s="2" t="str">
        <f>_xlfn.XLOOKUP(Tabla1[[#This Row],[SOCIEDAD]],centros!D:D,centros!E:E)</f>
        <v>VA00</v>
      </c>
      <c r="C230" s="2" t="s">
        <v>219</v>
      </c>
      <c r="D230" s="2" t="s">
        <v>17</v>
      </c>
      <c r="E230" s="2" t="str">
        <f>IFERROR(INDEX(centros!$H$2:$H$45,MATCH(TRIM(Tabla1[[#This Row],[SOCIEDAD]])&amp;"|"&amp;TRIM(Tabla1[[#This Row],[LOCALIDAD]]),centros!$G$2:$G$45,0)),"REVISAR")</f>
        <v>VA03</v>
      </c>
      <c r="F230" s="2" t="s">
        <v>8</v>
      </c>
      <c r="G230" s="2" t="str">
        <f>_xlfn.XLOOKUP(Tabla1[[#This Row],[MARCA]],MARCAS!E:E,MARCAS!F:F)</f>
        <v>060</v>
      </c>
      <c r="H230" s="2" t="str">
        <f>_xlfn.XLOOKUP(Tabla1[[#This Row],[MARCA]],MARCAS!C:C,MARCAS!A:A)</f>
        <v>F0001</v>
      </c>
      <c r="I230" s="38" t="s">
        <v>795</v>
      </c>
      <c r="J230" s="37" t="s">
        <v>796</v>
      </c>
      <c r="K230" s="2" t="s">
        <v>797</v>
      </c>
    </row>
    <row r="231" spans="1:11" hidden="1" x14ac:dyDescent="0.25">
      <c r="A231" s="2" t="s">
        <v>9</v>
      </c>
      <c r="B231" s="2" t="str">
        <f>_xlfn.XLOOKUP(Tabla1[[#This Row],[SOCIEDAD]],centros!D:D,centros!E:E)</f>
        <v>VA00</v>
      </c>
      <c r="C231" s="2" t="s">
        <v>219</v>
      </c>
      <c r="D231" s="2" t="s">
        <v>17</v>
      </c>
      <c r="E231" s="2" t="str">
        <f>IFERROR(INDEX(centros!$H$2:$H$45,MATCH(TRIM(Tabla1[[#This Row],[SOCIEDAD]])&amp;"|"&amp;TRIM(Tabla1[[#This Row],[LOCALIDAD]]),centros!$G$2:$G$45,0)),"REVISAR")</f>
        <v>VA03</v>
      </c>
      <c r="F231" s="2" t="s">
        <v>98</v>
      </c>
      <c r="G231" s="2" t="str">
        <f>_xlfn.XLOOKUP(Tabla1[[#This Row],[MARCA]],MARCAS!E:E,MARCAS!F:F)</f>
        <v>080</v>
      </c>
      <c r="H231" s="2" t="str">
        <f>_xlfn.XLOOKUP(Tabla1[[#This Row],[MARCA]],MARCAS!C:C,MARCAS!A:A)</f>
        <v>F0028</v>
      </c>
      <c r="I231" s="38" t="s">
        <v>798</v>
      </c>
      <c r="J231" s="37" t="s">
        <v>799</v>
      </c>
      <c r="K231" s="2" t="s">
        <v>800</v>
      </c>
    </row>
    <row r="232" spans="1:11" hidden="1" x14ac:dyDescent="0.25">
      <c r="A232" s="2" t="s">
        <v>9</v>
      </c>
      <c r="B232" s="2" t="str">
        <f>_xlfn.XLOOKUP(Tabla1[[#This Row],[SOCIEDAD]],centros!D:D,centros!E:E)</f>
        <v>VA00</v>
      </c>
      <c r="C232" s="2" t="s">
        <v>219</v>
      </c>
      <c r="D232" s="2" t="s">
        <v>17</v>
      </c>
      <c r="E232" s="2" t="str">
        <f>IFERROR(INDEX(centros!$H$2:$H$45,MATCH(TRIM(Tabla1[[#This Row],[SOCIEDAD]])&amp;"|"&amp;TRIM(Tabla1[[#This Row],[LOCALIDAD]]),centros!$G$2:$G$45,0)),"REVISAR")</f>
        <v>VA03</v>
      </c>
      <c r="F232" s="2" t="s">
        <v>84</v>
      </c>
      <c r="G232" s="2" t="str">
        <f>_xlfn.XLOOKUP(Tabla1[[#This Row],[MARCA]],MARCAS!E:E,MARCAS!F:F)</f>
        <v>060</v>
      </c>
      <c r="H232" s="2" t="str">
        <f>_xlfn.XLOOKUP(Tabla1[[#This Row],[MARCA]],MARCAS!C:C,MARCAS!A:A)</f>
        <v>F0022</v>
      </c>
      <c r="I232" s="38" t="s">
        <v>801</v>
      </c>
      <c r="J232" s="37" t="s">
        <v>802</v>
      </c>
      <c r="K232" s="2" t="s">
        <v>803</v>
      </c>
    </row>
    <row r="233" spans="1:11" hidden="1" x14ac:dyDescent="0.25">
      <c r="A233" s="2" t="s">
        <v>9</v>
      </c>
      <c r="B233" s="2" t="str">
        <f>_xlfn.XLOOKUP(Tabla1[[#This Row],[SOCIEDAD]],centros!D:D,centros!E:E)</f>
        <v>VA00</v>
      </c>
      <c r="C233" s="2" t="s">
        <v>219</v>
      </c>
      <c r="D233" s="2" t="s">
        <v>23</v>
      </c>
      <c r="E233" s="2" t="str">
        <f>IFERROR(INDEX(centros!$H$2:$H$45,MATCH(TRIM(Tabla1[[#This Row],[SOCIEDAD]])&amp;"|"&amp;TRIM(Tabla1[[#This Row],[LOCALIDAD]]),centros!$G$2:$G$45,0)),"REVISAR")</f>
        <v>VA06</v>
      </c>
      <c r="F233" s="2" t="s">
        <v>8</v>
      </c>
      <c r="G233" s="2" t="str">
        <f>_xlfn.XLOOKUP(Tabla1[[#This Row],[MARCA]],MARCAS!E:E,MARCAS!F:F)</f>
        <v>060</v>
      </c>
      <c r="H233" s="2" t="str">
        <f>_xlfn.XLOOKUP(Tabla1[[#This Row],[MARCA]],MARCAS!C:C,MARCAS!A:A)</f>
        <v>F0001</v>
      </c>
      <c r="I233" s="38" t="s">
        <v>804</v>
      </c>
      <c r="J233" s="37" t="s">
        <v>805</v>
      </c>
      <c r="K233" s="2" t="s">
        <v>806</v>
      </c>
    </row>
    <row r="234" spans="1:11" hidden="1" x14ac:dyDescent="0.25">
      <c r="A234" s="2" t="s">
        <v>9</v>
      </c>
      <c r="B234" s="2" t="str">
        <f>_xlfn.XLOOKUP(Tabla1[[#This Row],[SOCIEDAD]],centros!D:D,centros!E:E)</f>
        <v>VA00</v>
      </c>
      <c r="C234" s="2" t="s">
        <v>219</v>
      </c>
      <c r="D234" s="2" t="s">
        <v>23</v>
      </c>
      <c r="E234" s="2" t="str">
        <f>IFERROR(INDEX(centros!$H$2:$H$45,MATCH(TRIM(Tabla1[[#This Row],[SOCIEDAD]])&amp;"|"&amp;TRIM(Tabla1[[#This Row],[LOCALIDAD]]),centros!$G$2:$G$45,0)),"REVISAR")</f>
        <v>VA06</v>
      </c>
      <c r="F234" s="2" t="s">
        <v>98</v>
      </c>
      <c r="G234" s="2" t="str">
        <f>_xlfn.XLOOKUP(Tabla1[[#This Row],[MARCA]],MARCAS!E:E,MARCAS!F:F)</f>
        <v>080</v>
      </c>
      <c r="H234" s="2" t="str">
        <f>_xlfn.XLOOKUP(Tabla1[[#This Row],[MARCA]],MARCAS!C:C,MARCAS!A:A)</f>
        <v>F0028</v>
      </c>
      <c r="I234" s="38" t="s">
        <v>807</v>
      </c>
      <c r="J234" s="37" t="s">
        <v>808</v>
      </c>
      <c r="K234" s="2" t="s">
        <v>809</v>
      </c>
    </row>
    <row r="235" spans="1:11" hidden="1" x14ac:dyDescent="0.25">
      <c r="A235" s="2" t="s">
        <v>9</v>
      </c>
      <c r="B235" s="2" t="str">
        <f>_xlfn.XLOOKUP(Tabla1[[#This Row],[SOCIEDAD]],centros!D:D,centros!E:E)</f>
        <v>VA00</v>
      </c>
      <c r="C235" s="2" t="s">
        <v>219</v>
      </c>
      <c r="D235" s="2" t="s">
        <v>23</v>
      </c>
      <c r="E235" s="2" t="str">
        <f>IFERROR(INDEX(centros!$H$2:$H$45,MATCH(TRIM(Tabla1[[#This Row],[SOCIEDAD]])&amp;"|"&amp;TRIM(Tabla1[[#This Row],[LOCALIDAD]]),centros!$G$2:$G$45,0)),"REVISAR")</f>
        <v>VA06</v>
      </c>
      <c r="F235" s="2" t="s">
        <v>84</v>
      </c>
      <c r="G235" s="2" t="str">
        <f>_xlfn.XLOOKUP(Tabla1[[#This Row],[MARCA]],MARCAS!E:E,MARCAS!F:F)</f>
        <v>060</v>
      </c>
      <c r="H235" s="2" t="str">
        <f>_xlfn.XLOOKUP(Tabla1[[#This Row],[MARCA]],MARCAS!C:C,MARCAS!A:A)</f>
        <v>F0022</v>
      </c>
      <c r="I235" s="38" t="s">
        <v>810</v>
      </c>
      <c r="J235" s="37" t="s">
        <v>811</v>
      </c>
      <c r="K235" s="2" t="s">
        <v>812</v>
      </c>
    </row>
    <row r="236" spans="1:11" hidden="1" x14ac:dyDescent="0.25">
      <c r="A236" s="2" t="s">
        <v>9</v>
      </c>
      <c r="B236" s="2" t="str">
        <f>_xlfn.XLOOKUP(Tabla1[[#This Row],[SOCIEDAD]],centros!D:D,centros!E:E)</f>
        <v>VA00</v>
      </c>
      <c r="C236" s="2" t="s">
        <v>219</v>
      </c>
      <c r="D236" s="2" t="s">
        <v>11</v>
      </c>
      <c r="E236" s="2" t="str">
        <f>IFERROR(INDEX(centros!$H$2:$H$45,MATCH(TRIM(Tabla1[[#This Row],[SOCIEDAD]])&amp;"|"&amp;TRIM(Tabla1[[#This Row],[LOCALIDAD]]),centros!$G$2:$G$45,0)),"REVISAR")</f>
        <v>VA00</v>
      </c>
      <c r="F236" s="2" t="s">
        <v>8</v>
      </c>
      <c r="G236" s="2" t="str">
        <f>_xlfn.XLOOKUP(Tabla1[[#This Row],[MARCA]],MARCAS!E:E,MARCAS!F:F)</f>
        <v>060</v>
      </c>
      <c r="H236" s="2" t="str">
        <f>_xlfn.XLOOKUP(Tabla1[[#This Row],[MARCA]],MARCAS!C:C,MARCAS!A:A)</f>
        <v>F0001</v>
      </c>
      <c r="I236" s="38" t="s">
        <v>813</v>
      </c>
      <c r="J236" s="37" t="s">
        <v>814</v>
      </c>
      <c r="K236" s="2" t="s">
        <v>815</v>
      </c>
    </row>
    <row r="237" spans="1:11" hidden="1" x14ac:dyDescent="0.25">
      <c r="A237" s="2" t="s">
        <v>9</v>
      </c>
      <c r="B237" s="2" t="str">
        <f>_xlfn.XLOOKUP(Tabla1[[#This Row],[SOCIEDAD]],centros!D:D,centros!E:E)</f>
        <v>VA00</v>
      </c>
      <c r="C237" s="2" t="s">
        <v>219</v>
      </c>
      <c r="D237" s="2" t="s">
        <v>11</v>
      </c>
      <c r="E237" s="2" t="str">
        <f>IFERROR(INDEX(centros!$H$2:$H$45,MATCH(TRIM(Tabla1[[#This Row],[SOCIEDAD]])&amp;"|"&amp;TRIM(Tabla1[[#This Row],[LOCALIDAD]]),centros!$G$2:$G$45,0)),"REVISAR")</f>
        <v>VA00</v>
      </c>
      <c r="F237" s="2" t="s">
        <v>98</v>
      </c>
      <c r="G237" s="2" t="str">
        <f>_xlfn.XLOOKUP(Tabla1[[#This Row],[MARCA]],MARCAS!E:E,MARCAS!F:F)</f>
        <v>080</v>
      </c>
      <c r="H237" s="2" t="str">
        <f>_xlfn.XLOOKUP(Tabla1[[#This Row],[MARCA]],MARCAS!C:C,MARCAS!A:A)</f>
        <v>F0028</v>
      </c>
      <c r="I237" s="38" t="s">
        <v>816</v>
      </c>
      <c r="J237" s="37" t="s">
        <v>817</v>
      </c>
      <c r="K237" s="2" t="s">
        <v>818</v>
      </c>
    </row>
    <row r="238" spans="1:11" hidden="1" x14ac:dyDescent="0.25">
      <c r="A238" s="2" t="s">
        <v>9</v>
      </c>
      <c r="B238" s="2" t="str">
        <f>_xlfn.XLOOKUP(Tabla1[[#This Row],[SOCIEDAD]],centros!D:D,centros!E:E)</f>
        <v>VA00</v>
      </c>
      <c r="C238" s="2" t="s">
        <v>219</v>
      </c>
      <c r="D238" s="2" t="s">
        <v>11</v>
      </c>
      <c r="E238" s="2" t="str">
        <f>IFERROR(INDEX(centros!$H$2:$H$45,MATCH(TRIM(Tabla1[[#This Row],[SOCIEDAD]])&amp;"|"&amp;TRIM(Tabla1[[#This Row],[LOCALIDAD]]),centros!$G$2:$G$45,0)),"REVISAR")</f>
        <v>VA00</v>
      </c>
      <c r="F238" s="2" t="s">
        <v>84</v>
      </c>
      <c r="G238" s="2" t="str">
        <f>_xlfn.XLOOKUP(Tabla1[[#This Row],[MARCA]],MARCAS!E:E,MARCAS!F:F)</f>
        <v>060</v>
      </c>
      <c r="H238" s="2" t="str">
        <f>_xlfn.XLOOKUP(Tabla1[[#This Row],[MARCA]],MARCAS!C:C,MARCAS!A:A)</f>
        <v>F0022</v>
      </c>
      <c r="I238" s="38" t="s">
        <v>819</v>
      </c>
      <c r="J238" s="37" t="s">
        <v>820</v>
      </c>
      <c r="K238" s="2" t="s">
        <v>821</v>
      </c>
    </row>
    <row r="239" spans="1:11" hidden="1" x14ac:dyDescent="0.25">
      <c r="A239" s="2" t="s">
        <v>9</v>
      </c>
      <c r="B239" s="2" t="str">
        <f>_xlfn.XLOOKUP(Tabla1[[#This Row],[SOCIEDAD]],centros!D:D,centros!E:E)</f>
        <v>VA00</v>
      </c>
      <c r="C239" s="2" t="s">
        <v>219</v>
      </c>
      <c r="D239" s="2" t="s">
        <v>19</v>
      </c>
      <c r="E239" s="2" t="str">
        <f>IFERROR(INDEX(centros!$H$2:$H$45,MATCH(TRIM(Tabla1[[#This Row],[SOCIEDAD]])&amp;"|"&amp;TRIM(Tabla1[[#This Row],[LOCALIDAD]]),centros!$G$2:$G$45,0)),"REVISAR")</f>
        <v>VA04</v>
      </c>
      <c r="F239" s="2" t="s">
        <v>8</v>
      </c>
      <c r="G239" s="2" t="str">
        <f>_xlfn.XLOOKUP(Tabla1[[#This Row],[MARCA]],MARCAS!E:E,MARCAS!F:F)</f>
        <v>060</v>
      </c>
      <c r="H239" s="2" t="str">
        <f>_xlfn.XLOOKUP(Tabla1[[#This Row],[MARCA]],MARCAS!C:C,MARCAS!A:A)</f>
        <v>F0001</v>
      </c>
      <c r="I239" s="38" t="s">
        <v>822</v>
      </c>
      <c r="J239" s="37" t="s">
        <v>823</v>
      </c>
      <c r="K239" s="2" t="s">
        <v>824</v>
      </c>
    </row>
    <row r="240" spans="1:11" hidden="1" x14ac:dyDescent="0.25">
      <c r="A240" s="2" t="s">
        <v>9</v>
      </c>
      <c r="B240" s="2" t="str">
        <f>_xlfn.XLOOKUP(Tabla1[[#This Row],[SOCIEDAD]],centros!D:D,centros!E:E)</f>
        <v>VA00</v>
      </c>
      <c r="C240" s="2" t="s">
        <v>219</v>
      </c>
      <c r="D240" s="2" t="s">
        <v>19</v>
      </c>
      <c r="E240" s="2" t="str">
        <f>IFERROR(INDEX(centros!$H$2:$H$45,MATCH(TRIM(Tabla1[[#This Row],[SOCIEDAD]])&amp;"|"&amp;TRIM(Tabla1[[#This Row],[LOCALIDAD]]),centros!$G$2:$G$45,0)),"REVISAR")</f>
        <v>VA04</v>
      </c>
      <c r="F240" s="2" t="s">
        <v>98</v>
      </c>
      <c r="G240" s="2" t="str">
        <f>_xlfn.XLOOKUP(Tabla1[[#This Row],[MARCA]],MARCAS!E:E,MARCAS!F:F)</f>
        <v>080</v>
      </c>
      <c r="H240" s="2" t="str">
        <f>_xlfn.XLOOKUP(Tabla1[[#This Row],[MARCA]],MARCAS!C:C,MARCAS!A:A)</f>
        <v>F0028</v>
      </c>
      <c r="I240" s="38" t="s">
        <v>825</v>
      </c>
      <c r="J240" s="37" t="s">
        <v>826</v>
      </c>
      <c r="K240" s="2" t="s">
        <v>827</v>
      </c>
    </row>
    <row r="241" spans="1:11" hidden="1" x14ac:dyDescent="0.25">
      <c r="A241" s="2" t="s">
        <v>9</v>
      </c>
      <c r="B241" s="2" t="str">
        <f>_xlfn.XLOOKUP(Tabla1[[#This Row],[SOCIEDAD]],centros!D:D,centros!E:E)</f>
        <v>VA00</v>
      </c>
      <c r="C241" s="2" t="s">
        <v>219</v>
      </c>
      <c r="D241" s="2" t="s">
        <v>19</v>
      </c>
      <c r="E241" s="2" t="str">
        <f>IFERROR(INDEX(centros!$H$2:$H$45,MATCH(TRIM(Tabla1[[#This Row],[SOCIEDAD]])&amp;"|"&amp;TRIM(Tabla1[[#This Row],[LOCALIDAD]]),centros!$G$2:$G$45,0)),"REVISAR")</f>
        <v>VA04</v>
      </c>
      <c r="F241" s="2" t="s">
        <v>84</v>
      </c>
      <c r="G241" s="2" t="str">
        <f>_xlfn.XLOOKUP(Tabla1[[#This Row],[MARCA]],MARCAS!E:E,MARCAS!F:F)</f>
        <v>060</v>
      </c>
      <c r="H241" s="2" t="str">
        <f>_xlfn.XLOOKUP(Tabla1[[#This Row],[MARCA]],MARCAS!C:C,MARCAS!A:A)</f>
        <v>F0022</v>
      </c>
      <c r="I241" s="38" t="s">
        <v>828</v>
      </c>
      <c r="J241" s="37" t="s">
        <v>829</v>
      </c>
      <c r="K241" s="2" t="s">
        <v>830</v>
      </c>
    </row>
    <row r="242" spans="1:11" hidden="1" x14ac:dyDescent="0.25">
      <c r="A242" s="2" t="s">
        <v>9</v>
      </c>
      <c r="B242" s="2" t="str">
        <f>_xlfn.XLOOKUP(Tabla1[[#This Row],[SOCIEDAD]],centros!D:D,centros!E:E)</f>
        <v>VA00</v>
      </c>
      <c r="C242" s="2" t="s">
        <v>219</v>
      </c>
      <c r="D242" s="2" t="s">
        <v>21</v>
      </c>
      <c r="E242" s="2" t="str">
        <f>IFERROR(INDEX(centros!$H$2:$H$45,MATCH(TRIM(Tabla1[[#This Row],[SOCIEDAD]])&amp;"|"&amp;TRIM(Tabla1[[#This Row],[LOCALIDAD]]),centros!$G$2:$G$45,0)),"REVISAR")</f>
        <v>VA05</v>
      </c>
      <c r="F242" s="2" t="s">
        <v>8</v>
      </c>
      <c r="G242" s="2" t="str">
        <f>_xlfn.XLOOKUP(Tabla1[[#This Row],[MARCA]],MARCAS!E:E,MARCAS!F:F)</f>
        <v>060</v>
      </c>
      <c r="H242" s="2" t="str">
        <f>_xlfn.XLOOKUP(Tabla1[[#This Row],[MARCA]],MARCAS!C:C,MARCAS!A:A)</f>
        <v>F0001</v>
      </c>
      <c r="I242" s="38" t="s">
        <v>831</v>
      </c>
      <c r="J242" s="37" t="s">
        <v>832</v>
      </c>
      <c r="K242" s="2" t="s">
        <v>833</v>
      </c>
    </row>
    <row r="243" spans="1:11" hidden="1" x14ac:dyDescent="0.25">
      <c r="A243" s="2" t="s">
        <v>9</v>
      </c>
      <c r="B243" s="2" t="str">
        <f>_xlfn.XLOOKUP(Tabla1[[#This Row],[SOCIEDAD]],centros!D:D,centros!E:E)</f>
        <v>VA00</v>
      </c>
      <c r="C243" s="2" t="s">
        <v>219</v>
      </c>
      <c r="D243" s="2" t="s">
        <v>21</v>
      </c>
      <c r="E243" s="2" t="str">
        <f>IFERROR(INDEX(centros!$H$2:$H$45,MATCH(TRIM(Tabla1[[#This Row],[SOCIEDAD]])&amp;"|"&amp;TRIM(Tabla1[[#This Row],[LOCALIDAD]]),centros!$G$2:$G$45,0)),"REVISAR")</f>
        <v>VA05</v>
      </c>
      <c r="F243" s="2" t="s">
        <v>98</v>
      </c>
      <c r="G243" s="2" t="str">
        <f>_xlfn.XLOOKUP(Tabla1[[#This Row],[MARCA]],MARCAS!E:E,MARCAS!F:F)</f>
        <v>080</v>
      </c>
      <c r="H243" s="2" t="str">
        <f>_xlfn.XLOOKUP(Tabla1[[#This Row],[MARCA]],MARCAS!C:C,MARCAS!A:A)</f>
        <v>F0028</v>
      </c>
      <c r="I243" s="38" t="s">
        <v>834</v>
      </c>
      <c r="J243" s="37" t="s">
        <v>835</v>
      </c>
      <c r="K243" s="2" t="s">
        <v>836</v>
      </c>
    </row>
    <row r="244" spans="1:11" hidden="1" x14ac:dyDescent="0.25">
      <c r="A244" s="2" t="s">
        <v>9</v>
      </c>
      <c r="B244" s="2" t="str">
        <f>_xlfn.XLOOKUP(Tabla1[[#This Row],[SOCIEDAD]],centros!D:D,centros!E:E)</f>
        <v>VA00</v>
      </c>
      <c r="C244" s="2" t="s">
        <v>219</v>
      </c>
      <c r="D244" s="2" t="s">
        <v>21</v>
      </c>
      <c r="E244" s="2" t="str">
        <f>IFERROR(INDEX(centros!$H$2:$H$45,MATCH(TRIM(Tabla1[[#This Row],[SOCIEDAD]])&amp;"|"&amp;TRIM(Tabla1[[#This Row],[LOCALIDAD]]),centros!$G$2:$G$45,0)),"REVISAR")</f>
        <v>VA05</v>
      </c>
      <c r="F244" s="2" t="s">
        <v>84</v>
      </c>
      <c r="G244" s="2" t="str">
        <f>_xlfn.XLOOKUP(Tabla1[[#This Row],[MARCA]],MARCAS!E:E,MARCAS!F:F)</f>
        <v>060</v>
      </c>
      <c r="H244" s="2" t="str">
        <f>_xlfn.XLOOKUP(Tabla1[[#This Row],[MARCA]],MARCAS!C:C,MARCAS!A:A)</f>
        <v>F0022</v>
      </c>
      <c r="I244" s="38" t="s">
        <v>837</v>
      </c>
      <c r="J244" s="37" t="s">
        <v>838</v>
      </c>
      <c r="K244" s="2" t="s">
        <v>839</v>
      </c>
    </row>
    <row r="245" spans="1:11" hidden="1" x14ac:dyDescent="0.25">
      <c r="A245" s="2" t="s">
        <v>9</v>
      </c>
      <c r="B245" s="2" t="str">
        <f>_xlfn.XLOOKUP(Tabla1[[#This Row],[SOCIEDAD]],centros!D:D,centros!E:E)</f>
        <v>VA00</v>
      </c>
      <c r="C245" s="2" t="s">
        <v>112</v>
      </c>
      <c r="D245" s="2" t="s">
        <v>15</v>
      </c>
      <c r="E245" s="2" t="str">
        <f>IFERROR(INDEX(centros!$H$2:$H$45,MATCH(TRIM(Tabla1[[#This Row],[SOCIEDAD]])&amp;"|"&amp;TRIM(Tabla1[[#This Row],[LOCALIDAD]]),centros!$G$2:$G$45,0)),"REVISAR")</f>
        <v>VA02</v>
      </c>
      <c r="F245" s="2" t="s">
        <v>8</v>
      </c>
      <c r="G245" s="2" t="str">
        <f>_xlfn.XLOOKUP(Tabla1[[#This Row],[MARCA]],MARCAS!E:E,MARCAS!F:F)</f>
        <v>060</v>
      </c>
      <c r="H245" s="2" t="str">
        <f>_xlfn.XLOOKUP(Tabla1[[#This Row],[MARCA]],MARCAS!C:C,MARCAS!A:A)</f>
        <v>F0001</v>
      </c>
      <c r="I245" s="38" t="s">
        <v>840</v>
      </c>
      <c r="J245" s="37" t="s">
        <v>841</v>
      </c>
      <c r="K245" s="2" t="s">
        <v>842</v>
      </c>
    </row>
    <row r="246" spans="1:11" hidden="1" x14ac:dyDescent="0.25">
      <c r="A246" s="2" t="s">
        <v>9</v>
      </c>
      <c r="B246" s="2" t="str">
        <f>_xlfn.XLOOKUP(Tabla1[[#This Row],[SOCIEDAD]],centros!D:D,centros!E:E)</f>
        <v>VA00</v>
      </c>
      <c r="C246" s="2" t="s">
        <v>112</v>
      </c>
      <c r="D246" s="2" t="s">
        <v>15</v>
      </c>
      <c r="E246" s="2" t="str">
        <f>IFERROR(INDEX(centros!$H$2:$H$45,MATCH(TRIM(Tabla1[[#This Row],[SOCIEDAD]])&amp;"|"&amp;TRIM(Tabla1[[#This Row],[LOCALIDAD]]),centros!$G$2:$G$45,0)),"REVISAR")</f>
        <v>VA02</v>
      </c>
      <c r="F246" s="2" t="s">
        <v>98</v>
      </c>
      <c r="G246" s="2" t="str">
        <f>_xlfn.XLOOKUP(Tabla1[[#This Row],[MARCA]],MARCAS!E:E,MARCAS!F:F)</f>
        <v>080</v>
      </c>
      <c r="H246" s="2" t="str">
        <f>_xlfn.XLOOKUP(Tabla1[[#This Row],[MARCA]],MARCAS!C:C,MARCAS!A:A)</f>
        <v>F0028</v>
      </c>
      <c r="I246" s="38" t="s">
        <v>843</v>
      </c>
      <c r="J246" s="37" t="s">
        <v>844</v>
      </c>
      <c r="K246" s="2" t="s">
        <v>845</v>
      </c>
    </row>
    <row r="247" spans="1:11" hidden="1" x14ac:dyDescent="0.25">
      <c r="A247" s="2" t="s">
        <v>9</v>
      </c>
      <c r="B247" s="2" t="str">
        <f>_xlfn.XLOOKUP(Tabla1[[#This Row],[SOCIEDAD]],centros!D:D,centros!E:E)</f>
        <v>VA00</v>
      </c>
      <c r="C247" s="2" t="s">
        <v>112</v>
      </c>
      <c r="D247" s="2" t="s">
        <v>15</v>
      </c>
      <c r="E247" s="2" t="str">
        <f>IFERROR(INDEX(centros!$H$2:$H$45,MATCH(TRIM(Tabla1[[#This Row],[SOCIEDAD]])&amp;"|"&amp;TRIM(Tabla1[[#This Row],[LOCALIDAD]]),centros!$G$2:$G$45,0)),"REVISAR")</f>
        <v>VA02</v>
      </c>
      <c r="F247" s="2" t="s">
        <v>26</v>
      </c>
      <c r="G247" s="2" t="str">
        <f>_xlfn.XLOOKUP(Tabla1[[#This Row],[MARCA]],MARCAS!E:E,MARCAS!F:F)</f>
        <v>110</v>
      </c>
      <c r="H247" s="2" t="str">
        <f>_xlfn.XLOOKUP(Tabla1[[#This Row],[MARCA]],MARCAS!C:C,MARCAS!A:A)</f>
        <v>F0006</v>
      </c>
      <c r="I247" s="38" t="s">
        <v>846</v>
      </c>
      <c r="J247" s="37" t="s">
        <v>847</v>
      </c>
      <c r="K247" s="2" t="s">
        <v>848</v>
      </c>
    </row>
    <row r="248" spans="1:11" hidden="1" x14ac:dyDescent="0.25">
      <c r="A248" s="2" t="s">
        <v>9</v>
      </c>
      <c r="B248" s="2" t="str">
        <f>_xlfn.XLOOKUP(Tabla1[[#This Row],[SOCIEDAD]],centros!D:D,centros!E:E)</f>
        <v>VA00</v>
      </c>
      <c r="C248" s="2" t="s">
        <v>112</v>
      </c>
      <c r="D248" s="2" t="s">
        <v>15</v>
      </c>
      <c r="E248" s="2" t="str">
        <f>IFERROR(INDEX(centros!$H$2:$H$45,MATCH(TRIM(Tabla1[[#This Row],[SOCIEDAD]])&amp;"|"&amp;TRIM(Tabla1[[#This Row],[LOCALIDAD]]),centros!$G$2:$G$45,0)),"REVISAR")</f>
        <v>VA02</v>
      </c>
      <c r="F248" s="2" t="s">
        <v>84</v>
      </c>
      <c r="G248" s="2" t="str">
        <f>_xlfn.XLOOKUP(Tabla1[[#This Row],[MARCA]],MARCAS!E:E,MARCAS!F:F)</f>
        <v>060</v>
      </c>
      <c r="H248" s="2" t="str">
        <f>_xlfn.XLOOKUP(Tabla1[[#This Row],[MARCA]],MARCAS!C:C,MARCAS!A:A)</f>
        <v>F0022</v>
      </c>
      <c r="I248" s="38" t="s">
        <v>849</v>
      </c>
      <c r="J248" s="37" t="s">
        <v>850</v>
      </c>
      <c r="K248" s="2" t="s">
        <v>851</v>
      </c>
    </row>
    <row r="249" spans="1:11" hidden="1" x14ac:dyDescent="0.25">
      <c r="A249" s="2" t="s">
        <v>9</v>
      </c>
      <c r="B249" s="2" t="str">
        <f>_xlfn.XLOOKUP(Tabla1[[#This Row],[SOCIEDAD]],centros!D:D,centros!E:E)</f>
        <v>VA00</v>
      </c>
      <c r="C249" s="2" t="s">
        <v>112</v>
      </c>
      <c r="D249" s="2" t="s">
        <v>13</v>
      </c>
      <c r="E249" s="2" t="str">
        <f>IFERROR(INDEX(centros!$H$2:$H$45,MATCH(TRIM(Tabla1[[#This Row],[SOCIEDAD]])&amp;"|"&amp;TRIM(Tabla1[[#This Row],[LOCALIDAD]]),centros!$G$2:$G$45,0)),"REVISAR")</f>
        <v>VA01</v>
      </c>
      <c r="F249" s="2" t="s">
        <v>8</v>
      </c>
      <c r="G249" s="2" t="str">
        <f>_xlfn.XLOOKUP(Tabla1[[#This Row],[MARCA]],MARCAS!E:E,MARCAS!F:F)</f>
        <v>060</v>
      </c>
      <c r="H249" s="2" t="str">
        <f>_xlfn.XLOOKUP(Tabla1[[#This Row],[MARCA]],MARCAS!C:C,MARCAS!A:A)</f>
        <v>F0001</v>
      </c>
      <c r="I249" s="38" t="s">
        <v>852</v>
      </c>
      <c r="J249" s="37" t="s">
        <v>853</v>
      </c>
      <c r="K249" s="2" t="s">
        <v>854</v>
      </c>
    </row>
    <row r="250" spans="1:11" hidden="1" x14ac:dyDescent="0.25">
      <c r="A250" s="2" t="s">
        <v>9</v>
      </c>
      <c r="B250" s="2" t="str">
        <f>_xlfn.XLOOKUP(Tabla1[[#This Row],[SOCIEDAD]],centros!D:D,centros!E:E)</f>
        <v>VA00</v>
      </c>
      <c r="C250" s="2" t="s">
        <v>112</v>
      </c>
      <c r="D250" s="2" t="s">
        <v>13</v>
      </c>
      <c r="E250" s="2" t="str">
        <f>IFERROR(INDEX(centros!$H$2:$H$45,MATCH(TRIM(Tabla1[[#This Row],[SOCIEDAD]])&amp;"|"&amp;TRIM(Tabla1[[#This Row],[LOCALIDAD]]),centros!$G$2:$G$45,0)),"REVISAR")</f>
        <v>VA01</v>
      </c>
      <c r="F250" s="2" t="s">
        <v>98</v>
      </c>
      <c r="G250" s="2" t="str">
        <f>_xlfn.XLOOKUP(Tabla1[[#This Row],[MARCA]],MARCAS!E:E,MARCAS!F:F)</f>
        <v>080</v>
      </c>
      <c r="H250" s="2" t="str">
        <f>_xlfn.XLOOKUP(Tabla1[[#This Row],[MARCA]],MARCAS!C:C,MARCAS!A:A)</f>
        <v>F0028</v>
      </c>
      <c r="I250" s="38" t="s">
        <v>855</v>
      </c>
      <c r="J250" s="37" t="s">
        <v>856</v>
      </c>
      <c r="K250" s="2" t="s">
        <v>857</v>
      </c>
    </row>
    <row r="251" spans="1:11" hidden="1" x14ac:dyDescent="0.25">
      <c r="A251" s="2" t="s">
        <v>9</v>
      </c>
      <c r="B251" s="2" t="str">
        <f>_xlfn.XLOOKUP(Tabla1[[#This Row],[SOCIEDAD]],centros!D:D,centros!E:E)</f>
        <v>VA00</v>
      </c>
      <c r="C251" s="2" t="s">
        <v>112</v>
      </c>
      <c r="D251" s="2" t="s">
        <v>13</v>
      </c>
      <c r="E251" s="2" t="str">
        <f>IFERROR(INDEX(centros!$H$2:$H$45,MATCH(TRIM(Tabla1[[#This Row],[SOCIEDAD]])&amp;"|"&amp;TRIM(Tabla1[[#This Row],[LOCALIDAD]]),centros!$G$2:$G$45,0)),"REVISAR")</f>
        <v>VA01</v>
      </c>
      <c r="F251" s="2" t="s">
        <v>26</v>
      </c>
      <c r="G251" s="2" t="str">
        <f>_xlfn.XLOOKUP(Tabla1[[#This Row],[MARCA]],MARCAS!E:E,MARCAS!F:F)</f>
        <v>110</v>
      </c>
      <c r="H251" s="2" t="str">
        <f>_xlfn.XLOOKUP(Tabla1[[#This Row],[MARCA]],MARCAS!C:C,MARCAS!A:A)</f>
        <v>F0006</v>
      </c>
      <c r="I251" s="38" t="s">
        <v>858</v>
      </c>
      <c r="J251" s="37" t="s">
        <v>859</v>
      </c>
      <c r="K251" s="2" t="s">
        <v>860</v>
      </c>
    </row>
    <row r="252" spans="1:11" hidden="1" x14ac:dyDescent="0.25">
      <c r="A252" s="2" t="s">
        <v>9</v>
      </c>
      <c r="B252" s="2" t="str">
        <f>_xlfn.XLOOKUP(Tabla1[[#This Row],[SOCIEDAD]],centros!D:D,centros!E:E)</f>
        <v>VA00</v>
      </c>
      <c r="C252" s="2" t="s">
        <v>112</v>
      </c>
      <c r="D252" s="2" t="s">
        <v>13</v>
      </c>
      <c r="E252" s="2" t="str">
        <f>IFERROR(INDEX(centros!$H$2:$H$45,MATCH(TRIM(Tabla1[[#This Row],[SOCIEDAD]])&amp;"|"&amp;TRIM(Tabla1[[#This Row],[LOCALIDAD]]),centros!$G$2:$G$45,0)),"REVISAR")</f>
        <v>VA01</v>
      </c>
      <c r="F252" s="2" t="s">
        <v>84</v>
      </c>
      <c r="G252" s="2" t="str">
        <f>_xlfn.XLOOKUP(Tabla1[[#This Row],[MARCA]],MARCAS!E:E,MARCAS!F:F)</f>
        <v>060</v>
      </c>
      <c r="H252" s="2" t="str">
        <f>_xlfn.XLOOKUP(Tabla1[[#This Row],[MARCA]],MARCAS!C:C,MARCAS!A:A)</f>
        <v>F0022</v>
      </c>
      <c r="I252" s="38" t="s">
        <v>861</v>
      </c>
      <c r="J252" s="37" t="s">
        <v>862</v>
      </c>
      <c r="K252" s="2" t="s">
        <v>863</v>
      </c>
    </row>
    <row r="253" spans="1:11" hidden="1" x14ac:dyDescent="0.25">
      <c r="A253" s="2" t="s">
        <v>9</v>
      </c>
      <c r="B253" s="2" t="str">
        <f>_xlfn.XLOOKUP(Tabla1[[#This Row],[SOCIEDAD]],centros!D:D,centros!E:E)</f>
        <v>VA00</v>
      </c>
      <c r="C253" s="2" t="s">
        <v>112</v>
      </c>
      <c r="D253" s="2" t="s">
        <v>17</v>
      </c>
      <c r="E253" s="2" t="str">
        <f>IFERROR(INDEX(centros!$H$2:$H$45,MATCH(TRIM(Tabla1[[#This Row],[SOCIEDAD]])&amp;"|"&amp;TRIM(Tabla1[[#This Row],[LOCALIDAD]]),centros!$G$2:$G$45,0)),"REVISAR")</f>
        <v>VA03</v>
      </c>
      <c r="F253" s="2" t="s">
        <v>8</v>
      </c>
      <c r="G253" s="2" t="str">
        <f>_xlfn.XLOOKUP(Tabla1[[#This Row],[MARCA]],MARCAS!E:E,MARCAS!F:F)</f>
        <v>060</v>
      </c>
      <c r="H253" s="2" t="str">
        <f>_xlfn.XLOOKUP(Tabla1[[#This Row],[MARCA]],MARCAS!C:C,MARCAS!A:A)</f>
        <v>F0001</v>
      </c>
      <c r="I253" s="38" t="s">
        <v>864</v>
      </c>
      <c r="J253" s="37" t="s">
        <v>865</v>
      </c>
      <c r="K253" s="2" t="s">
        <v>866</v>
      </c>
    </row>
    <row r="254" spans="1:11" hidden="1" x14ac:dyDescent="0.25">
      <c r="A254" s="2" t="s">
        <v>9</v>
      </c>
      <c r="B254" s="2" t="str">
        <f>_xlfn.XLOOKUP(Tabla1[[#This Row],[SOCIEDAD]],centros!D:D,centros!E:E)</f>
        <v>VA00</v>
      </c>
      <c r="C254" s="2" t="s">
        <v>112</v>
      </c>
      <c r="D254" s="2" t="s">
        <v>17</v>
      </c>
      <c r="E254" s="2" t="str">
        <f>IFERROR(INDEX(centros!$H$2:$H$45,MATCH(TRIM(Tabla1[[#This Row],[SOCIEDAD]])&amp;"|"&amp;TRIM(Tabla1[[#This Row],[LOCALIDAD]]),centros!$G$2:$G$45,0)),"REVISAR")</f>
        <v>VA03</v>
      </c>
      <c r="F254" s="2" t="s">
        <v>98</v>
      </c>
      <c r="G254" s="2" t="str">
        <f>_xlfn.XLOOKUP(Tabla1[[#This Row],[MARCA]],MARCAS!E:E,MARCAS!F:F)</f>
        <v>080</v>
      </c>
      <c r="H254" s="2" t="str">
        <f>_xlfn.XLOOKUP(Tabla1[[#This Row],[MARCA]],MARCAS!C:C,MARCAS!A:A)</f>
        <v>F0028</v>
      </c>
      <c r="I254" s="38" t="s">
        <v>867</v>
      </c>
      <c r="J254" s="37" t="s">
        <v>868</v>
      </c>
      <c r="K254" s="2" t="s">
        <v>869</v>
      </c>
    </row>
    <row r="255" spans="1:11" hidden="1" x14ac:dyDescent="0.25">
      <c r="A255" s="2" t="s">
        <v>9</v>
      </c>
      <c r="B255" s="2" t="str">
        <f>_xlfn.XLOOKUP(Tabla1[[#This Row],[SOCIEDAD]],centros!D:D,centros!E:E)</f>
        <v>VA00</v>
      </c>
      <c r="C255" s="2" t="s">
        <v>112</v>
      </c>
      <c r="D255" s="2" t="s">
        <v>17</v>
      </c>
      <c r="E255" s="2" t="str">
        <f>IFERROR(INDEX(centros!$H$2:$H$45,MATCH(TRIM(Tabla1[[#This Row],[SOCIEDAD]])&amp;"|"&amp;TRIM(Tabla1[[#This Row],[LOCALIDAD]]),centros!$G$2:$G$45,0)),"REVISAR")</f>
        <v>VA03</v>
      </c>
      <c r="F255" s="2" t="s">
        <v>26</v>
      </c>
      <c r="G255" s="2" t="str">
        <f>_xlfn.XLOOKUP(Tabla1[[#This Row],[MARCA]],MARCAS!E:E,MARCAS!F:F)</f>
        <v>110</v>
      </c>
      <c r="H255" s="2" t="str">
        <f>_xlfn.XLOOKUP(Tabla1[[#This Row],[MARCA]],MARCAS!C:C,MARCAS!A:A)</f>
        <v>F0006</v>
      </c>
      <c r="I255" s="38" t="s">
        <v>870</v>
      </c>
      <c r="J255" s="37" t="s">
        <v>871</v>
      </c>
      <c r="K255" s="2" t="s">
        <v>872</v>
      </c>
    </row>
    <row r="256" spans="1:11" hidden="1" x14ac:dyDescent="0.25">
      <c r="A256" s="2" t="s">
        <v>9</v>
      </c>
      <c r="B256" s="2" t="str">
        <f>_xlfn.XLOOKUP(Tabla1[[#This Row],[SOCIEDAD]],centros!D:D,centros!E:E)</f>
        <v>VA00</v>
      </c>
      <c r="C256" s="2" t="s">
        <v>112</v>
      </c>
      <c r="D256" s="2" t="s">
        <v>17</v>
      </c>
      <c r="E256" s="2" t="str">
        <f>IFERROR(INDEX(centros!$H$2:$H$45,MATCH(TRIM(Tabla1[[#This Row],[SOCIEDAD]])&amp;"|"&amp;TRIM(Tabla1[[#This Row],[LOCALIDAD]]),centros!$G$2:$G$45,0)),"REVISAR")</f>
        <v>VA03</v>
      </c>
      <c r="F256" s="2" t="s">
        <v>84</v>
      </c>
      <c r="G256" s="2" t="str">
        <f>_xlfn.XLOOKUP(Tabla1[[#This Row],[MARCA]],MARCAS!E:E,MARCAS!F:F)</f>
        <v>060</v>
      </c>
      <c r="H256" s="2" t="str">
        <f>_xlfn.XLOOKUP(Tabla1[[#This Row],[MARCA]],MARCAS!C:C,MARCAS!A:A)</f>
        <v>F0022</v>
      </c>
      <c r="I256" s="38" t="s">
        <v>873</v>
      </c>
      <c r="J256" s="37" t="s">
        <v>874</v>
      </c>
      <c r="K256" s="2" t="s">
        <v>875</v>
      </c>
    </row>
    <row r="257" spans="1:11" hidden="1" x14ac:dyDescent="0.25">
      <c r="A257" s="2" t="s">
        <v>9</v>
      </c>
      <c r="B257" s="2" t="str">
        <f>_xlfn.XLOOKUP(Tabla1[[#This Row],[SOCIEDAD]],centros!D:D,centros!E:E)</f>
        <v>VA00</v>
      </c>
      <c r="C257" s="2" t="s">
        <v>112</v>
      </c>
      <c r="D257" s="2" t="s">
        <v>23</v>
      </c>
      <c r="E257" s="2" t="str">
        <f>IFERROR(INDEX(centros!$H$2:$H$45,MATCH(TRIM(Tabla1[[#This Row],[SOCIEDAD]])&amp;"|"&amp;TRIM(Tabla1[[#This Row],[LOCALIDAD]]),centros!$G$2:$G$45,0)),"REVISAR")</f>
        <v>VA06</v>
      </c>
      <c r="F257" s="2" t="s">
        <v>8</v>
      </c>
      <c r="G257" s="2" t="str">
        <f>_xlfn.XLOOKUP(Tabla1[[#This Row],[MARCA]],MARCAS!E:E,MARCAS!F:F)</f>
        <v>060</v>
      </c>
      <c r="H257" s="2" t="str">
        <f>_xlfn.XLOOKUP(Tabla1[[#This Row],[MARCA]],MARCAS!C:C,MARCAS!A:A)</f>
        <v>F0001</v>
      </c>
      <c r="I257" s="38" t="s">
        <v>876</v>
      </c>
      <c r="J257" s="37" t="s">
        <v>877</v>
      </c>
      <c r="K257" s="2" t="s">
        <v>878</v>
      </c>
    </row>
    <row r="258" spans="1:11" hidden="1" x14ac:dyDescent="0.25">
      <c r="A258" s="2" t="s">
        <v>9</v>
      </c>
      <c r="B258" s="2" t="str">
        <f>_xlfn.XLOOKUP(Tabla1[[#This Row],[SOCIEDAD]],centros!D:D,centros!E:E)</f>
        <v>VA00</v>
      </c>
      <c r="C258" s="2" t="s">
        <v>112</v>
      </c>
      <c r="D258" s="2" t="s">
        <v>23</v>
      </c>
      <c r="E258" s="2" t="str">
        <f>IFERROR(INDEX(centros!$H$2:$H$45,MATCH(TRIM(Tabla1[[#This Row],[SOCIEDAD]])&amp;"|"&amp;TRIM(Tabla1[[#This Row],[LOCALIDAD]]),centros!$G$2:$G$45,0)),"REVISAR")</f>
        <v>VA06</v>
      </c>
      <c r="F258" s="2" t="s">
        <v>98</v>
      </c>
      <c r="G258" s="2" t="str">
        <f>_xlfn.XLOOKUP(Tabla1[[#This Row],[MARCA]],MARCAS!E:E,MARCAS!F:F)</f>
        <v>080</v>
      </c>
      <c r="H258" s="2" t="str">
        <f>_xlfn.XLOOKUP(Tabla1[[#This Row],[MARCA]],MARCAS!C:C,MARCAS!A:A)</f>
        <v>F0028</v>
      </c>
      <c r="I258" s="38" t="s">
        <v>879</v>
      </c>
      <c r="J258" s="37" t="s">
        <v>880</v>
      </c>
      <c r="K258" s="2" t="s">
        <v>881</v>
      </c>
    </row>
    <row r="259" spans="1:11" hidden="1" x14ac:dyDescent="0.25">
      <c r="A259" s="2" t="s">
        <v>9</v>
      </c>
      <c r="B259" s="2" t="str">
        <f>_xlfn.XLOOKUP(Tabla1[[#This Row],[SOCIEDAD]],centros!D:D,centros!E:E)</f>
        <v>VA00</v>
      </c>
      <c r="C259" s="2" t="s">
        <v>112</v>
      </c>
      <c r="D259" s="2" t="s">
        <v>23</v>
      </c>
      <c r="E259" s="2" t="str">
        <f>IFERROR(INDEX(centros!$H$2:$H$45,MATCH(TRIM(Tabla1[[#This Row],[SOCIEDAD]])&amp;"|"&amp;TRIM(Tabla1[[#This Row],[LOCALIDAD]]),centros!$G$2:$G$45,0)),"REVISAR")</f>
        <v>VA06</v>
      </c>
      <c r="F259" s="2" t="s">
        <v>26</v>
      </c>
      <c r="G259" s="2" t="str">
        <f>_xlfn.XLOOKUP(Tabla1[[#This Row],[MARCA]],MARCAS!E:E,MARCAS!F:F)</f>
        <v>110</v>
      </c>
      <c r="H259" s="2" t="str">
        <f>_xlfn.XLOOKUP(Tabla1[[#This Row],[MARCA]],MARCAS!C:C,MARCAS!A:A)</f>
        <v>F0006</v>
      </c>
      <c r="I259" s="38" t="s">
        <v>882</v>
      </c>
      <c r="J259" s="37" t="s">
        <v>883</v>
      </c>
      <c r="K259" s="2" t="s">
        <v>884</v>
      </c>
    </row>
    <row r="260" spans="1:11" hidden="1" x14ac:dyDescent="0.25">
      <c r="A260" s="2" t="s">
        <v>9</v>
      </c>
      <c r="B260" s="2" t="str">
        <f>_xlfn.XLOOKUP(Tabla1[[#This Row],[SOCIEDAD]],centros!D:D,centros!E:E)</f>
        <v>VA00</v>
      </c>
      <c r="C260" s="2" t="s">
        <v>112</v>
      </c>
      <c r="D260" s="2" t="s">
        <v>23</v>
      </c>
      <c r="E260" s="2" t="str">
        <f>IFERROR(INDEX(centros!$H$2:$H$45,MATCH(TRIM(Tabla1[[#This Row],[SOCIEDAD]])&amp;"|"&amp;TRIM(Tabla1[[#This Row],[LOCALIDAD]]),centros!$G$2:$G$45,0)),"REVISAR")</f>
        <v>VA06</v>
      </c>
      <c r="F260" s="2" t="s">
        <v>84</v>
      </c>
      <c r="G260" s="2" t="str">
        <f>_xlfn.XLOOKUP(Tabla1[[#This Row],[MARCA]],MARCAS!E:E,MARCAS!F:F)</f>
        <v>060</v>
      </c>
      <c r="H260" s="2" t="str">
        <f>_xlfn.XLOOKUP(Tabla1[[#This Row],[MARCA]],MARCAS!C:C,MARCAS!A:A)</f>
        <v>F0022</v>
      </c>
      <c r="I260" s="38" t="s">
        <v>885</v>
      </c>
      <c r="J260" s="37" t="s">
        <v>886</v>
      </c>
      <c r="K260" s="2" t="s">
        <v>887</v>
      </c>
    </row>
    <row r="261" spans="1:11" hidden="1" x14ac:dyDescent="0.25">
      <c r="A261" s="2" t="s">
        <v>9</v>
      </c>
      <c r="B261" s="2" t="str">
        <f>_xlfn.XLOOKUP(Tabla1[[#This Row],[SOCIEDAD]],centros!D:D,centros!E:E)</f>
        <v>VA00</v>
      </c>
      <c r="C261" s="2" t="s">
        <v>112</v>
      </c>
      <c r="D261" s="2" t="s">
        <v>11</v>
      </c>
      <c r="E261" s="2" t="str">
        <f>IFERROR(INDEX(centros!$H$2:$H$45,MATCH(TRIM(Tabla1[[#This Row],[SOCIEDAD]])&amp;"|"&amp;TRIM(Tabla1[[#This Row],[LOCALIDAD]]),centros!$G$2:$G$45,0)),"REVISAR")</f>
        <v>VA00</v>
      </c>
      <c r="F261" s="2" t="s">
        <v>8</v>
      </c>
      <c r="G261" s="2" t="str">
        <f>_xlfn.XLOOKUP(Tabla1[[#This Row],[MARCA]],MARCAS!E:E,MARCAS!F:F)</f>
        <v>060</v>
      </c>
      <c r="H261" s="2" t="str">
        <f>_xlfn.XLOOKUP(Tabla1[[#This Row],[MARCA]],MARCAS!C:C,MARCAS!A:A)</f>
        <v>F0001</v>
      </c>
      <c r="I261" s="38" t="s">
        <v>888</v>
      </c>
      <c r="J261" s="37" t="s">
        <v>889</v>
      </c>
      <c r="K261" s="2" t="s">
        <v>890</v>
      </c>
    </row>
    <row r="262" spans="1:11" hidden="1" x14ac:dyDescent="0.25">
      <c r="A262" s="2" t="s">
        <v>9</v>
      </c>
      <c r="B262" s="2" t="str">
        <f>_xlfn.XLOOKUP(Tabla1[[#This Row],[SOCIEDAD]],centros!D:D,centros!E:E)</f>
        <v>VA00</v>
      </c>
      <c r="C262" s="2" t="s">
        <v>112</v>
      </c>
      <c r="D262" s="2" t="s">
        <v>11</v>
      </c>
      <c r="E262" s="2" t="str">
        <f>IFERROR(INDEX(centros!$H$2:$H$45,MATCH(TRIM(Tabla1[[#This Row],[SOCIEDAD]])&amp;"|"&amp;TRIM(Tabla1[[#This Row],[LOCALIDAD]]),centros!$G$2:$G$45,0)),"REVISAR")</f>
        <v>VA00</v>
      </c>
      <c r="F262" s="2" t="s">
        <v>98</v>
      </c>
      <c r="G262" s="2" t="str">
        <f>_xlfn.XLOOKUP(Tabla1[[#This Row],[MARCA]],MARCAS!E:E,MARCAS!F:F)</f>
        <v>080</v>
      </c>
      <c r="H262" s="2" t="str">
        <f>_xlfn.XLOOKUP(Tabla1[[#This Row],[MARCA]],MARCAS!C:C,MARCAS!A:A)</f>
        <v>F0028</v>
      </c>
      <c r="I262" s="38" t="s">
        <v>891</v>
      </c>
      <c r="J262" s="37" t="s">
        <v>892</v>
      </c>
      <c r="K262" s="2" t="s">
        <v>893</v>
      </c>
    </row>
    <row r="263" spans="1:11" hidden="1" x14ac:dyDescent="0.25">
      <c r="A263" s="2" t="s">
        <v>9</v>
      </c>
      <c r="B263" s="2" t="str">
        <f>_xlfn.XLOOKUP(Tabla1[[#This Row],[SOCIEDAD]],centros!D:D,centros!E:E)</f>
        <v>VA00</v>
      </c>
      <c r="C263" s="2" t="s">
        <v>112</v>
      </c>
      <c r="D263" s="2" t="s">
        <v>11</v>
      </c>
      <c r="E263" s="2" t="str">
        <f>IFERROR(INDEX(centros!$H$2:$H$45,MATCH(TRIM(Tabla1[[#This Row],[SOCIEDAD]])&amp;"|"&amp;TRIM(Tabla1[[#This Row],[LOCALIDAD]]),centros!$G$2:$G$45,0)),"REVISAR")</f>
        <v>VA00</v>
      </c>
      <c r="F263" s="2" t="s">
        <v>26</v>
      </c>
      <c r="G263" s="2" t="str">
        <f>_xlfn.XLOOKUP(Tabla1[[#This Row],[MARCA]],MARCAS!E:E,MARCAS!F:F)</f>
        <v>110</v>
      </c>
      <c r="H263" s="2" t="str">
        <f>_xlfn.XLOOKUP(Tabla1[[#This Row],[MARCA]],MARCAS!C:C,MARCAS!A:A)</f>
        <v>F0006</v>
      </c>
      <c r="I263" s="38" t="s">
        <v>894</v>
      </c>
      <c r="J263" s="37" t="s">
        <v>895</v>
      </c>
      <c r="K263" s="2" t="s">
        <v>896</v>
      </c>
    </row>
    <row r="264" spans="1:11" hidden="1" x14ac:dyDescent="0.25">
      <c r="A264" s="2" t="s">
        <v>9</v>
      </c>
      <c r="B264" s="2" t="str">
        <f>_xlfn.XLOOKUP(Tabla1[[#This Row],[SOCIEDAD]],centros!D:D,centros!E:E)</f>
        <v>VA00</v>
      </c>
      <c r="C264" s="2" t="s">
        <v>112</v>
      </c>
      <c r="D264" s="2" t="s">
        <v>11</v>
      </c>
      <c r="E264" s="2" t="str">
        <f>IFERROR(INDEX(centros!$H$2:$H$45,MATCH(TRIM(Tabla1[[#This Row],[SOCIEDAD]])&amp;"|"&amp;TRIM(Tabla1[[#This Row],[LOCALIDAD]]),centros!$G$2:$G$45,0)),"REVISAR")</f>
        <v>VA00</v>
      </c>
      <c r="F264" s="2" t="s">
        <v>84</v>
      </c>
      <c r="G264" s="2" t="str">
        <f>_xlfn.XLOOKUP(Tabla1[[#This Row],[MARCA]],MARCAS!E:E,MARCAS!F:F)</f>
        <v>060</v>
      </c>
      <c r="H264" s="2" t="str">
        <f>_xlfn.XLOOKUP(Tabla1[[#This Row],[MARCA]],MARCAS!C:C,MARCAS!A:A)</f>
        <v>F0022</v>
      </c>
      <c r="I264" s="38" t="s">
        <v>897</v>
      </c>
      <c r="J264" s="37" t="s">
        <v>898</v>
      </c>
      <c r="K264" s="2" t="s">
        <v>899</v>
      </c>
    </row>
    <row r="265" spans="1:11" hidden="1" x14ac:dyDescent="0.25">
      <c r="A265" s="2" t="s">
        <v>9</v>
      </c>
      <c r="B265" s="2" t="str">
        <f>_xlfn.XLOOKUP(Tabla1[[#This Row],[SOCIEDAD]],centros!D:D,centros!E:E)</f>
        <v>VA00</v>
      </c>
      <c r="C265" s="2" t="s">
        <v>112</v>
      </c>
      <c r="D265" s="2" t="s">
        <v>19</v>
      </c>
      <c r="E265" s="2" t="str">
        <f>IFERROR(INDEX(centros!$H$2:$H$45,MATCH(TRIM(Tabla1[[#This Row],[SOCIEDAD]])&amp;"|"&amp;TRIM(Tabla1[[#This Row],[LOCALIDAD]]),centros!$G$2:$G$45,0)),"REVISAR")</f>
        <v>VA04</v>
      </c>
      <c r="F265" s="2" t="s">
        <v>8</v>
      </c>
      <c r="G265" s="2" t="str">
        <f>_xlfn.XLOOKUP(Tabla1[[#This Row],[MARCA]],MARCAS!E:E,MARCAS!F:F)</f>
        <v>060</v>
      </c>
      <c r="H265" s="2" t="str">
        <f>_xlfn.XLOOKUP(Tabla1[[#This Row],[MARCA]],MARCAS!C:C,MARCAS!A:A)</f>
        <v>F0001</v>
      </c>
      <c r="I265" s="38" t="s">
        <v>900</v>
      </c>
      <c r="J265" s="37" t="s">
        <v>901</v>
      </c>
      <c r="K265" s="2" t="s">
        <v>902</v>
      </c>
    </row>
    <row r="266" spans="1:11" hidden="1" x14ac:dyDescent="0.25">
      <c r="A266" s="2" t="s">
        <v>9</v>
      </c>
      <c r="B266" s="2" t="str">
        <f>_xlfn.XLOOKUP(Tabla1[[#This Row],[SOCIEDAD]],centros!D:D,centros!E:E)</f>
        <v>VA00</v>
      </c>
      <c r="C266" s="2" t="s">
        <v>112</v>
      </c>
      <c r="D266" s="2" t="s">
        <v>19</v>
      </c>
      <c r="E266" s="2" t="str">
        <f>IFERROR(INDEX(centros!$H$2:$H$45,MATCH(TRIM(Tabla1[[#This Row],[SOCIEDAD]])&amp;"|"&amp;TRIM(Tabla1[[#This Row],[LOCALIDAD]]),centros!$G$2:$G$45,0)),"REVISAR")</f>
        <v>VA04</v>
      </c>
      <c r="F266" s="2" t="s">
        <v>98</v>
      </c>
      <c r="G266" s="2" t="str">
        <f>_xlfn.XLOOKUP(Tabla1[[#This Row],[MARCA]],MARCAS!E:E,MARCAS!F:F)</f>
        <v>080</v>
      </c>
      <c r="H266" s="2" t="str">
        <f>_xlfn.XLOOKUP(Tabla1[[#This Row],[MARCA]],MARCAS!C:C,MARCAS!A:A)</f>
        <v>F0028</v>
      </c>
      <c r="I266" s="38" t="s">
        <v>903</v>
      </c>
      <c r="J266" s="37" t="s">
        <v>904</v>
      </c>
      <c r="K266" s="2" t="s">
        <v>905</v>
      </c>
    </row>
    <row r="267" spans="1:11" hidden="1" x14ac:dyDescent="0.25">
      <c r="A267" s="2" t="s">
        <v>9</v>
      </c>
      <c r="B267" s="2" t="str">
        <f>_xlfn.XLOOKUP(Tabla1[[#This Row],[SOCIEDAD]],centros!D:D,centros!E:E)</f>
        <v>VA00</v>
      </c>
      <c r="C267" s="2" t="s">
        <v>112</v>
      </c>
      <c r="D267" s="2" t="s">
        <v>19</v>
      </c>
      <c r="E267" s="2" t="str">
        <f>IFERROR(INDEX(centros!$H$2:$H$45,MATCH(TRIM(Tabla1[[#This Row],[SOCIEDAD]])&amp;"|"&amp;TRIM(Tabla1[[#This Row],[LOCALIDAD]]),centros!$G$2:$G$45,0)),"REVISAR")</f>
        <v>VA04</v>
      </c>
      <c r="F267" s="2" t="s">
        <v>26</v>
      </c>
      <c r="G267" s="2" t="str">
        <f>_xlfn.XLOOKUP(Tabla1[[#This Row],[MARCA]],MARCAS!E:E,MARCAS!F:F)</f>
        <v>110</v>
      </c>
      <c r="H267" s="2" t="str">
        <f>_xlfn.XLOOKUP(Tabla1[[#This Row],[MARCA]],MARCAS!C:C,MARCAS!A:A)</f>
        <v>F0006</v>
      </c>
      <c r="I267" s="38" t="s">
        <v>906</v>
      </c>
      <c r="J267" s="37" t="s">
        <v>907</v>
      </c>
      <c r="K267" s="2" t="s">
        <v>908</v>
      </c>
    </row>
    <row r="268" spans="1:11" hidden="1" x14ac:dyDescent="0.25">
      <c r="A268" s="2" t="s">
        <v>9</v>
      </c>
      <c r="B268" s="2" t="str">
        <f>_xlfn.XLOOKUP(Tabla1[[#This Row],[SOCIEDAD]],centros!D:D,centros!E:E)</f>
        <v>VA00</v>
      </c>
      <c r="C268" s="2" t="s">
        <v>112</v>
      </c>
      <c r="D268" s="2" t="s">
        <v>19</v>
      </c>
      <c r="E268" s="2" t="str">
        <f>IFERROR(INDEX(centros!$H$2:$H$45,MATCH(TRIM(Tabla1[[#This Row],[SOCIEDAD]])&amp;"|"&amp;TRIM(Tabla1[[#This Row],[LOCALIDAD]]),centros!$G$2:$G$45,0)),"REVISAR")</f>
        <v>VA04</v>
      </c>
      <c r="F268" s="2" t="s">
        <v>84</v>
      </c>
      <c r="G268" s="2" t="str">
        <f>_xlfn.XLOOKUP(Tabla1[[#This Row],[MARCA]],MARCAS!E:E,MARCAS!F:F)</f>
        <v>060</v>
      </c>
      <c r="H268" s="2" t="str">
        <f>_xlfn.XLOOKUP(Tabla1[[#This Row],[MARCA]],MARCAS!C:C,MARCAS!A:A)</f>
        <v>F0022</v>
      </c>
      <c r="I268" s="38" t="s">
        <v>909</v>
      </c>
      <c r="J268" s="37" t="s">
        <v>910</v>
      </c>
      <c r="K268" s="2" t="s">
        <v>911</v>
      </c>
    </row>
    <row r="269" spans="1:11" hidden="1" x14ac:dyDescent="0.25">
      <c r="A269" s="2" t="s">
        <v>9</v>
      </c>
      <c r="B269" s="2" t="str">
        <f>_xlfn.XLOOKUP(Tabla1[[#This Row],[SOCIEDAD]],centros!D:D,centros!E:E)</f>
        <v>VA00</v>
      </c>
      <c r="C269" s="2" t="s">
        <v>112</v>
      </c>
      <c r="D269" s="2" t="s">
        <v>21</v>
      </c>
      <c r="E269" s="2" t="str">
        <f>IFERROR(INDEX(centros!$H$2:$H$45,MATCH(TRIM(Tabla1[[#This Row],[SOCIEDAD]])&amp;"|"&amp;TRIM(Tabla1[[#This Row],[LOCALIDAD]]),centros!$G$2:$G$45,0)),"REVISAR")</f>
        <v>VA05</v>
      </c>
      <c r="F269" s="2" t="s">
        <v>8</v>
      </c>
      <c r="G269" s="2" t="str">
        <f>_xlfn.XLOOKUP(Tabla1[[#This Row],[MARCA]],MARCAS!E:E,MARCAS!F:F)</f>
        <v>060</v>
      </c>
      <c r="H269" s="2" t="str">
        <f>_xlfn.XLOOKUP(Tabla1[[#This Row],[MARCA]],MARCAS!C:C,MARCAS!A:A)</f>
        <v>F0001</v>
      </c>
      <c r="I269" s="38" t="s">
        <v>912</v>
      </c>
      <c r="J269" s="37" t="s">
        <v>913</v>
      </c>
      <c r="K269" s="2" t="s">
        <v>914</v>
      </c>
    </row>
    <row r="270" spans="1:11" hidden="1" x14ac:dyDescent="0.25">
      <c r="A270" s="2" t="s">
        <v>9</v>
      </c>
      <c r="B270" s="2" t="str">
        <f>_xlfn.XLOOKUP(Tabla1[[#This Row],[SOCIEDAD]],centros!D:D,centros!E:E)</f>
        <v>VA00</v>
      </c>
      <c r="C270" s="2" t="s">
        <v>112</v>
      </c>
      <c r="D270" s="2" t="s">
        <v>21</v>
      </c>
      <c r="E270" s="2" t="str">
        <f>IFERROR(INDEX(centros!$H$2:$H$45,MATCH(TRIM(Tabla1[[#This Row],[SOCIEDAD]])&amp;"|"&amp;TRIM(Tabla1[[#This Row],[LOCALIDAD]]),centros!$G$2:$G$45,0)),"REVISAR")</f>
        <v>VA05</v>
      </c>
      <c r="F270" s="2" t="s">
        <v>98</v>
      </c>
      <c r="G270" s="2" t="str">
        <f>_xlfn.XLOOKUP(Tabla1[[#This Row],[MARCA]],MARCAS!E:E,MARCAS!F:F)</f>
        <v>080</v>
      </c>
      <c r="H270" s="2" t="str">
        <f>_xlfn.XLOOKUP(Tabla1[[#This Row],[MARCA]],MARCAS!C:C,MARCAS!A:A)</f>
        <v>F0028</v>
      </c>
      <c r="I270" s="38" t="s">
        <v>915</v>
      </c>
      <c r="J270" s="37" t="s">
        <v>916</v>
      </c>
      <c r="K270" s="2" t="s">
        <v>917</v>
      </c>
    </row>
    <row r="271" spans="1:11" hidden="1" x14ac:dyDescent="0.25">
      <c r="A271" s="2" t="s">
        <v>9</v>
      </c>
      <c r="B271" s="2" t="str">
        <f>_xlfn.XLOOKUP(Tabla1[[#This Row],[SOCIEDAD]],centros!D:D,centros!E:E)</f>
        <v>VA00</v>
      </c>
      <c r="C271" s="2" t="s">
        <v>112</v>
      </c>
      <c r="D271" s="2" t="s">
        <v>21</v>
      </c>
      <c r="E271" s="2" t="str">
        <f>IFERROR(INDEX(centros!$H$2:$H$45,MATCH(TRIM(Tabla1[[#This Row],[SOCIEDAD]])&amp;"|"&amp;TRIM(Tabla1[[#This Row],[LOCALIDAD]]),centros!$G$2:$G$45,0)),"REVISAR")</f>
        <v>VA05</v>
      </c>
      <c r="F271" s="2" t="s">
        <v>26</v>
      </c>
      <c r="G271" s="2" t="str">
        <f>_xlfn.XLOOKUP(Tabla1[[#This Row],[MARCA]],MARCAS!E:E,MARCAS!F:F)</f>
        <v>110</v>
      </c>
      <c r="H271" s="2" t="str">
        <f>_xlfn.XLOOKUP(Tabla1[[#This Row],[MARCA]],MARCAS!C:C,MARCAS!A:A)</f>
        <v>F0006</v>
      </c>
      <c r="I271" s="38" t="s">
        <v>918</v>
      </c>
      <c r="J271" s="37" t="s">
        <v>919</v>
      </c>
      <c r="K271" s="2" t="s">
        <v>920</v>
      </c>
    </row>
    <row r="272" spans="1:11" hidden="1" x14ac:dyDescent="0.25">
      <c r="A272" s="2" t="s">
        <v>9</v>
      </c>
      <c r="B272" s="2" t="str">
        <f>_xlfn.XLOOKUP(Tabla1[[#This Row],[SOCIEDAD]],centros!D:D,centros!E:E)</f>
        <v>VA00</v>
      </c>
      <c r="C272" s="2" t="s">
        <v>112</v>
      </c>
      <c r="D272" s="2" t="s">
        <v>21</v>
      </c>
      <c r="E272" s="2" t="str">
        <f>IFERROR(INDEX(centros!$H$2:$H$45,MATCH(TRIM(Tabla1[[#This Row],[SOCIEDAD]])&amp;"|"&amp;TRIM(Tabla1[[#This Row],[LOCALIDAD]]),centros!$G$2:$G$45,0)),"REVISAR")</f>
        <v>VA05</v>
      </c>
      <c r="F272" s="2" t="s">
        <v>84</v>
      </c>
      <c r="G272" s="2" t="str">
        <f>_xlfn.XLOOKUP(Tabla1[[#This Row],[MARCA]],MARCAS!E:E,MARCAS!F:F)</f>
        <v>060</v>
      </c>
      <c r="H272" s="2" t="str">
        <f>_xlfn.XLOOKUP(Tabla1[[#This Row],[MARCA]],MARCAS!C:C,MARCAS!A:A)</f>
        <v>F0022</v>
      </c>
      <c r="I272" s="38" t="s">
        <v>921</v>
      </c>
      <c r="J272" s="37" t="s">
        <v>922</v>
      </c>
      <c r="K272" s="2" t="s">
        <v>923</v>
      </c>
    </row>
    <row r="273" spans="1:11" hidden="1" x14ac:dyDescent="0.25">
      <c r="A273" s="2" t="s">
        <v>34</v>
      </c>
      <c r="B273" s="2" t="str">
        <f>_xlfn.XLOOKUP(Tabla1[[#This Row],[SOCIEDAD]],centros!D:D,centros!E:E)</f>
        <v>VC00</v>
      </c>
      <c r="C273" s="2" t="s">
        <v>263</v>
      </c>
      <c r="D273" s="2" t="s">
        <v>15</v>
      </c>
      <c r="E273" s="2" t="str">
        <f>IFERROR(INDEX(centros!$H$2:$H$45,MATCH(TRIM(Tabla1[[#This Row],[SOCIEDAD]])&amp;"|"&amp;TRIM(Tabla1[[#This Row],[LOCALIDAD]]),centros!$G$2:$G$45,0)),"REVISAR")</f>
        <v>VC02</v>
      </c>
      <c r="F273" s="2" t="s">
        <v>45</v>
      </c>
      <c r="G273" s="2" t="str">
        <f>_xlfn.XLOOKUP(Tabla1[[#This Row],[MARCA]],MARCAS!E:E,MARCAS!F:F)</f>
        <v>100</v>
      </c>
      <c r="H273" s="2" t="str">
        <f>_xlfn.XLOOKUP(Tabla1[[#This Row],[MARCA]],MARCAS!C:C,MARCAS!A:A)</f>
        <v>F0012</v>
      </c>
      <c r="I273" s="38" t="s">
        <v>924</v>
      </c>
      <c r="J273" s="37" t="s">
        <v>925</v>
      </c>
      <c r="K273" s="2" t="s">
        <v>926</v>
      </c>
    </row>
    <row r="274" spans="1:11" hidden="1" x14ac:dyDescent="0.25">
      <c r="A274" s="2" t="s">
        <v>34</v>
      </c>
      <c r="B274" s="2" t="str">
        <f>_xlfn.XLOOKUP(Tabla1[[#This Row],[SOCIEDAD]],centros!D:D,centros!E:E)</f>
        <v>VC00</v>
      </c>
      <c r="C274" s="2" t="s">
        <v>671</v>
      </c>
      <c r="D274" s="2" t="s">
        <v>15</v>
      </c>
      <c r="E274" s="2" t="str">
        <f>IFERROR(INDEX(centros!$H$2:$H$45,MATCH(TRIM(Tabla1[[#This Row],[SOCIEDAD]])&amp;"|"&amp;TRIM(Tabla1[[#This Row],[LOCALIDAD]]),centros!$G$2:$G$45,0)),"REVISAR")</f>
        <v>VC02</v>
      </c>
      <c r="F274" s="2" t="s">
        <v>45</v>
      </c>
      <c r="G274" s="2" t="str">
        <f>_xlfn.XLOOKUP(Tabla1[[#This Row],[MARCA]],MARCAS!E:E,MARCAS!F:F)</f>
        <v>100</v>
      </c>
      <c r="H274" s="2" t="str">
        <f>_xlfn.XLOOKUP(Tabla1[[#This Row],[MARCA]],MARCAS!C:C,MARCAS!A:A)</f>
        <v>F0012</v>
      </c>
      <c r="I274" s="38" t="s">
        <v>927</v>
      </c>
      <c r="J274" s="37" t="s">
        <v>928</v>
      </c>
      <c r="K274" s="2" t="s">
        <v>929</v>
      </c>
    </row>
    <row r="275" spans="1:11" hidden="1" x14ac:dyDescent="0.25">
      <c r="A275" s="2" t="s">
        <v>34</v>
      </c>
      <c r="B275" s="2" t="str">
        <f>_xlfn.XLOOKUP(Tabla1[[#This Row],[SOCIEDAD]],centros!D:D,centros!E:E)</f>
        <v>VC00</v>
      </c>
      <c r="C275" s="2" t="s">
        <v>930</v>
      </c>
      <c r="D275" s="2" t="s">
        <v>15</v>
      </c>
      <c r="E275" s="2" t="str">
        <f>IFERROR(INDEX(centros!$H$2:$H$45,MATCH(TRIM(Tabla1[[#This Row],[SOCIEDAD]])&amp;"|"&amp;TRIM(Tabla1[[#This Row],[LOCALIDAD]]),centros!$G$2:$G$45,0)),"REVISAR")</f>
        <v>VC02</v>
      </c>
      <c r="F275" s="2" t="s">
        <v>45</v>
      </c>
      <c r="G275" s="2" t="str">
        <f>_xlfn.XLOOKUP(Tabla1[[#This Row],[MARCA]],MARCAS!E:E,MARCAS!F:F)</f>
        <v>100</v>
      </c>
      <c r="H275" s="2" t="str">
        <f>_xlfn.XLOOKUP(Tabla1[[#This Row],[MARCA]],MARCAS!C:C,MARCAS!A:A)</f>
        <v>F0012</v>
      </c>
      <c r="I275" s="38" t="s">
        <v>931</v>
      </c>
      <c r="J275" s="37" t="s">
        <v>932</v>
      </c>
      <c r="K275" s="2" t="s">
        <v>933</v>
      </c>
    </row>
    <row r="276" spans="1:11" hidden="1" x14ac:dyDescent="0.25">
      <c r="A276" s="2" t="s">
        <v>34</v>
      </c>
      <c r="B276" s="2" t="str">
        <f>_xlfn.XLOOKUP(Tabla1[[#This Row],[SOCIEDAD]],centros!D:D,centros!E:E)</f>
        <v>VC00</v>
      </c>
      <c r="C276" s="2" t="s">
        <v>300</v>
      </c>
      <c r="D276" s="2" t="s">
        <v>15</v>
      </c>
      <c r="E276" s="2" t="str">
        <f>IFERROR(INDEX(centros!$H$2:$H$45,MATCH(TRIM(Tabla1[[#This Row],[SOCIEDAD]])&amp;"|"&amp;TRIM(Tabla1[[#This Row],[LOCALIDAD]]),centros!$G$2:$G$45,0)),"REVISAR")</f>
        <v>VC02</v>
      </c>
      <c r="F276" s="2" t="s">
        <v>45</v>
      </c>
      <c r="G276" s="2" t="str">
        <f>_xlfn.XLOOKUP(Tabla1[[#This Row],[MARCA]],MARCAS!E:E,MARCAS!F:F)</f>
        <v>100</v>
      </c>
      <c r="H276" s="2" t="str">
        <f>_xlfn.XLOOKUP(Tabla1[[#This Row],[MARCA]],MARCAS!C:C,MARCAS!A:A)</f>
        <v>F0012</v>
      </c>
      <c r="I276" s="38" t="s">
        <v>934</v>
      </c>
      <c r="J276" s="37" t="s">
        <v>935</v>
      </c>
      <c r="K276" s="2" t="s">
        <v>936</v>
      </c>
    </row>
    <row r="277" spans="1:11" hidden="1" x14ac:dyDescent="0.25">
      <c r="A277" s="2" t="s">
        <v>34</v>
      </c>
      <c r="B277" s="2" t="str">
        <f>_xlfn.XLOOKUP(Tabla1[[#This Row],[SOCIEDAD]],centros!D:D,centros!E:E)</f>
        <v>VC00</v>
      </c>
      <c r="C277" s="2" t="s">
        <v>263</v>
      </c>
      <c r="D277" s="2" t="s">
        <v>11</v>
      </c>
      <c r="E277" s="2" t="str">
        <f>IFERROR(INDEX(centros!$H$2:$H$45,MATCH(TRIM(Tabla1[[#This Row],[SOCIEDAD]])&amp;"|"&amp;TRIM(Tabla1[[#This Row],[LOCALIDAD]]),centros!$G$2:$G$45,0)),"REVISAR")</f>
        <v>VC00</v>
      </c>
      <c r="F277" s="2" t="s">
        <v>45</v>
      </c>
      <c r="G277" s="2" t="str">
        <f>_xlfn.XLOOKUP(Tabla1[[#This Row],[MARCA]],MARCAS!E:E,MARCAS!F:F)</f>
        <v>100</v>
      </c>
      <c r="H277" s="2" t="str">
        <f>_xlfn.XLOOKUP(Tabla1[[#This Row],[MARCA]],MARCAS!C:C,MARCAS!A:A)</f>
        <v>F0012</v>
      </c>
      <c r="I277" s="38" t="s">
        <v>937</v>
      </c>
      <c r="J277" s="37" t="s">
        <v>938</v>
      </c>
      <c r="K277" s="2" t="s">
        <v>939</v>
      </c>
    </row>
    <row r="278" spans="1:11" hidden="1" x14ac:dyDescent="0.25">
      <c r="A278" s="2" t="s">
        <v>34</v>
      </c>
      <c r="B278" s="2" t="str">
        <f>_xlfn.XLOOKUP(Tabla1[[#This Row],[SOCIEDAD]],centros!D:D,centros!E:E)</f>
        <v>VC00</v>
      </c>
      <c r="C278" s="2" t="s">
        <v>671</v>
      </c>
      <c r="D278" s="2" t="s">
        <v>11</v>
      </c>
      <c r="E278" s="2" t="str">
        <f>IFERROR(INDEX(centros!$H$2:$H$45,MATCH(TRIM(Tabla1[[#This Row],[SOCIEDAD]])&amp;"|"&amp;TRIM(Tabla1[[#This Row],[LOCALIDAD]]),centros!$G$2:$G$45,0)),"REVISAR")</f>
        <v>VC00</v>
      </c>
      <c r="F278" s="2" t="s">
        <v>45</v>
      </c>
      <c r="G278" s="2" t="str">
        <f>_xlfn.XLOOKUP(Tabla1[[#This Row],[MARCA]],MARCAS!E:E,MARCAS!F:F)</f>
        <v>100</v>
      </c>
      <c r="H278" s="2" t="str">
        <f>_xlfn.XLOOKUP(Tabla1[[#This Row],[MARCA]],MARCAS!C:C,MARCAS!A:A)</f>
        <v>F0012</v>
      </c>
      <c r="I278" s="38" t="s">
        <v>940</v>
      </c>
      <c r="J278" s="37" t="s">
        <v>941</v>
      </c>
      <c r="K278" s="2" t="s">
        <v>942</v>
      </c>
    </row>
    <row r="279" spans="1:11" hidden="1" x14ac:dyDescent="0.25">
      <c r="A279" s="2" t="s">
        <v>34</v>
      </c>
      <c r="B279" s="2" t="str">
        <f>_xlfn.XLOOKUP(Tabla1[[#This Row],[SOCIEDAD]],centros!D:D,centros!E:E)</f>
        <v>VC00</v>
      </c>
      <c r="C279" s="2" t="s">
        <v>930</v>
      </c>
      <c r="D279" s="2" t="s">
        <v>11</v>
      </c>
      <c r="E279" s="2" t="str">
        <f>IFERROR(INDEX(centros!$H$2:$H$45,MATCH(TRIM(Tabla1[[#This Row],[SOCIEDAD]])&amp;"|"&amp;TRIM(Tabla1[[#This Row],[LOCALIDAD]]),centros!$G$2:$G$45,0)),"REVISAR")</f>
        <v>VC00</v>
      </c>
      <c r="F279" s="2" t="s">
        <v>45</v>
      </c>
      <c r="G279" s="2" t="str">
        <f>_xlfn.XLOOKUP(Tabla1[[#This Row],[MARCA]],MARCAS!E:E,MARCAS!F:F)</f>
        <v>100</v>
      </c>
      <c r="H279" s="2" t="str">
        <f>_xlfn.XLOOKUP(Tabla1[[#This Row],[MARCA]],MARCAS!C:C,MARCAS!A:A)</f>
        <v>F0012</v>
      </c>
      <c r="I279" s="38" t="s">
        <v>943</v>
      </c>
      <c r="J279" s="37" t="s">
        <v>944</v>
      </c>
      <c r="K279" s="2" t="s">
        <v>945</v>
      </c>
    </row>
    <row r="280" spans="1:11" hidden="1" x14ac:dyDescent="0.25">
      <c r="A280" s="2" t="s">
        <v>34</v>
      </c>
      <c r="B280" s="2" t="str">
        <f>_xlfn.XLOOKUP(Tabla1[[#This Row],[SOCIEDAD]],centros!D:D,centros!E:E)</f>
        <v>VC00</v>
      </c>
      <c r="C280" s="2" t="s">
        <v>300</v>
      </c>
      <c r="D280" s="2" t="s">
        <v>11</v>
      </c>
      <c r="E280" s="2" t="str">
        <f>IFERROR(INDEX(centros!$H$2:$H$45,MATCH(TRIM(Tabla1[[#This Row],[SOCIEDAD]])&amp;"|"&amp;TRIM(Tabla1[[#This Row],[LOCALIDAD]]),centros!$G$2:$G$45,0)),"REVISAR")</f>
        <v>VC00</v>
      </c>
      <c r="F280" s="2" t="s">
        <v>45</v>
      </c>
      <c r="G280" s="2" t="str">
        <f>_xlfn.XLOOKUP(Tabla1[[#This Row],[MARCA]],MARCAS!E:E,MARCAS!F:F)</f>
        <v>100</v>
      </c>
      <c r="H280" s="2" t="str">
        <f>_xlfn.XLOOKUP(Tabla1[[#This Row],[MARCA]],MARCAS!C:C,MARCAS!A:A)</f>
        <v>F0012</v>
      </c>
      <c r="I280" s="38" t="s">
        <v>946</v>
      </c>
      <c r="J280" s="37" t="s">
        <v>947</v>
      </c>
      <c r="K280" s="2" t="s">
        <v>948</v>
      </c>
    </row>
    <row r="281" spans="1:11" hidden="1" x14ac:dyDescent="0.25">
      <c r="A281" s="2" t="s">
        <v>34</v>
      </c>
      <c r="B281" s="2" t="str">
        <f>_xlfn.XLOOKUP(Tabla1[[#This Row],[SOCIEDAD]],centros!D:D,centros!E:E)</f>
        <v>VC00</v>
      </c>
      <c r="C281" s="2" t="s">
        <v>263</v>
      </c>
      <c r="D281" s="2" t="s">
        <v>17</v>
      </c>
      <c r="E281" s="2" t="str">
        <f>IFERROR(INDEX(centros!$H$2:$H$45,MATCH(TRIM(Tabla1[[#This Row],[SOCIEDAD]])&amp;"|"&amp;TRIM(Tabla1[[#This Row],[LOCALIDAD]]),centros!$G$2:$G$45,0)),"REVISAR")</f>
        <v>VC04</v>
      </c>
      <c r="F281" s="2" t="s">
        <v>45</v>
      </c>
      <c r="G281" s="2" t="str">
        <f>_xlfn.XLOOKUP(Tabla1[[#This Row],[MARCA]],MARCAS!E:E,MARCAS!F:F)</f>
        <v>100</v>
      </c>
      <c r="H281" s="2" t="str">
        <f>_xlfn.XLOOKUP(Tabla1[[#This Row],[MARCA]],MARCAS!C:C,MARCAS!A:A)</f>
        <v>F0012</v>
      </c>
      <c r="I281" s="38" t="s">
        <v>949</v>
      </c>
      <c r="J281" s="37" t="s">
        <v>950</v>
      </c>
      <c r="K281" s="2" t="s">
        <v>951</v>
      </c>
    </row>
    <row r="282" spans="1:11" hidden="1" x14ac:dyDescent="0.25">
      <c r="A282" s="2" t="s">
        <v>34</v>
      </c>
      <c r="B282" s="2" t="str">
        <f>_xlfn.XLOOKUP(Tabla1[[#This Row],[SOCIEDAD]],centros!D:D,centros!E:E)</f>
        <v>VC00</v>
      </c>
      <c r="C282" s="2" t="s">
        <v>671</v>
      </c>
      <c r="D282" s="2" t="s">
        <v>17</v>
      </c>
      <c r="E282" s="2" t="str">
        <f>IFERROR(INDEX(centros!$H$2:$H$45,MATCH(TRIM(Tabla1[[#This Row],[SOCIEDAD]])&amp;"|"&amp;TRIM(Tabla1[[#This Row],[LOCALIDAD]]),centros!$G$2:$G$45,0)),"REVISAR")</f>
        <v>VC04</v>
      </c>
      <c r="F282" s="2" t="s">
        <v>45</v>
      </c>
      <c r="G282" s="2" t="str">
        <f>_xlfn.XLOOKUP(Tabla1[[#This Row],[MARCA]],MARCAS!E:E,MARCAS!F:F)</f>
        <v>100</v>
      </c>
      <c r="H282" s="2" t="str">
        <f>_xlfn.XLOOKUP(Tabla1[[#This Row],[MARCA]],MARCAS!C:C,MARCAS!A:A)</f>
        <v>F0012</v>
      </c>
      <c r="I282" s="38" t="s">
        <v>952</v>
      </c>
      <c r="J282" s="37" t="s">
        <v>953</v>
      </c>
      <c r="K282" s="2" t="s">
        <v>954</v>
      </c>
    </row>
    <row r="283" spans="1:11" hidden="1" x14ac:dyDescent="0.25">
      <c r="A283" s="2" t="s">
        <v>34</v>
      </c>
      <c r="B283" s="2" t="str">
        <f>_xlfn.XLOOKUP(Tabla1[[#This Row],[SOCIEDAD]],centros!D:D,centros!E:E)</f>
        <v>VC00</v>
      </c>
      <c r="C283" s="2" t="s">
        <v>930</v>
      </c>
      <c r="D283" s="2" t="s">
        <v>17</v>
      </c>
      <c r="E283" s="2" t="str">
        <f>IFERROR(INDEX(centros!$H$2:$H$45,MATCH(TRIM(Tabla1[[#This Row],[SOCIEDAD]])&amp;"|"&amp;TRIM(Tabla1[[#This Row],[LOCALIDAD]]),centros!$G$2:$G$45,0)),"REVISAR")</f>
        <v>VC04</v>
      </c>
      <c r="F283" s="2" t="s">
        <v>45</v>
      </c>
      <c r="G283" s="2" t="str">
        <f>_xlfn.XLOOKUP(Tabla1[[#This Row],[MARCA]],MARCAS!E:E,MARCAS!F:F)</f>
        <v>100</v>
      </c>
      <c r="H283" s="2" t="str">
        <f>_xlfn.XLOOKUP(Tabla1[[#This Row],[MARCA]],MARCAS!C:C,MARCAS!A:A)</f>
        <v>F0012</v>
      </c>
      <c r="I283" s="38" t="s">
        <v>955</v>
      </c>
      <c r="J283" s="37" t="s">
        <v>956</v>
      </c>
      <c r="K283" s="2" t="s">
        <v>957</v>
      </c>
    </row>
    <row r="284" spans="1:11" hidden="1" x14ac:dyDescent="0.25">
      <c r="A284" s="2" t="s">
        <v>34</v>
      </c>
      <c r="B284" s="2" t="str">
        <f>_xlfn.XLOOKUP(Tabla1[[#This Row],[SOCIEDAD]],centros!D:D,centros!E:E)</f>
        <v>VC00</v>
      </c>
      <c r="C284" s="2" t="s">
        <v>300</v>
      </c>
      <c r="D284" s="2" t="s">
        <v>17</v>
      </c>
      <c r="E284" s="2" t="str">
        <f>IFERROR(INDEX(centros!$H$2:$H$45,MATCH(TRIM(Tabla1[[#This Row],[SOCIEDAD]])&amp;"|"&amp;TRIM(Tabla1[[#This Row],[LOCALIDAD]]),centros!$G$2:$G$45,0)),"REVISAR")</f>
        <v>VC04</v>
      </c>
      <c r="F284" s="2" t="s">
        <v>45</v>
      </c>
      <c r="G284" s="2" t="str">
        <f>_xlfn.XLOOKUP(Tabla1[[#This Row],[MARCA]],MARCAS!E:E,MARCAS!F:F)</f>
        <v>100</v>
      </c>
      <c r="H284" s="2" t="str">
        <f>_xlfn.XLOOKUP(Tabla1[[#This Row],[MARCA]],MARCAS!C:C,MARCAS!A:A)</f>
        <v>F0012</v>
      </c>
      <c r="I284" s="38" t="s">
        <v>958</v>
      </c>
      <c r="J284" s="37" t="s">
        <v>959</v>
      </c>
      <c r="K284" s="2" t="s">
        <v>960</v>
      </c>
    </row>
    <row r="285" spans="1:11" hidden="1" x14ac:dyDescent="0.25">
      <c r="A285" s="2" t="s">
        <v>34</v>
      </c>
      <c r="B285" s="2" t="str">
        <f>_xlfn.XLOOKUP(Tabla1[[#This Row],[SOCIEDAD]],centros!D:D,centros!E:E)</f>
        <v>VC00</v>
      </c>
      <c r="C285" s="2" t="s">
        <v>263</v>
      </c>
      <c r="D285" s="2" t="s">
        <v>19</v>
      </c>
      <c r="E285" s="2" t="str">
        <f>IFERROR(INDEX(centros!$H$2:$H$45,MATCH(TRIM(Tabla1[[#This Row],[SOCIEDAD]])&amp;"|"&amp;TRIM(Tabla1[[#This Row],[LOCALIDAD]]),centros!$G$2:$G$45,0)),"REVISAR")</f>
        <v>VC05</v>
      </c>
      <c r="F285" s="2" t="s">
        <v>45</v>
      </c>
      <c r="G285" s="2" t="str">
        <f>_xlfn.XLOOKUP(Tabla1[[#This Row],[MARCA]],MARCAS!E:E,MARCAS!F:F)</f>
        <v>100</v>
      </c>
      <c r="H285" s="2" t="str">
        <f>_xlfn.XLOOKUP(Tabla1[[#This Row],[MARCA]],MARCAS!C:C,MARCAS!A:A)</f>
        <v>F0012</v>
      </c>
      <c r="I285" s="38" t="s">
        <v>961</v>
      </c>
      <c r="J285" s="37" t="s">
        <v>962</v>
      </c>
      <c r="K285" s="2" t="s">
        <v>963</v>
      </c>
    </row>
    <row r="286" spans="1:11" hidden="1" x14ac:dyDescent="0.25">
      <c r="A286" s="2" t="s">
        <v>34</v>
      </c>
      <c r="B286" s="2" t="str">
        <f>_xlfn.XLOOKUP(Tabla1[[#This Row],[SOCIEDAD]],centros!D:D,centros!E:E)</f>
        <v>VC00</v>
      </c>
      <c r="C286" s="2" t="s">
        <v>671</v>
      </c>
      <c r="D286" s="2" t="s">
        <v>19</v>
      </c>
      <c r="E286" s="2" t="str">
        <f>IFERROR(INDEX(centros!$H$2:$H$45,MATCH(TRIM(Tabla1[[#This Row],[SOCIEDAD]])&amp;"|"&amp;TRIM(Tabla1[[#This Row],[LOCALIDAD]]),centros!$G$2:$G$45,0)),"REVISAR")</f>
        <v>VC05</v>
      </c>
      <c r="F286" s="2" t="s">
        <v>45</v>
      </c>
      <c r="G286" s="2" t="str">
        <f>_xlfn.XLOOKUP(Tabla1[[#This Row],[MARCA]],MARCAS!E:E,MARCAS!F:F)</f>
        <v>100</v>
      </c>
      <c r="H286" s="2" t="str">
        <f>_xlfn.XLOOKUP(Tabla1[[#This Row],[MARCA]],MARCAS!C:C,MARCAS!A:A)</f>
        <v>F0012</v>
      </c>
      <c r="I286" s="38" t="s">
        <v>964</v>
      </c>
      <c r="J286" s="37" t="s">
        <v>965</v>
      </c>
      <c r="K286" s="2" t="s">
        <v>966</v>
      </c>
    </row>
    <row r="287" spans="1:11" hidden="1" x14ac:dyDescent="0.25">
      <c r="A287" s="2" t="s">
        <v>34</v>
      </c>
      <c r="B287" s="2" t="str">
        <f>_xlfn.XLOOKUP(Tabla1[[#This Row],[SOCIEDAD]],centros!D:D,centros!E:E)</f>
        <v>VC00</v>
      </c>
      <c r="C287" s="2" t="s">
        <v>930</v>
      </c>
      <c r="D287" s="2" t="s">
        <v>19</v>
      </c>
      <c r="E287" s="2" t="str">
        <f>IFERROR(INDEX(centros!$H$2:$H$45,MATCH(TRIM(Tabla1[[#This Row],[SOCIEDAD]])&amp;"|"&amp;TRIM(Tabla1[[#This Row],[LOCALIDAD]]),centros!$G$2:$G$45,0)),"REVISAR")</f>
        <v>VC05</v>
      </c>
      <c r="F287" s="2" t="s">
        <v>45</v>
      </c>
      <c r="G287" s="2" t="str">
        <f>_xlfn.XLOOKUP(Tabla1[[#This Row],[MARCA]],MARCAS!E:E,MARCAS!F:F)</f>
        <v>100</v>
      </c>
      <c r="H287" s="2" t="str">
        <f>_xlfn.XLOOKUP(Tabla1[[#This Row],[MARCA]],MARCAS!C:C,MARCAS!A:A)</f>
        <v>F0012</v>
      </c>
      <c r="I287" s="38" t="s">
        <v>967</v>
      </c>
      <c r="J287" s="37" t="s">
        <v>968</v>
      </c>
      <c r="K287" s="2" t="s">
        <v>969</v>
      </c>
    </row>
    <row r="288" spans="1:11" hidden="1" x14ac:dyDescent="0.25">
      <c r="A288" s="2" t="s">
        <v>34</v>
      </c>
      <c r="B288" s="2" t="str">
        <f>_xlfn.XLOOKUP(Tabla1[[#This Row],[SOCIEDAD]],centros!D:D,centros!E:E)</f>
        <v>VC00</v>
      </c>
      <c r="C288" s="2" t="s">
        <v>300</v>
      </c>
      <c r="D288" s="2" t="s">
        <v>19</v>
      </c>
      <c r="E288" s="2" t="str">
        <f>IFERROR(INDEX(centros!$H$2:$H$45,MATCH(TRIM(Tabla1[[#This Row],[SOCIEDAD]])&amp;"|"&amp;TRIM(Tabla1[[#This Row],[LOCALIDAD]]),centros!$G$2:$G$45,0)),"REVISAR")</f>
        <v>VC05</v>
      </c>
      <c r="F288" s="2" t="s">
        <v>45</v>
      </c>
      <c r="G288" s="2" t="str">
        <f>_xlfn.XLOOKUP(Tabla1[[#This Row],[MARCA]],MARCAS!E:E,MARCAS!F:F)</f>
        <v>100</v>
      </c>
      <c r="H288" s="2" t="str">
        <f>_xlfn.XLOOKUP(Tabla1[[#This Row],[MARCA]],MARCAS!C:C,MARCAS!A:A)</f>
        <v>F0012</v>
      </c>
      <c r="I288" s="38" t="s">
        <v>970</v>
      </c>
      <c r="J288" s="37" t="s">
        <v>971</v>
      </c>
      <c r="K288" s="2" t="s">
        <v>972</v>
      </c>
    </row>
    <row r="289" spans="1:11" hidden="1" x14ac:dyDescent="0.25">
      <c r="A289" s="2" t="s">
        <v>34</v>
      </c>
      <c r="B289" s="2" t="str">
        <f>_xlfn.XLOOKUP(Tabla1[[#This Row],[SOCIEDAD]],centros!D:D,centros!E:E)</f>
        <v>VC00</v>
      </c>
      <c r="C289" s="2" t="s">
        <v>263</v>
      </c>
      <c r="D289" s="2" t="s">
        <v>13</v>
      </c>
      <c r="E289" s="2" t="str">
        <f>IFERROR(INDEX(centros!$H$2:$H$45,MATCH(TRIM(Tabla1[[#This Row],[SOCIEDAD]])&amp;"|"&amp;TRIM(Tabla1[[#This Row],[LOCALIDAD]]),centros!$G$2:$G$45,0)),"REVISAR")</f>
        <v>VC01</v>
      </c>
      <c r="F289" s="2" t="s">
        <v>45</v>
      </c>
      <c r="G289" s="2" t="str">
        <f>_xlfn.XLOOKUP(Tabla1[[#This Row],[MARCA]],MARCAS!E:E,MARCAS!F:F)</f>
        <v>100</v>
      </c>
      <c r="H289" s="2" t="str">
        <f>_xlfn.XLOOKUP(Tabla1[[#This Row],[MARCA]],MARCAS!C:C,MARCAS!A:A)</f>
        <v>F0012</v>
      </c>
      <c r="I289" s="38" t="s">
        <v>973</v>
      </c>
      <c r="J289" s="37" t="s">
        <v>974</v>
      </c>
      <c r="K289" s="2" t="s">
        <v>975</v>
      </c>
    </row>
    <row r="290" spans="1:11" hidden="1" x14ac:dyDescent="0.25">
      <c r="A290" s="2" t="s">
        <v>34</v>
      </c>
      <c r="B290" s="2" t="str">
        <f>_xlfn.XLOOKUP(Tabla1[[#This Row],[SOCIEDAD]],centros!D:D,centros!E:E)</f>
        <v>VC00</v>
      </c>
      <c r="C290" s="2" t="s">
        <v>671</v>
      </c>
      <c r="D290" s="2" t="s">
        <v>13</v>
      </c>
      <c r="E290" s="2" t="str">
        <f>IFERROR(INDEX(centros!$H$2:$H$45,MATCH(TRIM(Tabla1[[#This Row],[SOCIEDAD]])&amp;"|"&amp;TRIM(Tabla1[[#This Row],[LOCALIDAD]]),centros!$G$2:$G$45,0)),"REVISAR")</f>
        <v>VC01</v>
      </c>
      <c r="F290" s="2" t="s">
        <v>45</v>
      </c>
      <c r="G290" s="2" t="str">
        <f>_xlfn.XLOOKUP(Tabla1[[#This Row],[MARCA]],MARCAS!E:E,MARCAS!F:F)</f>
        <v>100</v>
      </c>
      <c r="H290" s="2" t="str">
        <f>_xlfn.XLOOKUP(Tabla1[[#This Row],[MARCA]],MARCAS!C:C,MARCAS!A:A)</f>
        <v>F0012</v>
      </c>
      <c r="I290" s="38" t="s">
        <v>976</v>
      </c>
      <c r="J290" s="37" t="s">
        <v>977</v>
      </c>
      <c r="K290" s="2" t="s">
        <v>978</v>
      </c>
    </row>
    <row r="291" spans="1:11" hidden="1" x14ac:dyDescent="0.25">
      <c r="A291" s="2" t="s">
        <v>34</v>
      </c>
      <c r="B291" s="2" t="str">
        <f>_xlfn.XLOOKUP(Tabla1[[#This Row],[SOCIEDAD]],centros!D:D,centros!E:E)</f>
        <v>VC00</v>
      </c>
      <c r="C291" s="2" t="s">
        <v>930</v>
      </c>
      <c r="D291" s="2" t="s">
        <v>13</v>
      </c>
      <c r="E291" s="2" t="str">
        <f>IFERROR(INDEX(centros!$H$2:$H$45,MATCH(TRIM(Tabla1[[#This Row],[SOCIEDAD]])&amp;"|"&amp;TRIM(Tabla1[[#This Row],[LOCALIDAD]]),centros!$G$2:$G$45,0)),"REVISAR")</f>
        <v>VC01</v>
      </c>
      <c r="F291" s="2" t="s">
        <v>45</v>
      </c>
      <c r="G291" s="2" t="str">
        <f>_xlfn.XLOOKUP(Tabla1[[#This Row],[MARCA]],MARCAS!E:E,MARCAS!F:F)</f>
        <v>100</v>
      </c>
      <c r="H291" s="2" t="str">
        <f>_xlfn.XLOOKUP(Tabla1[[#This Row],[MARCA]],MARCAS!C:C,MARCAS!A:A)</f>
        <v>F0012</v>
      </c>
      <c r="I291" s="38" t="s">
        <v>979</v>
      </c>
      <c r="J291" s="37" t="s">
        <v>980</v>
      </c>
      <c r="K291" s="2" t="s">
        <v>981</v>
      </c>
    </row>
    <row r="292" spans="1:11" hidden="1" x14ac:dyDescent="0.25">
      <c r="A292" s="2" t="s">
        <v>34</v>
      </c>
      <c r="B292" s="2" t="str">
        <f>_xlfn.XLOOKUP(Tabla1[[#This Row],[SOCIEDAD]],centros!D:D,centros!E:E)</f>
        <v>VC00</v>
      </c>
      <c r="C292" s="2" t="s">
        <v>300</v>
      </c>
      <c r="D292" s="2" t="s">
        <v>13</v>
      </c>
      <c r="E292" s="2" t="str">
        <f>IFERROR(INDEX(centros!$H$2:$H$45,MATCH(TRIM(Tabla1[[#This Row],[SOCIEDAD]])&amp;"|"&amp;TRIM(Tabla1[[#This Row],[LOCALIDAD]]),centros!$G$2:$G$45,0)),"REVISAR")</f>
        <v>VC01</v>
      </c>
      <c r="F292" s="2" t="s">
        <v>45</v>
      </c>
      <c r="G292" s="2" t="str">
        <f>_xlfn.XLOOKUP(Tabla1[[#This Row],[MARCA]],MARCAS!E:E,MARCAS!F:F)</f>
        <v>100</v>
      </c>
      <c r="H292" s="2" t="str">
        <f>_xlfn.XLOOKUP(Tabla1[[#This Row],[MARCA]],MARCAS!C:C,MARCAS!A:A)</f>
        <v>F0012</v>
      </c>
      <c r="I292" s="38" t="s">
        <v>982</v>
      </c>
      <c r="J292" s="37" t="s">
        <v>983</v>
      </c>
      <c r="K292" s="2" t="s">
        <v>984</v>
      </c>
    </row>
    <row r="293" spans="1:11" hidden="1" x14ac:dyDescent="0.25">
      <c r="A293" s="2" t="s">
        <v>34</v>
      </c>
      <c r="B293" s="2" t="str">
        <f>_xlfn.XLOOKUP(Tabla1[[#This Row],[SOCIEDAD]],centros!D:D,centros!E:E)</f>
        <v>VC00</v>
      </c>
      <c r="C293" s="2" t="s">
        <v>263</v>
      </c>
      <c r="D293" s="2" t="s">
        <v>23</v>
      </c>
      <c r="E293" s="2" t="str">
        <f>IFERROR(INDEX(centros!$H$2:$H$45,MATCH(TRIM(Tabla1[[#This Row],[SOCIEDAD]])&amp;"|"&amp;TRIM(Tabla1[[#This Row],[LOCALIDAD]]),centros!$G$2:$G$45,0)),"REVISAR")</f>
        <v>VC06</v>
      </c>
      <c r="F293" s="2" t="s">
        <v>45</v>
      </c>
      <c r="G293" s="2" t="str">
        <f>_xlfn.XLOOKUP(Tabla1[[#This Row],[MARCA]],MARCAS!E:E,MARCAS!F:F)</f>
        <v>100</v>
      </c>
      <c r="H293" s="2" t="str">
        <f>_xlfn.XLOOKUP(Tabla1[[#This Row],[MARCA]],MARCAS!C:C,MARCAS!A:A)</f>
        <v>F0012</v>
      </c>
      <c r="I293" s="38" t="s">
        <v>985</v>
      </c>
      <c r="J293" s="37" t="s">
        <v>986</v>
      </c>
      <c r="K293" s="2" t="s">
        <v>987</v>
      </c>
    </row>
    <row r="294" spans="1:11" hidden="1" x14ac:dyDescent="0.25">
      <c r="A294" s="2" t="s">
        <v>34</v>
      </c>
      <c r="B294" s="2" t="str">
        <f>_xlfn.XLOOKUP(Tabla1[[#This Row],[SOCIEDAD]],centros!D:D,centros!E:E)</f>
        <v>VC00</v>
      </c>
      <c r="C294" s="2" t="s">
        <v>671</v>
      </c>
      <c r="D294" s="2" t="s">
        <v>23</v>
      </c>
      <c r="E294" s="2" t="str">
        <f>IFERROR(INDEX(centros!$H$2:$H$45,MATCH(TRIM(Tabla1[[#This Row],[SOCIEDAD]])&amp;"|"&amp;TRIM(Tabla1[[#This Row],[LOCALIDAD]]),centros!$G$2:$G$45,0)),"REVISAR")</f>
        <v>VC06</v>
      </c>
      <c r="F294" s="2" t="s">
        <v>45</v>
      </c>
      <c r="G294" s="2" t="str">
        <f>_xlfn.XLOOKUP(Tabla1[[#This Row],[MARCA]],MARCAS!E:E,MARCAS!F:F)</f>
        <v>100</v>
      </c>
      <c r="H294" s="2" t="str">
        <f>_xlfn.XLOOKUP(Tabla1[[#This Row],[MARCA]],MARCAS!C:C,MARCAS!A:A)</f>
        <v>F0012</v>
      </c>
      <c r="I294" s="38" t="s">
        <v>988</v>
      </c>
      <c r="J294" s="37" t="s">
        <v>989</v>
      </c>
      <c r="K294" s="2" t="s">
        <v>990</v>
      </c>
    </row>
    <row r="295" spans="1:11" hidden="1" x14ac:dyDescent="0.25">
      <c r="A295" s="2" t="s">
        <v>34</v>
      </c>
      <c r="B295" s="2" t="str">
        <f>_xlfn.XLOOKUP(Tabla1[[#This Row],[SOCIEDAD]],centros!D:D,centros!E:E)</f>
        <v>VC00</v>
      </c>
      <c r="C295" s="2" t="s">
        <v>930</v>
      </c>
      <c r="D295" s="2" t="s">
        <v>23</v>
      </c>
      <c r="E295" s="2" t="str">
        <f>IFERROR(INDEX(centros!$H$2:$H$45,MATCH(TRIM(Tabla1[[#This Row],[SOCIEDAD]])&amp;"|"&amp;TRIM(Tabla1[[#This Row],[LOCALIDAD]]),centros!$G$2:$G$45,0)),"REVISAR")</f>
        <v>VC06</v>
      </c>
      <c r="F295" s="2" t="s">
        <v>45</v>
      </c>
      <c r="G295" s="2" t="str">
        <f>_xlfn.XLOOKUP(Tabla1[[#This Row],[MARCA]],MARCAS!E:E,MARCAS!F:F)</f>
        <v>100</v>
      </c>
      <c r="H295" s="2" t="str">
        <f>_xlfn.XLOOKUP(Tabla1[[#This Row],[MARCA]],MARCAS!C:C,MARCAS!A:A)</f>
        <v>F0012</v>
      </c>
      <c r="I295" s="38" t="s">
        <v>991</v>
      </c>
      <c r="J295" s="37" t="s">
        <v>992</v>
      </c>
      <c r="K295" s="2" t="s">
        <v>993</v>
      </c>
    </row>
    <row r="296" spans="1:11" hidden="1" x14ac:dyDescent="0.25">
      <c r="A296" s="2" t="s">
        <v>34</v>
      </c>
      <c r="B296" s="2" t="str">
        <f>_xlfn.XLOOKUP(Tabla1[[#This Row],[SOCIEDAD]],centros!D:D,centros!E:E)</f>
        <v>VC00</v>
      </c>
      <c r="C296" s="2" t="s">
        <v>300</v>
      </c>
      <c r="D296" s="2" t="s">
        <v>23</v>
      </c>
      <c r="E296" s="2" t="str">
        <f>IFERROR(INDEX(centros!$H$2:$H$45,MATCH(TRIM(Tabla1[[#This Row],[SOCIEDAD]])&amp;"|"&amp;TRIM(Tabla1[[#This Row],[LOCALIDAD]]),centros!$G$2:$G$45,0)),"REVISAR")</f>
        <v>VC06</v>
      </c>
      <c r="F296" s="2" t="s">
        <v>45</v>
      </c>
      <c r="G296" s="2" t="str">
        <f>_xlfn.XLOOKUP(Tabla1[[#This Row],[MARCA]],MARCAS!E:E,MARCAS!F:F)</f>
        <v>100</v>
      </c>
      <c r="H296" s="2" t="str">
        <f>_xlfn.XLOOKUP(Tabla1[[#This Row],[MARCA]],MARCAS!C:C,MARCAS!A:A)</f>
        <v>F0012</v>
      </c>
      <c r="I296" s="38" t="s">
        <v>994</v>
      </c>
      <c r="J296" s="37" t="s">
        <v>995</v>
      </c>
      <c r="K296" s="2" t="s">
        <v>996</v>
      </c>
    </row>
    <row r="297" spans="1:11" hidden="1" x14ac:dyDescent="0.25">
      <c r="A297" s="2" t="s">
        <v>34</v>
      </c>
      <c r="B297" s="2" t="str">
        <f>_xlfn.XLOOKUP(Tabla1[[#This Row],[SOCIEDAD]],centros!D:D,centros!E:E)</f>
        <v>VC00</v>
      </c>
      <c r="C297" s="2" t="s">
        <v>263</v>
      </c>
      <c r="D297" s="2" t="s">
        <v>32</v>
      </c>
      <c r="E297" s="2" t="str">
        <f>IFERROR(INDEX(centros!$H$2:$H$45,MATCH(TRIM(Tabla1[[#This Row],[SOCIEDAD]])&amp;"|"&amp;TRIM(Tabla1[[#This Row],[LOCALIDAD]]),centros!$G$2:$G$45,0)),"REVISAR")</f>
        <v>VC03</v>
      </c>
      <c r="F297" s="2" t="s">
        <v>45</v>
      </c>
      <c r="G297" s="2" t="str">
        <f>_xlfn.XLOOKUP(Tabla1[[#This Row],[MARCA]],MARCAS!E:E,MARCAS!F:F)</f>
        <v>100</v>
      </c>
      <c r="H297" s="2" t="str">
        <f>_xlfn.XLOOKUP(Tabla1[[#This Row],[MARCA]],MARCAS!C:C,MARCAS!A:A)</f>
        <v>F0012</v>
      </c>
      <c r="I297" s="38" t="s">
        <v>997</v>
      </c>
      <c r="J297" s="37" t="s">
        <v>998</v>
      </c>
      <c r="K297" s="2" t="s">
        <v>999</v>
      </c>
    </row>
    <row r="298" spans="1:11" hidden="1" x14ac:dyDescent="0.25">
      <c r="A298" s="2" t="s">
        <v>34</v>
      </c>
      <c r="B298" s="2" t="str">
        <f>_xlfn.XLOOKUP(Tabla1[[#This Row],[SOCIEDAD]],centros!D:D,centros!E:E)</f>
        <v>VC00</v>
      </c>
      <c r="C298" s="2" t="s">
        <v>671</v>
      </c>
      <c r="D298" s="2" t="s">
        <v>32</v>
      </c>
      <c r="E298" s="2" t="str">
        <f>IFERROR(INDEX(centros!$H$2:$H$45,MATCH(TRIM(Tabla1[[#This Row],[SOCIEDAD]])&amp;"|"&amp;TRIM(Tabla1[[#This Row],[LOCALIDAD]]),centros!$G$2:$G$45,0)),"REVISAR")</f>
        <v>VC03</v>
      </c>
      <c r="F298" s="2" t="s">
        <v>45</v>
      </c>
      <c r="G298" s="2" t="str">
        <f>_xlfn.XLOOKUP(Tabla1[[#This Row],[MARCA]],MARCAS!E:E,MARCAS!F:F)</f>
        <v>100</v>
      </c>
      <c r="H298" s="2" t="str">
        <f>_xlfn.XLOOKUP(Tabla1[[#This Row],[MARCA]],MARCAS!C:C,MARCAS!A:A)</f>
        <v>F0012</v>
      </c>
      <c r="I298" s="38" t="s">
        <v>1000</v>
      </c>
      <c r="J298" s="37" t="s">
        <v>1001</v>
      </c>
      <c r="K298" s="2" t="s">
        <v>1002</v>
      </c>
    </row>
    <row r="299" spans="1:11" hidden="1" x14ac:dyDescent="0.25">
      <c r="A299" s="2" t="s">
        <v>34</v>
      </c>
      <c r="B299" s="2" t="str">
        <f>_xlfn.XLOOKUP(Tabla1[[#This Row],[SOCIEDAD]],centros!D:D,centros!E:E)</f>
        <v>VC00</v>
      </c>
      <c r="C299" s="2" t="s">
        <v>930</v>
      </c>
      <c r="D299" s="2" t="s">
        <v>32</v>
      </c>
      <c r="E299" s="2" t="str">
        <f>IFERROR(INDEX(centros!$H$2:$H$45,MATCH(TRIM(Tabla1[[#This Row],[SOCIEDAD]])&amp;"|"&amp;TRIM(Tabla1[[#This Row],[LOCALIDAD]]),centros!$G$2:$G$45,0)),"REVISAR")</f>
        <v>VC03</v>
      </c>
      <c r="F299" s="2" t="s">
        <v>45</v>
      </c>
      <c r="G299" s="2" t="str">
        <f>_xlfn.XLOOKUP(Tabla1[[#This Row],[MARCA]],MARCAS!E:E,MARCAS!F:F)</f>
        <v>100</v>
      </c>
      <c r="H299" s="2" t="str">
        <f>_xlfn.XLOOKUP(Tabla1[[#This Row],[MARCA]],MARCAS!C:C,MARCAS!A:A)</f>
        <v>F0012</v>
      </c>
      <c r="I299" s="38" t="s">
        <v>1003</v>
      </c>
      <c r="J299" s="37" t="s">
        <v>1004</v>
      </c>
      <c r="K299" s="2" t="s">
        <v>1005</v>
      </c>
    </row>
    <row r="300" spans="1:11" hidden="1" x14ac:dyDescent="0.25">
      <c r="A300" s="2" t="s">
        <v>34</v>
      </c>
      <c r="B300" s="2" t="str">
        <f>_xlfn.XLOOKUP(Tabla1[[#This Row],[SOCIEDAD]],centros!D:D,centros!E:E)</f>
        <v>VC00</v>
      </c>
      <c r="C300" s="2" t="s">
        <v>300</v>
      </c>
      <c r="D300" s="2" t="s">
        <v>32</v>
      </c>
      <c r="E300" s="2" t="str">
        <f>IFERROR(INDEX(centros!$H$2:$H$45,MATCH(TRIM(Tabla1[[#This Row],[SOCIEDAD]])&amp;"|"&amp;TRIM(Tabla1[[#This Row],[LOCALIDAD]]),centros!$G$2:$G$45,0)),"REVISAR")</f>
        <v>VC03</v>
      </c>
      <c r="F300" s="2" t="s">
        <v>45</v>
      </c>
      <c r="G300" s="2" t="str">
        <f>_xlfn.XLOOKUP(Tabla1[[#This Row],[MARCA]],MARCAS!E:E,MARCAS!F:F)</f>
        <v>100</v>
      </c>
      <c r="H300" s="2" t="str">
        <f>_xlfn.XLOOKUP(Tabla1[[#This Row],[MARCA]],MARCAS!C:C,MARCAS!A:A)</f>
        <v>F0012</v>
      </c>
      <c r="I300" s="38" t="s">
        <v>1006</v>
      </c>
      <c r="J300" s="37" t="s">
        <v>1007</v>
      </c>
      <c r="K300" s="2" t="s">
        <v>1008</v>
      </c>
    </row>
    <row r="301" spans="1:11" hidden="1" x14ac:dyDescent="0.25">
      <c r="A301" s="2" t="s">
        <v>34</v>
      </c>
      <c r="B301" s="2" t="str">
        <f>_xlfn.XLOOKUP(Tabla1[[#This Row],[SOCIEDAD]],centros!D:D,centros!E:E)</f>
        <v>VC00</v>
      </c>
      <c r="C301" s="2" t="s">
        <v>263</v>
      </c>
      <c r="D301" s="2" t="s">
        <v>33</v>
      </c>
      <c r="E301" s="2" t="str">
        <f>IFERROR(INDEX(centros!$H$2:$H$45,MATCH(TRIM(Tabla1[[#This Row],[SOCIEDAD]])&amp;"|"&amp;TRIM(Tabla1[[#This Row],[LOCALIDAD]]),centros!$G$2:$G$45,0)),"REVISAR")</f>
        <v>VC07</v>
      </c>
      <c r="F301" s="2" t="s">
        <v>45</v>
      </c>
      <c r="G301" s="2" t="str">
        <f>_xlfn.XLOOKUP(Tabla1[[#This Row],[MARCA]],MARCAS!E:E,MARCAS!F:F)</f>
        <v>100</v>
      </c>
      <c r="H301" s="2" t="str">
        <f>_xlfn.XLOOKUP(Tabla1[[#This Row],[MARCA]],MARCAS!C:C,MARCAS!A:A)</f>
        <v>F0012</v>
      </c>
      <c r="I301" s="38" t="s">
        <v>1009</v>
      </c>
      <c r="J301" s="37" t="s">
        <v>1010</v>
      </c>
      <c r="K301" s="2" t="s">
        <v>1011</v>
      </c>
    </row>
    <row r="302" spans="1:11" hidden="1" x14ac:dyDescent="0.25">
      <c r="A302" s="2" t="s">
        <v>34</v>
      </c>
      <c r="B302" s="2" t="str">
        <f>_xlfn.XLOOKUP(Tabla1[[#This Row],[SOCIEDAD]],centros!D:D,centros!E:E)</f>
        <v>VC00</v>
      </c>
      <c r="C302" s="2" t="s">
        <v>671</v>
      </c>
      <c r="D302" s="2" t="s">
        <v>33</v>
      </c>
      <c r="E302" s="2" t="str">
        <f>IFERROR(INDEX(centros!$H$2:$H$45,MATCH(TRIM(Tabla1[[#This Row],[SOCIEDAD]])&amp;"|"&amp;TRIM(Tabla1[[#This Row],[LOCALIDAD]]),centros!$G$2:$G$45,0)),"REVISAR")</f>
        <v>VC07</v>
      </c>
      <c r="F302" s="2" t="s">
        <v>45</v>
      </c>
      <c r="G302" s="2" t="str">
        <f>_xlfn.XLOOKUP(Tabla1[[#This Row],[MARCA]],MARCAS!E:E,MARCAS!F:F)</f>
        <v>100</v>
      </c>
      <c r="H302" s="2" t="str">
        <f>_xlfn.XLOOKUP(Tabla1[[#This Row],[MARCA]],MARCAS!C:C,MARCAS!A:A)</f>
        <v>F0012</v>
      </c>
      <c r="I302" s="38" t="s">
        <v>1012</v>
      </c>
      <c r="J302" s="37" t="s">
        <v>1013</v>
      </c>
      <c r="K302" s="2" t="s">
        <v>1014</v>
      </c>
    </row>
    <row r="303" spans="1:11" hidden="1" x14ac:dyDescent="0.25">
      <c r="A303" s="2" t="s">
        <v>34</v>
      </c>
      <c r="B303" s="2" t="str">
        <f>_xlfn.XLOOKUP(Tabla1[[#This Row],[SOCIEDAD]],centros!D:D,centros!E:E)</f>
        <v>VC00</v>
      </c>
      <c r="C303" s="2" t="s">
        <v>930</v>
      </c>
      <c r="D303" s="2" t="s">
        <v>33</v>
      </c>
      <c r="E303" s="2" t="str">
        <f>IFERROR(INDEX(centros!$H$2:$H$45,MATCH(TRIM(Tabla1[[#This Row],[SOCIEDAD]])&amp;"|"&amp;TRIM(Tabla1[[#This Row],[LOCALIDAD]]),centros!$G$2:$G$45,0)),"REVISAR")</f>
        <v>VC07</v>
      </c>
      <c r="F303" s="2" t="s">
        <v>45</v>
      </c>
      <c r="G303" s="2" t="str">
        <f>_xlfn.XLOOKUP(Tabla1[[#This Row],[MARCA]],MARCAS!E:E,MARCAS!F:F)</f>
        <v>100</v>
      </c>
      <c r="H303" s="2" t="str">
        <f>_xlfn.XLOOKUP(Tabla1[[#This Row],[MARCA]],MARCAS!C:C,MARCAS!A:A)</f>
        <v>F0012</v>
      </c>
      <c r="I303" s="38" t="s">
        <v>1015</v>
      </c>
      <c r="J303" s="37" t="s">
        <v>1016</v>
      </c>
      <c r="K303" s="2" t="s">
        <v>1017</v>
      </c>
    </row>
    <row r="304" spans="1:11" hidden="1" x14ac:dyDescent="0.25">
      <c r="A304" s="2" t="s">
        <v>34</v>
      </c>
      <c r="B304" s="2" t="str">
        <f>_xlfn.XLOOKUP(Tabla1[[#This Row],[SOCIEDAD]],centros!D:D,centros!E:E)</f>
        <v>VC00</v>
      </c>
      <c r="C304" s="2" t="s">
        <v>300</v>
      </c>
      <c r="D304" s="2" t="s">
        <v>33</v>
      </c>
      <c r="E304" s="2" t="str">
        <f>IFERROR(INDEX(centros!$H$2:$H$45,MATCH(TRIM(Tabla1[[#This Row],[SOCIEDAD]])&amp;"|"&amp;TRIM(Tabla1[[#This Row],[LOCALIDAD]]),centros!$G$2:$G$45,0)),"REVISAR")</f>
        <v>VC07</v>
      </c>
      <c r="F304" s="2" t="s">
        <v>45</v>
      </c>
      <c r="G304" s="2" t="str">
        <f>_xlfn.XLOOKUP(Tabla1[[#This Row],[MARCA]],MARCAS!E:E,MARCAS!F:F)</f>
        <v>100</v>
      </c>
      <c r="H304" s="2" t="str">
        <f>_xlfn.XLOOKUP(Tabla1[[#This Row],[MARCA]],MARCAS!C:C,MARCAS!A:A)</f>
        <v>F0012</v>
      </c>
      <c r="I304" s="38" t="s">
        <v>1018</v>
      </c>
      <c r="J304" s="37" t="s">
        <v>1019</v>
      </c>
      <c r="K304" s="2" t="s">
        <v>1020</v>
      </c>
    </row>
    <row r="305" spans="1:11" hidden="1" x14ac:dyDescent="0.25">
      <c r="A305" s="2" t="s">
        <v>34</v>
      </c>
      <c r="B305" s="2" t="str">
        <f>_xlfn.XLOOKUP(Tabla1[[#This Row],[SOCIEDAD]],centros!D:D,centros!E:E)</f>
        <v>VC00</v>
      </c>
      <c r="C305" s="2" t="s">
        <v>263</v>
      </c>
      <c r="D305" s="2" t="s">
        <v>15</v>
      </c>
      <c r="E305" s="2" t="str">
        <f>IFERROR(INDEX(centros!$H$2:$H$45,MATCH(TRIM(Tabla1[[#This Row],[SOCIEDAD]])&amp;"|"&amp;TRIM(Tabla1[[#This Row],[LOCALIDAD]]),centros!$G$2:$G$45,0)),"REVISAR")</f>
        <v>VC02</v>
      </c>
      <c r="F305" s="2" t="s">
        <v>48</v>
      </c>
      <c r="G305" s="2" t="str">
        <f>_xlfn.XLOOKUP(Tabla1[[#This Row],[MARCA]],MARCAS!E:E,MARCAS!F:F)</f>
        <v>090</v>
      </c>
      <c r="H305" s="2" t="str">
        <f>_xlfn.XLOOKUP(Tabla1[[#This Row],[MARCA]],MARCAS!C:C,MARCAS!A:A)</f>
        <v>F0014</v>
      </c>
      <c r="I305" s="38" t="s">
        <v>1021</v>
      </c>
      <c r="J305" s="37" t="s">
        <v>1022</v>
      </c>
      <c r="K305" s="2" t="s">
        <v>1023</v>
      </c>
    </row>
    <row r="306" spans="1:11" hidden="1" x14ac:dyDescent="0.25">
      <c r="A306" s="2" t="s">
        <v>34</v>
      </c>
      <c r="B306" s="2" t="str">
        <f>_xlfn.XLOOKUP(Tabla1[[#This Row],[SOCIEDAD]],centros!D:D,centros!E:E)</f>
        <v>VC00</v>
      </c>
      <c r="C306" s="2" t="s">
        <v>671</v>
      </c>
      <c r="D306" s="2" t="s">
        <v>15</v>
      </c>
      <c r="E306" s="2" t="str">
        <f>IFERROR(INDEX(centros!$H$2:$H$45,MATCH(TRIM(Tabla1[[#This Row],[SOCIEDAD]])&amp;"|"&amp;TRIM(Tabla1[[#This Row],[LOCALIDAD]]),centros!$G$2:$G$45,0)),"REVISAR")</f>
        <v>VC02</v>
      </c>
      <c r="F306" s="2" t="s">
        <v>48</v>
      </c>
      <c r="G306" s="2" t="str">
        <f>_xlfn.XLOOKUP(Tabla1[[#This Row],[MARCA]],MARCAS!E:E,MARCAS!F:F)</f>
        <v>090</v>
      </c>
      <c r="H306" s="2" t="str">
        <f>_xlfn.XLOOKUP(Tabla1[[#This Row],[MARCA]],MARCAS!C:C,MARCAS!A:A)</f>
        <v>F0014</v>
      </c>
      <c r="I306" s="38" t="s">
        <v>1024</v>
      </c>
      <c r="J306" s="37" t="s">
        <v>1025</v>
      </c>
      <c r="K306" s="2" t="s">
        <v>1026</v>
      </c>
    </row>
    <row r="307" spans="1:11" hidden="1" x14ac:dyDescent="0.25">
      <c r="A307" s="2" t="s">
        <v>34</v>
      </c>
      <c r="B307" s="2" t="str">
        <f>_xlfn.XLOOKUP(Tabla1[[#This Row],[SOCIEDAD]],centros!D:D,centros!E:E)</f>
        <v>VC00</v>
      </c>
      <c r="C307" s="2" t="s">
        <v>1027</v>
      </c>
      <c r="D307" s="2" t="s">
        <v>15</v>
      </c>
      <c r="E307" s="2" t="str">
        <f>IFERROR(INDEX(centros!$H$2:$H$45,MATCH(TRIM(Tabla1[[#This Row],[SOCIEDAD]])&amp;"|"&amp;TRIM(Tabla1[[#This Row],[LOCALIDAD]]),centros!$G$2:$G$45,0)),"REVISAR")</f>
        <v>VC02</v>
      </c>
      <c r="F307" s="2" t="s">
        <v>48</v>
      </c>
      <c r="G307" s="2" t="str">
        <f>_xlfn.XLOOKUP(Tabla1[[#This Row],[MARCA]],MARCAS!E:E,MARCAS!F:F)</f>
        <v>090</v>
      </c>
      <c r="H307" s="2" t="str">
        <f>_xlfn.XLOOKUP(Tabla1[[#This Row],[MARCA]],MARCAS!C:C,MARCAS!A:A)</f>
        <v>F0014</v>
      </c>
      <c r="I307" s="38" t="s">
        <v>1028</v>
      </c>
      <c r="J307" s="37" t="s">
        <v>1029</v>
      </c>
      <c r="K307" s="2" t="s">
        <v>1030</v>
      </c>
    </row>
    <row r="308" spans="1:11" hidden="1" x14ac:dyDescent="0.25">
      <c r="A308" s="2" t="s">
        <v>34</v>
      </c>
      <c r="B308" s="2" t="str">
        <f>_xlfn.XLOOKUP(Tabla1[[#This Row],[SOCIEDAD]],centros!D:D,centros!E:E)</f>
        <v>VC00</v>
      </c>
      <c r="C308" s="2" t="s">
        <v>300</v>
      </c>
      <c r="D308" s="2" t="s">
        <v>15</v>
      </c>
      <c r="E308" s="2" t="str">
        <f>IFERROR(INDEX(centros!$H$2:$H$45,MATCH(TRIM(Tabla1[[#This Row],[SOCIEDAD]])&amp;"|"&amp;TRIM(Tabla1[[#This Row],[LOCALIDAD]]),centros!$G$2:$G$45,0)),"REVISAR")</f>
        <v>VC02</v>
      </c>
      <c r="F308" s="2" t="s">
        <v>48</v>
      </c>
      <c r="G308" s="2" t="str">
        <f>_xlfn.XLOOKUP(Tabla1[[#This Row],[MARCA]],MARCAS!E:E,MARCAS!F:F)</f>
        <v>090</v>
      </c>
      <c r="H308" s="2" t="str">
        <f>_xlfn.XLOOKUP(Tabla1[[#This Row],[MARCA]],MARCAS!C:C,MARCAS!A:A)</f>
        <v>F0014</v>
      </c>
      <c r="I308" s="38" t="s">
        <v>1031</v>
      </c>
      <c r="J308" s="37" t="s">
        <v>1032</v>
      </c>
      <c r="K308" s="2" t="s">
        <v>1033</v>
      </c>
    </row>
    <row r="309" spans="1:11" hidden="1" x14ac:dyDescent="0.25">
      <c r="A309" s="2" t="s">
        <v>34</v>
      </c>
      <c r="B309" s="2" t="str">
        <f>_xlfn.XLOOKUP(Tabla1[[#This Row],[SOCIEDAD]],centros!D:D,centros!E:E)</f>
        <v>VC00</v>
      </c>
      <c r="C309" s="2" t="s">
        <v>263</v>
      </c>
      <c r="D309" s="2" t="s">
        <v>11</v>
      </c>
      <c r="E309" s="2" t="str">
        <f>IFERROR(INDEX(centros!$H$2:$H$45,MATCH(TRIM(Tabla1[[#This Row],[SOCIEDAD]])&amp;"|"&amp;TRIM(Tabla1[[#This Row],[LOCALIDAD]]),centros!$G$2:$G$45,0)),"REVISAR")</f>
        <v>VC00</v>
      </c>
      <c r="F309" s="2" t="s">
        <v>48</v>
      </c>
      <c r="G309" s="2" t="str">
        <f>_xlfn.XLOOKUP(Tabla1[[#This Row],[MARCA]],MARCAS!E:E,MARCAS!F:F)</f>
        <v>090</v>
      </c>
      <c r="H309" s="2" t="str">
        <f>_xlfn.XLOOKUP(Tabla1[[#This Row],[MARCA]],MARCAS!C:C,MARCAS!A:A)</f>
        <v>F0014</v>
      </c>
      <c r="I309" s="38" t="s">
        <v>1034</v>
      </c>
      <c r="J309" s="37" t="s">
        <v>1035</v>
      </c>
      <c r="K309" s="2" t="s">
        <v>1036</v>
      </c>
    </row>
    <row r="310" spans="1:11" hidden="1" x14ac:dyDescent="0.25">
      <c r="A310" s="2" t="s">
        <v>34</v>
      </c>
      <c r="B310" s="2" t="str">
        <f>_xlfn.XLOOKUP(Tabla1[[#This Row],[SOCIEDAD]],centros!D:D,centros!E:E)</f>
        <v>VC00</v>
      </c>
      <c r="C310" s="2" t="s">
        <v>671</v>
      </c>
      <c r="D310" s="2" t="s">
        <v>11</v>
      </c>
      <c r="E310" s="2" t="str">
        <f>IFERROR(INDEX(centros!$H$2:$H$45,MATCH(TRIM(Tabla1[[#This Row],[SOCIEDAD]])&amp;"|"&amp;TRIM(Tabla1[[#This Row],[LOCALIDAD]]),centros!$G$2:$G$45,0)),"REVISAR")</f>
        <v>VC00</v>
      </c>
      <c r="F310" s="2" t="s">
        <v>48</v>
      </c>
      <c r="G310" s="2" t="str">
        <f>_xlfn.XLOOKUP(Tabla1[[#This Row],[MARCA]],MARCAS!E:E,MARCAS!F:F)</f>
        <v>090</v>
      </c>
      <c r="H310" s="2" t="str">
        <f>_xlfn.XLOOKUP(Tabla1[[#This Row],[MARCA]],MARCAS!C:C,MARCAS!A:A)</f>
        <v>F0014</v>
      </c>
      <c r="I310" s="38" t="s">
        <v>1037</v>
      </c>
      <c r="J310" s="37" t="s">
        <v>1038</v>
      </c>
      <c r="K310" s="2" t="s">
        <v>1039</v>
      </c>
    </row>
    <row r="311" spans="1:11" hidden="1" x14ac:dyDescent="0.25">
      <c r="A311" s="2" t="s">
        <v>34</v>
      </c>
      <c r="B311" s="2" t="str">
        <f>_xlfn.XLOOKUP(Tabla1[[#This Row],[SOCIEDAD]],centros!D:D,centros!E:E)</f>
        <v>VC00</v>
      </c>
      <c r="C311" s="2" t="s">
        <v>1027</v>
      </c>
      <c r="D311" s="2" t="s">
        <v>11</v>
      </c>
      <c r="E311" s="2" t="str">
        <f>IFERROR(INDEX(centros!$H$2:$H$45,MATCH(TRIM(Tabla1[[#This Row],[SOCIEDAD]])&amp;"|"&amp;TRIM(Tabla1[[#This Row],[LOCALIDAD]]),centros!$G$2:$G$45,0)),"REVISAR")</f>
        <v>VC00</v>
      </c>
      <c r="F311" s="2" t="s">
        <v>48</v>
      </c>
      <c r="G311" s="2" t="str">
        <f>_xlfn.XLOOKUP(Tabla1[[#This Row],[MARCA]],MARCAS!E:E,MARCAS!F:F)</f>
        <v>090</v>
      </c>
      <c r="H311" s="2" t="str">
        <f>_xlfn.XLOOKUP(Tabla1[[#This Row],[MARCA]],MARCAS!C:C,MARCAS!A:A)</f>
        <v>F0014</v>
      </c>
      <c r="I311" s="38" t="s">
        <v>1040</v>
      </c>
      <c r="J311" s="37" t="s">
        <v>1041</v>
      </c>
      <c r="K311" s="2" t="s">
        <v>1042</v>
      </c>
    </row>
    <row r="312" spans="1:11" hidden="1" x14ac:dyDescent="0.25">
      <c r="A312" s="2" t="s">
        <v>34</v>
      </c>
      <c r="B312" s="2" t="str">
        <f>_xlfn.XLOOKUP(Tabla1[[#This Row],[SOCIEDAD]],centros!D:D,centros!E:E)</f>
        <v>VC00</v>
      </c>
      <c r="C312" s="2" t="s">
        <v>300</v>
      </c>
      <c r="D312" s="2" t="s">
        <v>11</v>
      </c>
      <c r="E312" s="2" t="str">
        <f>IFERROR(INDEX(centros!$H$2:$H$45,MATCH(TRIM(Tabla1[[#This Row],[SOCIEDAD]])&amp;"|"&amp;TRIM(Tabla1[[#This Row],[LOCALIDAD]]),centros!$G$2:$G$45,0)),"REVISAR")</f>
        <v>VC00</v>
      </c>
      <c r="F312" s="2" t="s">
        <v>48</v>
      </c>
      <c r="G312" s="2" t="str">
        <f>_xlfn.XLOOKUP(Tabla1[[#This Row],[MARCA]],MARCAS!E:E,MARCAS!F:F)</f>
        <v>090</v>
      </c>
      <c r="H312" s="2" t="str">
        <f>_xlfn.XLOOKUP(Tabla1[[#This Row],[MARCA]],MARCAS!C:C,MARCAS!A:A)</f>
        <v>F0014</v>
      </c>
      <c r="I312" s="38" t="s">
        <v>1043</v>
      </c>
      <c r="J312" s="37" t="s">
        <v>1044</v>
      </c>
      <c r="K312" s="2" t="s">
        <v>1045</v>
      </c>
    </row>
    <row r="313" spans="1:11" hidden="1" x14ac:dyDescent="0.25">
      <c r="A313" s="2" t="s">
        <v>34</v>
      </c>
      <c r="B313" s="2" t="str">
        <f>_xlfn.XLOOKUP(Tabla1[[#This Row],[SOCIEDAD]],centros!D:D,centros!E:E)</f>
        <v>VC00</v>
      </c>
      <c r="C313" s="2" t="s">
        <v>263</v>
      </c>
      <c r="D313" s="2" t="s">
        <v>17</v>
      </c>
      <c r="E313" s="2" t="str">
        <f>IFERROR(INDEX(centros!$H$2:$H$45,MATCH(TRIM(Tabla1[[#This Row],[SOCIEDAD]])&amp;"|"&amp;TRIM(Tabla1[[#This Row],[LOCALIDAD]]),centros!$G$2:$G$45,0)),"REVISAR")</f>
        <v>VC04</v>
      </c>
      <c r="F313" s="2" t="s">
        <v>48</v>
      </c>
      <c r="G313" s="2" t="str">
        <f>_xlfn.XLOOKUP(Tabla1[[#This Row],[MARCA]],MARCAS!E:E,MARCAS!F:F)</f>
        <v>090</v>
      </c>
      <c r="H313" s="2" t="str">
        <f>_xlfn.XLOOKUP(Tabla1[[#This Row],[MARCA]],MARCAS!C:C,MARCAS!A:A)</f>
        <v>F0014</v>
      </c>
      <c r="I313" s="38" t="s">
        <v>1046</v>
      </c>
      <c r="J313" s="37" t="s">
        <v>1047</v>
      </c>
      <c r="K313" s="2" t="s">
        <v>1048</v>
      </c>
    </row>
    <row r="314" spans="1:11" hidden="1" x14ac:dyDescent="0.25">
      <c r="A314" s="2" t="s">
        <v>34</v>
      </c>
      <c r="B314" s="2" t="str">
        <f>_xlfn.XLOOKUP(Tabla1[[#This Row],[SOCIEDAD]],centros!D:D,centros!E:E)</f>
        <v>VC00</v>
      </c>
      <c r="C314" s="2" t="s">
        <v>671</v>
      </c>
      <c r="D314" s="2" t="s">
        <v>17</v>
      </c>
      <c r="E314" s="2" t="str">
        <f>IFERROR(INDEX(centros!$H$2:$H$45,MATCH(TRIM(Tabla1[[#This Row],[SOCIEDAD]])&amp;"|"&amp;TRIM(Tabla1[[#This Row],[LOCALIDAD]]),centros!$G$2:$G$45,0)),"REVISAR")</f>
        <v>VC04</v>
      </c>
      <c r="F314" s="2" t="s">
        <v>48</v>
      </c>
      <c r="G314" s="2" t="str">
        <f>_xlfn.XLOOKUP(Tabla1[[#This Row],[MARCA]],MARCAS!E:E,MARCAS!F:F)</f>
        <v>090</v>
      </c>
      <c r="H314" s="2" t="str">
        <f>_xlfn.XLOOKUP(Tabla1[[#This Row],[MARCA]],MARCAS!C:C,MARCAS!A:A)</f>
        <v>F0014</v>
      </c>
      <c r="I314" s="38" t="s">
        <v>1049</v>
      </c>
      <c r="J314" s="37" t="s">
        <v>1050</v>
      </c>
      <c r="K314" s="2" t="s">
        <v>1051</v>
      </c>
    </row>
    <row r="315" spans="1:11" hidden="1" x14ac:dyDescent="0.25">
      <c r="A315" s="2" t="s">
        <v>34</v>
      </c>
      <c r="B315" s="2" t="str">
        <f>_xlfn.XLOOKUP(Tabla1[[#This Row],[SOCIEDAD]],centros!D:D,centros!E:E)</f>
        <v>VC00</v>
      </c>
      <c r="C315" s="2" t="s">
        <v>1027</v>
      </c>
      <c r="D315" s="2" t="s">
        <v>17</v>
      </c>
      <c r="E315" s="2" t="str">
        <f>IFERROR(INDEX(centros!$H$2:$H$45,MATCH(TRIM(Tabla1[[#This Row],[SOCIEDAD]])&amp;"|"&amp;TRIM(Tabla1[[#This Row],[LOCALIDAD]]),centros!$G$2:$G$45,0)),"REVISAR")</f>
        <v>VC04</v>
      </c>
      <c r="F315" s="2" t="s">
        <v>48</v>
      </c>
      <c r="G315" s="2" t="str">
        <f>_xlfn.XLOOKUP(Tabla1[[#This Row],[MARCA]],MARCAS!E:E,MARCAS!F:F)</f>
        <v>090</v>
      </c>
      <c r="H315" s="2" t="str">
        <f>_xlfn.XLOOKUP(Tabla1[[#This Row],[MARCA]],MARCAS!C:C,MARCAS!A:A)</f>
        <v>F0014</v>
      </c>
      <c r="I315" s="38" t="s">
        <v>1052</v>
      </c>
      <c r="J315" s="37" t="s">
        <v>1053</v>
      </c>
      <c r="K315" s="2" t="s">
        <v>1054</v>
      </c>
    </row>
    <row r="316" spans="1:11" hidden="1" x14ac:dyDescent="0.25">
      <c r="A316" s="2" t="s">
        <v>34</v>
      </c>
      <c r="B316" s="2" t="str">
        <f>_xlfn.XLOOKUP(Tabla1[[#This Row],[SOCIEDAD]],centros!D:D,centros!E:E)</f>
        <v>VC00</v>
      </c>
      <c r="C316" s="2" t="s">
        <v>300</v>
      </c>
      <c r="D316" s="2" t="s">
        <v>17</v>
      </c>
      <c r="E316" s="2" t="str">
        <f>IFERROR(INDEX(centros!$H$2:$H$45,MATCH(TRIM(Tabla1[[#This Row],[SOCIEDAD]])&amp;"|"&amp;TRIM(Tabla1[[#This Row],[LOCALIDAD]]),centros!$G$2:$G$45,0)),"REVISAR")</f>
        <v>VC04</v>
      </c>
      <c r="F316" s="2" t="s">
        <v>48</v>
      </c>
      <c r="G316" s="2" t="str">
        <f>_xlfn.XLOOKUP(Tabla1[[#This Row],[MARCA]],MARCAS!E:E,MARCAS!F:F)</f>
        <v>090</v>
      </c>
      <c r="H316" s="2" t="str">
        <f>_xlfn.XLOOKUP(Tabla1[[#This Row],[MARCA]],MARCAS!C:C,MARCAS!A:A)</f>
        <v>F0014</v>
      </c>
      <c r="I316" s="38" t="s">
        <v>1055</v>
      </c>
      <c r="J316" s="37" t="s">
        <v>1056</v>
      </c>
      <c r="K316" s="2" t="s">
        <v>1057</v>
      </c>
    </row>
    <row r="317" spans="1:11" hidden="1" x14ac:dyDescent="0.25">
      <c r="A317" s="2" t="s">
        <v>34</v>
      </c>
      <c r="B317" s="2" t="str">
        <f>_xlfn.XLOOKUP(Tabla1[[#This Row],[SOCIEDAD]],centros!D:D,centros!E:E)</f>
        <v>VC00</v>
      </c>
      <c r="C317" s="2" t="s">
        <v>263</v>
      </c>
      <c r="D317" s="2" t="s">
        <v>19</v>
      </c>
      <c r="E317" s="2" t="str">
        <f>IFERROR(INDEX(centros!$H$2:$H$45,MATCH(TRIM(Tabla1[[#This Row],[SOCIEDAD]])&amp;"|"&amp;TRIM(Tabla1[[#This Row],[LOCALIDAD]]),centros!$G$2:$G$45,0)),"REVISAR")</f>
        <v>VC05</v>
      </c>
      <c r="F317" s="2" t="s">
        <v>48</v>
      </c>
      <c r="G317" s="2" t="str">
        <f>_xlfn.XLOOKUP(Tabla1[[#This Row],[MARCA]],MARCAS!E:E,MARCAS!F:F)</f>
        <v>090</v>
      </c>
      <c r="H317" s="2" t="str">
        <f>_xlfn.XLOOKUP(Tabla1[[#This Row],[MARCA]],MARCAS!C:C,MARCAS!A:A)</f>
        <v>F0014</v>
      </c>
      <c r="I317" s="38" t="s">
        <v>1058</v>
      </c>
      <c r="J317" s="37" t="s">
        <v>1059</v>
      </c>
      <c r="K317" s="2" t="s">
        <v>1060</v>
      </c>
    </row>
    <row r="318" spans="1:11" hidden="1" x14ac:dyDescent="0.25">
      <c r="A318" s="2" t="s">
        <v>34</v>
      </c>
      <c r="B318" s="2" t="str">
        <f>_xlfn.XLOOKUP(Tabla1[[#This Row],[SOCIEDAD]],centros!D:D,centros!E:E)</f>
        <v>VC00</v>
      </c>
      <c r="C318" s="2" t="s">
        <v>671</v>
      </c>
      <c r="D318" s="2" t="s">
        <v>19</v>
      </c>
      <c r="E318" s="2" t="str">
        <f>IFERROR(INDEX(centros!$H$2:$H$45,MATCH(TRIM(Tabla1[[#This Row],[SOCIEDAD]])&amp;"|"&amp;TRIM(Tabla1[[#This Row],[LOCALIDAD]]),centros!$G$2:$G$45,0)),"REVISAR")</f>
        <v>VC05</v>
      </c>
      <c r="F318" s="2" t="s">
        <v>48</v>
      </c>
      <c r="G318" s="2" t="str">
        <f>_xlfn.XLOOKUP(Tabla1[[#This Row],[MARCA]],MARCAS!E:E,MARCAS!F:F)</f>
        <v>090</v>
      </c>
      <c r="H318" s="2" t="str">
        <f>_xlfn.XLOOKUP(Tabla1[[#This Row],[MARCA]],MARCAS!C:C,MARCAS!A:A)</f>
        <v>F0014</v>
      </c>
      <c r="I318" s="38" t="s">
        <v>1061</v>
      </c>
      <c r="J318" s="37" t="s">
        <v>1062</v>
      </c>
      <c r="K318" s="2" t="s">
        <v>1063</v>
      </c>
    </row>
    <row r="319" spans="1:11" hidden="1" x14ac:dyDescent="0.25">
      <c r="A319" s="2" t="s">
        <v>34</v>
      </c>
      <c r="B319" s="2" t="str">
        <f>_xlfn.XLOOKUP(Tabla1[[#This Row],[SOCIEDAD]],centros!D:D,centros!E:E)</f>
        <v>VC00</v>
      </c>
      <c r="C319" s="2" t="s">
        <v>1027</v>
      </c>
      <c r="D319" s="2" t="s">
        <v>19</v>
      </c>
      <c r="E319" s="2" t="str">
        <f>IFERROR(INDEX(centros!$H$2:$H$45,MATCH(TRIM(Tabla1[[#This Row],[SOCIEDAD]])&amp;"|"&amp;TRIM(Tabla1[[#This Row],[LOCALIDAD]]),centros!$G$2:$G$45,0)),"REVISAR")</f>
        <v>VC05</v>
      </c>
      <c r="F319" s="2" t="s">
        <v>48</v>
      </c>
      <c r="G319" s="2" t="str">
        <f>_xlfn.XLOOKUP(Tabla1[[#This Row],[MARCA]],MARCAS!E:E,MARCAS!F:F)</f>
        <v>090</v>
      </c>
      <c r="H319" s="2" t="str">
        <f>_xlfn.XLOOKUP(Tabla1[[#This Row],[MARCA]],MARCAS!C:C,MARCAS!A:A)</f>
        <v>F0014</v>
      </c>
      <c r="I319" s="38" t="s">
        <v>1064</v>
      </c>
      <c r="J319" s="37" t="s">
        <v>1065</v>
      </c>
      <c r="K319" s="2" t="s">
        <v>1066</v>
      </c>
    </row>
    <row r="320" spans="1:11" hidden="1" x14ac:dyDescent="0.25">
      <c r="A320" s="2" t="s">
        <v>34</v>
      </c>
      <c r="B320" s="2" t="str">
        <f>_xlfn.XLOOKUP(Tabla1[[#This Row],[SOCIEDAD]],centros!D:D,centros!E:E)</f>
        <v>VC00</v>
      </c>
      <c r="C320" s="2" t="s">
        <v>300</v>
      </c>
      <c r="D320" s="2" t="s">
        <v>19</v>
      </c>
      <c r="E320" s="2" t="str">
        <f>IFERROR(INDEX(centros!$H$2:$H$45,MATCH(TRIM(Tabla1[[#This Row],[SOCIEDAD]])&amp;"|"&amp;TRIM(Tabla1[[#This Row],[LOCALIDAD]]),centros!$G$2:$G$45,0)),"REVISAR")</f>
        <v>VC05</v>
      </c>
      <c r="F320" s="2" t="s">
        <v>48</v>
      </c>
      <c r="G320" s="2" t="str">
        <f>_xlfn.XLOOKUP(Tabla1[[#This Row],[MARCA]],MARCAS!E:E,MARCAS!F:F)</f>
        <v>090</v>
      </c>
      <c r="H320" s="2" t="str">
        <f>_xlfn.XLOOKUP(Tabla1[[#This Row],[MARCA]],MARCAS!C:C,MARCAS!A:A)</f>
        <v>F0014</v>
      </c>
      <c r="I320" s="38" t="s">
        <v>1067</v>
      </c>
      <c r="J320" s="37" t="s">
        <v>1068</v>
      </c>
      <c r="K320" s="2" t="s">
        <v>1069</v>
      </c>
    </row>
    <row r="321" spans="1:11" hidden="1" x14ac:dyDescent="0.25">
      <c r="A321" s="2" t="s">
        <v>34</v>
      </c>
      <c r="B321" s="2" t="str">
        <f>_xlfn.XLOOKUP(Tabla1[[#This Row],[SOCIEDAD]],centros!D:D,centros!E:E)</f>
        <v>VC00</v>
      </c>
      <c r="C321" s="2" t="s">
        <v>263</v>
      </c>
      <c r="D321" s="2" t="s">
        <v>13</v>
      </c>
      <c r="E321" s="2" t="str">
        <f>IFERROR(INDEX(centros!$H$2:$H$45,MATCH(TRIM(Tabla1[[#This Row],[SOCIEDAD]])&amp;"|"&amp;TRIM(Tabla1[[#This Row],[LOCALIDAD]]),centros!$G$2:$G$45,0)),"REVISAR")</f>
        <v>VC01</v>
      </c>
      <c r="F321" s="2" t="s">
        <v>48</v>
      </c>
      <c r="G321" s="2" t="str">
        <f>_xlfn.XLOOKUP(Tabla1[[#This Row],[MARCA]],MARCAS!E:E,MARCAS!F:F)</f>
        <v>090</v>
      </c>
      <c r="H321" s="2" t="str">
        <f>_xlfn.XLOOKUP(Tabla1[[#This Row],[MARCA]],MARCAS!C:C,MARCAS!A:A)</f>
        <v>F0014</v>
      </c>
      <c r="I321" s="38" t="s">
        <v>1070</v>
      </c>
      <c r="J321" s="37" t="s">
        <v>1071</v>
      </c>
      <c r="K321" s="2" t="s">
        <v>1072</v>
      </c>
    </row>
    <row r="322" spans="1:11" hidden="1" x14ac:dyDescent="0.25">
      <c r="A322" s="2" t="s">
        <v>34</v>
      </c>
      <c r="B322" s="2" t="str">
        <f>_xlfn.XLOOKUP(Tabla1[[#This Row],[SOCIEDAD]],centros!D:D,centros!E:E)</f>
        <v>VC00</v>
      </c>
      <c r="C322" s="2" t="s">
        <v>671</v>
      </c>
      <c r="D322" s="2" t="s">
        <v>13</v>
      </c>
      <c r="E322" s="2" t="str">
        <f>IFERROR(INDEX(centros!$H$2:$H$45,MATCH(TRIM(Tabla1[[#This Row],[SOCIEDAD]])&amp;"|"&amp;TRIM(Tabla1[[#This Row],[LOCALIDAD]]),centros!$G$2:$G$45,0)),"REVISAR")</f>
        <v>VC01</v>
      </c>
      <c r="F322" s="2" t="s">
        <v>48</v>
      </c>
      <c r="G322" s="2" t="str">
        <f>_xlfn.XLOOKUP(Tabla1[[#This Row],[MARCA]],MARCAS!E:E,MARCAS!F:F)</f>
        <v>090</v>
      </c>
      <c r="H322" s="2" t="str">
        <f>_xlfn.XLOOKUP(Tabla1[[#This Row],[MARCA]],MARCAS!C:C,MARCAS!A:A)</f>
        <v>F0014</v>
      </c>
      <c r="I322" s="38" t="s">
        <v>1073</v>
      </c>
      <c r="J322" s="37" t="s">
        <v>1074</v>
      </c>
      <c r="K322" s="2" t="s">
        <v>1075</v>
      </c>
    </row>
    <row r="323" spans="1:11" hidden="1" x14ac:dyDescent="0.25">
      <c r="A323" s="2" t="s">
        <v>34</v>
      </c>
      <c r="B323" s="2" t="str">
        <f>_xlfn.XLOOKUP(Tabla1[[#This Row],[SOCIEDAD]],centros!D:D,centros!E:E)</f>
        <v>VC00</v>
      </c>
      <c r="C323" s="2" t="s">
        <v>1027</v>
      </c>
      <c r="D323" s="2" t="s">
        <v>13</v>
      </c>
      <c r="E323" s="2" t="str">
        <f>IFERROR(INDEX(centros!$H$2:$H$45,MATCH(TRIM(Tabla1[[#This Row],[SOCIEDAD]])&amp;"|"&amp;TRIM(Tabla1[[#This Row],[LOCALIDAD]]),centros!$G$2:$G$45,0)),"REVISAR")</f>
        <v>VC01</v>
      </c>
      <c r="F323" s="2" t="s">
        <v>48</v>
      </c>
      <c r="G323" s="2" t="str">
        <f>_xlfn.XLOOKUP(Tabla1[[#This Row],[MARCA]],MARCAS!E:E,MARCAS!F:F)</f>
        <v>090</v>
      </c>
      <c r="H323" s="2" t="str">
        <f>_xlfn.XLOOKUP(Tabla1[[#This Row],[MARCA]],MARCAS!C:C,MARCAS!A:A)</f>
        <v>F0014</v>
      </c>
      <c r="I323" s="38" t="s">
        <v>1076</v>
      </c>
      <c r="J323" s="37" t="s">
        <v>1077</v>
      </c>
      <c r="K323" s="2" t="s">
        <v>1078</v>
      </c>
    </row>
    <row r="324" spans="1:11" hidden="1" x14ac:dyDescent="0.25">
      <c r="A324" s="2" t="s">
        <v>34</v>
      </c>
      <c r="B324" s="2" t="str">
        <f>_xlfn.XLOOKUP(Tabla1[[#This Row],[SOCIEDAD]],centros!D:D,centros!E:E)</f>
        <v>VC00</v>
      </c>
      <c r="C324" s="2" t="s">
        <v>300</v>
      </c>
      <c r="D324" s="2" t="s">
        <v>13</v>
      </c>
      <c r="E324" s="2" t="str">
        <f>IFERROR(INDEX(centros!$H$2:$H$45,MATCH(TRIM(Tabla1[[#This Row],[SOCIEDAD]])&amp;"|"&amp;TRIM(Tabla1[[#This Row],[LOCALIDAD]]),centros!$G$2:$G$45,0)),"REVISAR")</f>
        <v>VC01</v>
      </c>
      <c r="F324" s="2" t="s">
        <v>48</v>
      </c>
      <c r="G324" s="2" t="str">
        <f>_xlfn.XLOOKUP(Tabla1[[#This Row],[MARCA]],MARCAS!E:E,MARCAS!F:F)</f>
        <v>090</v>
      </c>
      <c r="H324" s="2" t="str">
        <f>_xlfn.XLOOKUP(Tabla1[[#This Row],[MARCA]],MARCAS!C:C,MARCAS!A:A)</f>
        <v>F0014</v>
      </c>
      <c r="I324" s="38" t="s">
        <v>1079</v>
      </c>
      <c r="J324" s="37" t="s">
        <v>1080</v>
      </c>
      <c r="K324" s="2" t="s">
        <v>1081</v>
      </c>
    </row>
    <row r="325" spans="1:11" hidden="1" x14ac:dyDescent="0.25">
      <c r="A325" s="2" t="s">
        <v>34</v>
      </c>
      <c r="B325" s="2" t="str">
        <f>_xlfn.XLOOKUP(Tabla1[[#This Row],[SOCIEDAD]],centros!D:D,centros!E:E)</f>
        <v>VC00</v>
      </c>
      <c r="C325" s="2" t="s">
        <v>263</v>
      </c>
      <c r="D325" s="2" t="s">
        <v>23</v>
      </c>
      <c r="E325" s="2" t="str">
        <f>IFERROR(INDEX(centros!$H$2:$H$45,MATCH(TRIM(Tabla1[[#This Row],[SOCIEDAD]])&amp;"|"&amp;TRIM(Tabla1[[#This Row],[LOCALIDAD]]),centros!$G$2:$G$45,0)),"REVISAR")</f>
        <v>VC06</v>
      </c>
      <c r="F325" s="2" t="s">
        <v>48</v>
      </c>
      <c r="G325" s="2" t="str">
        <f>_xlfn.XLOOKUP(Tabla1[[#This Row],[MARCA]],MARCAS!E:E,MARCAS!F:F)</f>
        <v>090</v>
      </c>
      <c r="H325" s="2" t="str">
        <f>_xlfn.XLOOKUP(Tabla1[[#This Row],[MARCA]],MARCAS!C:C,MARCAS!A:A)</f>
        <v>F0014</v>
      </c>
      <c r="I325" s="38" t="s">
        <v>1082</v>
      </c>
      <c r="J325" s="37" t="s">
        <v>1083</v>
      </c>
      <c r="K325" s="2" t="s">
        <v>1084</v>
      </c>
    </row>
    <row r="326" spans="1:11" hidden="1" x14ac:dyDescent="0.25">
      <c r="A326" s="2" t="s">
        <v>34</v>
      </c>
      <c r="B326" s="2" t="str">
        <f>_xlfn.XLOOKUP(Tabla1[[#This Row],[SOCIEDAD]],centros!D:D,centros!E:E)</f>
        <v>VC00</v>
      </c>
      <c r="C326" s="2" t="s">
        <v>671</v>
      </c>
      <c r="D326" s="2" t="s">
        <v>23</v>
      </c>
      <c r="E326" s="2" t="str">
        <f>IFERROR(INDEX(centros!$H$2:$H$45,MATCH(TRIM(Tabla1[[#This Row],[SOCIEDAD]])&amp;"|"&amp;TRIM(Tabla1[[#This Row],[LOCALIDAD]]),centros!$G$2:$G$45,0)),"REVISAR")</f>
        <v>VC06</v>
      </c>
      <c r="F326" s="2" t="s">
        <v>48</v>
      </c>
      <c r="G326" s="2" t="str">
        <f>_xlfn.XLOOKUP(Tabla1[[#This Row],[MARCA]],MARCAS!E:E,MARCAS!F:F)</f>
        <v>090</v>
      </c>
      <c r="H326" s="2" t="str">
        <f>_xlfn.XLOOKUP(Tabla1[[#This Row],[MARCA]],MARCAS!C:C,MARCAS!A:A)</f>
        <v>F0014</v>
      </c>
      <c r="I326" s="38" t="s">
        <v>1085</v>
      </c>
      <c r="J326" s="37" t="s">
        <v>1086</v>
      </c>
      <c r="K326" s="2" t="s">
        <v>1087</v>
      </c>
    </row>
    <row r="327" spans="1:11" hidden="1" x14ac:dyDescent="0.25">
      <c r="A327" s="2" t="s">
        <v>34</v>
      </c>
      <c r="B327" s="2" t="str">
        <f>_xlfn.XLOOKUP(Tabla1[[#This Row],[SOCIEDAD]],centros!D:D,centros!E:E)</f>
        <v>VC00</v>
      </c>
      <c r="C327" s="2" t="s">
        <v>1027</v>
      </c>
      <c r="D327" s="2" t="s">
        <v>23</v>
      </c>
      <c r="E327" s="2" t="str">
        <f>IFERROR(INDEX(centros!$H$2:$H$45,MATCH(TRIM(Tabla1[[#This Row],[SOCIEDAD]])&amp;"|"&amp;TRIM(Tabla1[[#This Row],[LOCALIDAD]]),centros!$G$2:$G$45,0)),"REVISAR")</f>
        <v>VC06</v>
      </c>
      <c r="F327" s="2" t="s">
        <v>48</v>
      </c>
      <c r="G327" s="2" t="str">
        <f>_xlfn.XLOOKUP(Tabla1[[#This Row],[MARCA]],MARCAS!E:E,MARCAS!F:F)</f>
        <v>090</v>
      </c>
      <c r="H327" s="2" t="str">
        <f>_xlfn.XLOOKUP(Tabla1[[#This Row],[MARCA]],MARCAS!C:C,MARCAS!A:A)</f>
        <v>F0014</v>
      </c>
      <c r="I327" s="38" t="s">
        <v>1088</v>
      </c>
      <c r="J327" s="37" t="s">
        <v>1089</v>
      </c>
      <c r="K327" s="2" t="s">
        <v>1090</v>
      </c>
    </row>
    <row r="328" spans="1:11" hidden="1" x14ac:dyDescent="0.25">
      <c r="A328" s="2" t="s">
        <v>34</v>
      </c>
      <c r="B328" s="2" t="str">
        <f>_xlfn.XLOOKUP(Tabla1[[#This Row],[SOCIEDAD]],centros!D:D,centros!E:E)</f>
        <v>VC00</v>
      </c>
      <c r="C328" s="2" t="s">
        <v>300</v>
      </c>
      <c r="D328" s="2" t="s">
        <v>23</v>
      </c>
      <c r="E328" s="2" t="str">
        <f>IFERROR(INDEX(centros!$H$2:$H$45,MATCH(TRIM(Tabla1[[#This Row],[SOCIEDAD]])&amp;"|"&amp;TRIM(Tabla1[[#This Row],[LOCALIDAD]]),centros!$G$2:$G$45,0)),"REVISAR")</f>
        <v>VC06</v>
      </c>
      <c r="F328" s="2" t="s">
        <v>48</v>
      </c>
      <c r="G328" s="2" t="str">
        <f>_xlfn.XLOOKUP(Tabla1[[#This Row],[MARCA]],MARCAS!E:E,MARCAS!F:F)</f>
        <v>090</v>
      </c>
      <c r="H328" s="2" t="str">
        <f>_xlfn.XLOOKUP(Tabla1[[#This Row],[MARCA]],MARCAS!C:C,MARCAS!A:A)</f>
        <v>F0014</v>
      </c>
      <c r="I328" s="38" t="s">
        <v>1091</v>
      </c>
      <c r="J328" s="37" t="s">
        <v>1092</v>
      </c>
      <c r="K328" s="2" t="s">
        <v>1093</v>
      </c>
    </row>
    <row r="329" spans="1:11" hidden="1" x14ac:dyDescent="0.25">
      <c r="A329" s="2" t="s">
        <v>34</v>
      </c>
      <c r="B329" s="2" t="str">
        <f>_xlfn.XLOOKUP(Tabla1[[#This Row],[SOCIEDAD]],centros!D:D,centros!E:E)</f>
        <v>VC00</v>
      </c>
      <c r="C329" s="2" t="s">
        <v>263</v>
      </c>
      <c r="D329" s="2" t="s">
        <v>32</v>
      </c>
      <c r="E329" s="2" t="str">
        <f>IFERROR(INDEX(centros!$H$2:$H$45,MATCH(TRIM(Tabla1[[#This Row],[SOCIEDAD]])&amp;"|"&amp;TRIM(Tabla1[[#This Row],[LOCALIDAD]]),centros!$G$2:$G$45,0)),"REVISAR")</f>
        <v>VC03</v>
      </c>
      <c r="F329" s="2" t="s">
        <v>48</v>
      </c>
      <c r="G329" s="2" t="str">
        <f>_xlfn.XLOOKUP(Tabla1[[#This Row],[MARCA]],MARCAS!E:E,MARCAS!F:F)</f>
        <v>090</v>
      </c>
      <c r="H329" s="2" t="str">
        <f>_xlfn.XLOOKUP(Tabla1[[#This Row],[MARCA]],MARCAS!C:C,MARCAS!A:A)</f>
        <v>F0014</v>
      </c>
      <c r="I329" s="38" t="s">
        <v>1094</v>
      </c>
      <c r="J329" s="37" t="s">
        <v>1095</v>
      </c>
      <c r="K329" s="2" t="s">
        <v>1096</v>
      </c>
    </row>
    <row r="330" spans="1:11" hidden="1" x14ac:dyDescent="0.25">
      <c r="A330" s="2" t="s">
        <v>34</v>
      </c>
      <c r="B330" s="2" t="str">
        <f>_xlfn.XLOOKUP(Tabla1[[#This Row],[SOCIEDAD]],centros!D:D,centros!E:E)</f>
        <v>VC00</v>
      </c>
      <c r="C330" s="2" t="s">
        <v>671</v>
      </c>
      <c r="D330" s="2" t="s">
        <v>32</v>
      </c>
      <c r="E330" s="2" t="str">
        <f>IFERROR(INDEX(centros!$H$2:$H$45,MATCH(TRIM(Tabla1[[#This Row],[SOCIEDAD]])&amp;"|"&amp;TRIM(Tabla1[[#This Row],[LOCALIDAD]]),centros!$G$2:$G$45,0)),"REVISAR")</f>
        <v>VC03</v>
      </c>
      <c r="F330" s="2" t="s">
        <v>48</v>
      </c>
      <c r="G330" s="2" t="str">
        <f>_xlfn.XLOOKUP(Tabla1[[#This Row],[MARCA]],MARCAS!E:E,MARCAS!F:F)</f>
        <v>090</v>
      </c>
      <c r="H330" s="2" t="str">
        <f>_xlfn.XLOOKUP(Tabla1[[#This Row],[MARCA]],MARCAS!C:C,MARCAS!A:A)</f>
        <v>F0014</v>
      </c>
      <c r="I330" s="38" t="s">
        <v>1097</v>
      </c>
      <c r="J330" s="37" t="s">
        <v>1098</v>
      </c>
      <c r="K330" s="2" t="s">
        <v>1099</v>
      </c>
    </row>
    <row r="331" spans="1:11" hidden="1" x14ac:dyDescent="0.25">
      <c r="A331" s="2" t="s">
        <v>34</v>
      </c>
      <c r="B331" s="2" t="str">
        <f>_xlfn.XLOOKUP(Tabla1[[#This Row],[SOCIEDAD]],centros!D:D,centros!E:E)</f>
        <v>VC00</v>
      </c>
      <c r="C331" s="2" t="s">
        <v>1027</v>
      </c>
      <c r="D331" s="2" t="s">
        <v>32</v>
      </c>
      <c r="E331" s="2" t="str">
        <f>IFERROR(INDEX(centros!$H$2:$H$45,MATCH(TRIM(Tabla1[[#This Row],[SOCIEDAD]])&amp;"|"&amp;TRIM(Tabla1[[#This Row],[LOCALIDAD]]),centros!$G$2:$G$45,0)),"REVISAR")</f>
        <v>VC03</v>
      </c>
      <c r="F331" s="2" t="s">
        <v>48</v>
      </c>
      <c r="G331" s="2" t="str">
        <f>_xlfn.XLOOKUP(Tabla1[[#This Row],[MARCA]],MARCAS!E:E,MARCAS!F:F)</f>
        <v>090</v>
      </c>
      <c r="H331" s="2" t="str">
        <f>_xlfn.XLOOKUP(Tabla1[[#This Row],[MARCA]],MARCAS!C:C,MARCAS!A:A)</f>
        <v>F0014</v>
      </c>
      <c r="I331" s="38" t="s">
        <v>1100</v>
      </c>
      <c r="J331" s="37" t="s">
        <v>1101</v>
      </c>
      <c r="K331" s="2" t="s">
        <v>1102</v>
      </c>
    </row>
    <row r="332" spans="1:11" hidden="1" x14ac:dyDescent="0.25">
      <c r="A332" s="2" t="s">
        <v>34</v>
      </c>
      <c r="B332" s="2" t="str">
        <f>_xlfn.XLOOKUP(Tabla1[[#This Row],[SOCIEDAD]],centros!D:D,centros!E:E)</f>
        <v>VC00</v>
      </c>
      <c r="C332" s="2" t="s">
        <v>300</v>
      </c>
      <c r="D332" s="2" t="s">
        <v>32</v>
      </c>
      <c r="E332" s="2" t="str">
        <f>IFERROR(INDEX(centros!$H$2:$H$45,MATCH(TRIM(Tabla1[[#This Row],[SOCIEDAD]])&amp;"|"&amp;TRIM(Tabla1[[#This Row],[LOCALIDAD]]),centros!$G$2:$G$45,0)),"REVISAR")</f>
        <v>VC03</v>
      </c>
      <c r="F332" s="2" t="s">
        <v>48</v>
      </c>
      <c r="G332" s="2" t="str">
        <f>_xlfn.XLOOKUP(Tabla1[[#This Row],[MARCA]],MARCAS!E:E,MARCAS!F:F)</f>
        <v>090</v>
      </c>
      <c r="H332" s="2" t="str">
        <f>_xlfn.XLOOKUP(Tabla1[[#This Row],[MARCA]],MARCAS!C:C,MARCAS!A:A)</f>
        <v>F0014</v>
      </c>
      <c r="I332" s="38" t="s">
        <v>1103</v>
      </c>
      <c r="J332" s="37" t="s">
        <v>1104</v>
      </c>
      <c r="K332" s="2" t="s">
        <v>1105</v>
      </c>
    </row>
    <row r="333" spans="1:11" hidden="1" x14ac:dyDescent="0.25">
      <c r="A333" s="2" t="s">
        <v>34</v>
      </c>
      <c r="B333" s="2" t="str">
        <f>_xlfn.XLOOKUP(Tabla1[[#This Row],[SOCIEDAD]],centros!D:D,centros!E:E)</f>
        <v>VC00</v>
      </c>
      <c r="C333" s="2" t="s">
        <v>263</v>
      </c>
      <c r="D333" s="2" t="s">
        <v>33</v>
      </c>
      <c r="E333" s="2" t="str">
        <f>IFERROR(INDEX(centros!$H$2:$H$45,MATCH(TRIM(Tabla1[[#This Row],[SOCIEDAD]])&amp;"|"&amp;TRIM(Tabla1[[#This Row],[LOCALIDAD]]),centros!$G$2:$G$45,0)),"REVISAR")</f>
        <v>VC07</v>
      </c>
      <c r="F333" s="2" t="s">
        <v>48</v>
      </c>
      <c r="G333" s="2" t="str">
        <f>_xlfn.XLOOKUP(Tabla1[[#This Row],[MARCA]],MARCAS!E:E,MARCAS!F:F)</f>
        <v>090</v>
      </c>
      <c r="H333" s="2" t="str">
        <f>_xlfn.XLOOKUP(Tabla1[[#This Row],[MARCA]],MARCAS!C:C,MARCAS!A:A)</f>
        <v>F0014</v>
      </c>
      <c r="I333" s="38" t="s">
        <v>1106</v>
      </c>
      <c r="J333" s="37" t="s">
        <v>1107</v>
      </c>
      <c r="K333" s="2" t="s">
        <v>1108</v>
      </c>
    </row>
    <row r="334" spans="1:11" hidden="1" x14ac:dyDescent="0.25">
      <c r="A334" s="2" t="s">
        <v>34</v>
      </c>
      <c r="B334" s="2" t="str">
        <f>_xlfn.XLOOKUP(Tabla1[[#This Row],[SOCIEDAD]],centros!D:D,centros!E:E)</f>
        <v>VC00</v>
      </c>
      <c r="C334" s="2" t="s">
        <v>671</v>
      </c>
      <c r="D334" s="2" t="s">
        <v>33</v>
      </c>
      <c r="E334" s="2" t="str">
        <f>IFERROR(INDEX(centros!$H$2:$H$45,MATCH(TRIM(Tabla1[[#This Row],[SOCIEDAD]])&amp;"|"&amp;TRIM(Tabla1[[#This Row],[LOCALIDAD]]),centros!$G$2:$G$45,0)),"REVISAR")</f>
        <v>VC07</v>
      </c>
      <c r="F334" s="2" t="s">
        <v>48</v>
      </c>
      <c r="G334" s="2" t="str">
        <f>_xlfn.XLOOKUP(Tabla1[[#This Row],[MARCA]],MARCAS!E:E,MARCAS!F:F)</f>
        <v>090</v>
      </c>
      <c r="H334" s="2" t="str">
        <f>_xlfn.XLOOKUP(Tabla1[[#This Row],[MARCA]],MARCAS!C:C,MARCAS!A:A)</f>
        <v>F0014</v>
      </c>
      <c r="I334" s="38" t="s">
        <v>1109</v>
      </c>
      <c r="J334" s="37" t="s">
        <v>1110</v>
      </c>
      <c r="K334" s="2" t="s">
        <v>1111</v>
      </c>
    </row>
    <row r="335" spans="1:11" hidden="1" x14ac:dyDescent="0.25">
      <c r="A335" s="2" t="s">
        <v>34</v>
      </c>
      <c r="B335" s="2" t="str">
        <f>_xlfn.XLOOKUP(Tabla1[[#This Row],[SOCIEDAD]],centros!D:D,centros!E:E)</f>
        <v>VC00</v>
      </c>
      <c r="C335" s="2" t="s">
        <v>1027</v>
      </c>
      <c r="D335" s="2" t="s">
        <v>33</v>
      </c>
      <c r="E335" s="2" t="str">
        <f>IFERROR(INDEX(centros!$H$2:$H$45,MATCH(TRIM(Tabla1[[#This Row],[SOCIEDAD]])&amp;"|"&amp;TRIM(Tabla1[[#This Row],[LOCALIDAD]]),centros!$G$2:$G$45,0)),"REVISAR")</f>
        <v>VC07</v>
      </c>
      <c r="F335" s="2" t="s">
        <v>48</v>
      </c>
      <c r="G335" s="2" t="str">
        <f>_xlfn.XLOOKUP(Tabla1[[#This Row],[MARCA]],MARCAS!E:E,MARCAS!F:F)</f>
        <v>090</v>
      </c>
      <c r="H335" s="2" t="str">
        <f>_xlfn.XLOOKUP(Tabla1[[#This Row],[MARCA]],MARCAS!C:C,MARCAS!A:A)</f>
        <v>F0014</v>
      </c>
      <c r="I335" s="38" t="s">
        <v>1112</v>
      </c>
      <c r="J335" s="37" t="s">
        <v>1113</v>
      </c>
      <c r="K335" s="2" t="s">
        <v>1114</v>
      </c>
    </row>
    <row r="336" spans="1:11" hidden="1" x14ac:dyDescent="0.25">
      <c r="A336" s="2" t="s">
        <v>34</v>
      </c>
      <c r="B336" s="2" t="str">
        <f>_xlfn.XLOOKUP(Tabla1[[#This Row],[SOCIEDAD]],centros!D:D,centros!E:E)</f>
        <v>VC00</v>
      </c>
      <c r="C336" s="2" t="s">
        <v>300</v>
      </c>
      <c r="D336" s="2" t="s">
        <v>33</v>
      </c>
      <c r="E336" s="2" t="str">
        <f>IFERROR(INDEX(centros!$H$2:$H$45,MATCH(TRIM(Tabla1[[#This Row],[SOCIEDAD]])&amp;"|"&amp;TRIM(Tabla1[[#This Row],[LOCALIDAD]]),centros!$G$2:$G$45,0)),"REVISAR")</f>
        <v>VC07</v>
      </c>
      <c r="F336" s="2" t="s">
        <v>48</v>
      </c>
      <c r="G336" s="2" t="str">
        <f>_xlfn.XLOOKUP(Tabla1[[#This Row],[MARCA]],MARCAS!E:E,MARCAS!F:F)</f>
        <v>090</v>
      </c>
      <c r="H336" s="2" t="str">
        <f>_xlfn.XLOOKUP(Tabla1[[#This Row],[MARCA]],MARCAS!C:C,MARCAS!A:A)</f>
        <v>F0014</v>
      </c>
      <c r="I336" s="38" t="s">
        <v>1115</v>
      </c>
      <c r="J336" s="37" t="s">
        <v>1116</v>
      </c>
      <c r="K336" s="2" t="s">
        <v>1117</v>
      </c>
    </row>
    <row r="337" spans="1:11" hidden="1" x14ac:dyDescent="0.25">
      <c r="A337" s="2" t="s">
        <v>34</v>
      </c>
      <c r="B337" s="2" t="str">
        <f>_xlfn.XLOOKUP(Tabla1[[#This Row],[SOCIEDAD]],centros!D:D,centros!E:E)</f>
        <v>VC00</v>
      </c>
      <c r="C337" s="2" t="s">
        <v>263</v>
      </c>
      <c r="D337" s="2" t="s">
        <v>15</v>
      </c>
      <c r="E337" s="2" t="str">
        <f>IFERROR(INDEX(centros!$H$2:$H$45,MATCH(TRIM(Tabla1[[#This Row],[SOCIEDAD]])&amp;"|"&amp;TRIM(Tabla1[[#This Row],[LOCALIDAD]]),centros!$G$2:$G$45,0)),"REVISAR")</f>
        <v>VC02</v>
      </c>
      <c r="F337" s="2" t="s">
        <v>51</v>
      </c>
      <c r="G337" s="2" t="str">
        <f>_xlfn.XLOOKUP(Tabla1[[#This Row],[MARCA]],MARCAS!E:E,MARCAS!F:F)</f>
        <v>230</v>
      </c>
      <c r="H337" s="2" t="str">
        <f>_xlfn.XLOOKUP(Tabla1[[#This Row],[MARCA]],MARCAS!C:C,MARCAS!A:A)</f>
        <v>F0015</v>
      </c>
      <c r="I337" s="38" t="s">
        <v>1118</v>
      </c>
      <c r="J337" s="37" t="s">
        <v>1119</v>
      </c>
      <c r="K337" s="2" t="s">
        <v>1120</v>
      </c>
    </row>
    <row r="338" spans="1:11" hidden="1" x14ac:dyDescent="0.25">
      <c r="A338" s="2" t="s">
        <v>34</v>
      </c>
      <c r="B338" s="2" t="str">
        <f>_xlfn.XLOOKUP(Tabla1[[#This Row],[SOCIEDAD]],centros!D:D,centros!E:E)</f>
        <v>VC00</v>
      </c>
      <c r="C338" s="2" t="s">
        <v>671</v>
      </c>
      <c r="D338" s="2" t="s">
        <v>15</v>
      </c>
      <c r="E338" s="2" t="str">
        <f>IFERROR(INDEX(centros!$H$2:$H$45,MATCH(TRIM(Tabla1[[#This Row],[SOCIEDAD]])&amp;"|"&amp;TRIM(Tabla1[[#This Row],[LOCALIDAD]]),centros!$G$2:$G$45,0)),"REVISAR")</f>
        <v>VC02</v>
      </c>
      <c r="F338" s="2" t="s">
        <v>51</v>
      </c>
      <c r="G338" s="2" t="str">
        <f>_xlfn.XLOOKUP(Tabla1[[#This Row],[MARCA]],MARCAS!E:E,MARCAS!F:F)</f>
        <v>230</v>
      </c>
      <c r="H338" s="2" t="str">
        <f>_xlfn.XLOOKUP(Tabla1[[#This Row],[MARCA]],MARCAS!C:C,MARCAS!A:A)</f>
        <v>F0015</v>
      </c>
      <c r="I338" s="38" t="s">
        <v>1121</v>
      </c>
      <c r="J338" s="37" t="s">
        <v>1122</v>
      </c>
      <c r="K338" s="2" t="s">
        <v>1123</v>
      </c>
    </row>
    <row r="339" spans="1:11" hidden="1" x14ac:dyDescent="0.25">
      <c r="A339" s="2" t="s">
        <v>34</v>
      </c>
      <c r="B339" s="2" t="str">
        <f>_xlfn.XLOOKUP(Tabla1[[#This Row],[SOCIEDAD]],centros!D:D,centros!E:E)</f>
        <v>VC00</v>
      </c>
      <c r="C339" s="2" t="s">
        <v>930</v>
      </c>
      <c r="D339" s="2" t="s">
        <v>15</v>
      </c>
      <c r="E339" s="2" t="str">
        <f>IFERROR(INDEX(centros!$H$2:$H$45,MATCH(TRIM(Tabla1[[#This Row],[SOCIEDAD]])&amp;"|"&amp;TRIM(Tabla1[[#This Row],[LOCALIDAD]]),centros!$G$2:$G$45,0)),"REVISAR")</f>
        <v>VC02</v>
      </c>
      <c r="F339" s="2" t="s">
        <v>51</v>
      </c>
      <c r="G339" s="2" t="str">
        <f>_xlfn.XLOOKUP(Tabla1[[#This Row],[MARCA]],MARCAS!E:E,MARCAS!F:F)</f>
        <v>230</v>
      </c>
      <c r="H339" s="2" t="str">
        <f>_xlfn.XLOOKUP(Tabla1[[#This Row],[MARCA]],MARCAS!C:C,MARCAS!A:A)</f>
        <v>F0015</v>
      </c>
      <c r="I339" s="38" t="s">
        <v>1124</v>
      </c>
      <c r="J339" s="37" t="s">
        <v>1125</v>
      </c>
      <c r="K339" s="2" t="s">
        <v>1126</v>
      </c>
    </row>
    <row r="340" spans="1:11" hidden="1" x14ac:dyDescent="0.25">
      <c r="A340" s="2" t="s">
        <v>34</v>
      </c>
      <c r="B340" s="2" t="str">
        <f>_xlfn.XLOOKUP(Tabla1[[#This Row],[SOCIEDAD]],centros!D:D,centros!E:E)</f>
        <v>VC00</v>
      </c>
      <c r="C340" s="2" t="s">
        <v>300</v>
      </c>
      <c r="D340" s="2" t="s">
        <v>15</v>
      </c>
      <c r="E340" s="2" t="str">
        <f>IFERROR(INDEX(centros!$H$2:$H$45,MATCH(TRIM(Tabla1[[#This Row],[SOCIEDAD]])&amp;"|"&amp;TRIM(Tabla1[[#This Row],[LOCALIDAD]]),centros!$G$2:$G$45,0)),"REVISAR")</f>
        <v>VC02</v>
      </c>
      <c r="F340" s="2" t="s">
        <v>51</v>
      </c>
      <c r="G340" s="2" t="str">
        <f>_xlfn.XLOOKUP(Tabla1[[#This Row],[MARCA]],MARCAS!E:E,MARCAS!F:F)</f>
        <v>230</v>
      </c>
      <c r="H340" s="2" t="str">
        <f>_xlfn.XLOOKUP(Tabla1[[#This Row],[MARCA]],MARCAS!C:C,MARCAS!A:A)</f>
        <v>F0015</v>
      </c>
      <c r="I340" s="38" t="s">
        <v>1127</v>
      </c>
      <c r="J340" s="37" t="s">
        <v>1128</v>
      </c>
      <c r="K340" s="2" t="s">
        <v>1129</v>
      </c>
    </row>
    <row r="341" spans="1:11" hidden="1" x14ac:dyDescent="0.25">
      <c r="A341" s="2" t="s">
        <v>34</v>
      </c>
      <c r="B341" s="2" t="str">
        <f>_xlfn.XLOOKUP(Tabla1[[#This Row],[SOCIEDAD]],centros!D:D,centros!E:E)</f>
        <v>VC00</v>
      </c>
      <c r="C341" s="2" t="s">
        <v>263</v>
      </c>
      <c r="D341" s="2" t="s">
        <v>11</v>
      </c>
      <c r="E341" s="2" t="str">
        <f>IFERROR(INDEX(centros!$H$2:$H$45,MATCH(TRIM(Tabla1[[#This Row],[SOCIEDAD]])&amp;"|"&amp;TRIM(Tabla1[[#This Row],[LOCALIDAD]]),centros!$G$2:$G$45,0)),"REVISAR")</f>
        <v>VC00</v>
      </c>
      <c r="F341" s="2" t="s">
        <v>51</v>
      </c>
      <c r="G341" s="2" t="str">
        <f>_xlfn.XLOOKUP(Tabla1[[#This Row],[MARCA]],MARCAS!E:E,MARCAS!F:F)</f>
        <v>230</v>
      </c>
      <c r="H341" s="2" t="str">
        <f>_xlfn.XLOOKUP(Tabla1[[#This Row],[MARCA]],MARCAS!C:C,MARCAS!A:A)</f>
        <v>F0015</v>
      </c>
      <c r="I341" s="38" t="s">
        <v>1130</v>
      </c>
      <c r="J341" s="37" t="s">
        <v>1131</v>
      </c>
      <c r="K341" s="2" t="s">
        <v>1132</v>
      </c>
    </row>
    <row r="342" spans="1:11" hidden="1" x14ac:dyDescent="0.25">
      <c r="A342" s="2" t="s">
        <v>34</v>
      </c>
      <c r="B342" s="2" t="str">
        <f>_xlfn.XLOOKUP(Tabla1[[#This Row],[SOCIEDAD]],centros!D:D,centros!E:E)</f>
        <v>VC00</v>
      </c>
      <c r="C342" s="2" t="s">
        <v>671</v>
      </c>
      <c r="D342" s="2" t="s">
        <v>11</v>
      </c>
      <c r="E342" s="2" t="str">
        <f>IFERROR(INDEX(centros!$H$2:$H$45,MATCH(TRIM(Tabla1[[#This Row],[SOCIEDAD]])&amp;"|"&amp;TRIM(Tabla1[[#This Row],[LOCALIDAD]]),centros!$G$2:$G$45,0)),"REVISAR")</f>
        <v>VC00</v>
      </c>
      <c r="F342" s="2" t="s">
        <v>51</v>
      </c>
      <c r="G342" s="2" t="str">
        <f>_xlfn.XLOOKUP(Tabla1[[#This Row],[MARCA]],MARCAS!E:E,MARCAS!F:F)</f>
        <v>230</v>
      </c>
      <c r="H342" s="2" t="str">
        <f>_xlfn.XLOOKUP(Tabla1[[#This Row],[MARCA]],MARCAS!C:C,MARCAS!A:A)</f>
        <v>F0015</v>
      </c>
      <c r="I342" s="38" t="s">
        <v>1133</v>
      </c>
      <c r="J342" s="37" t="s">
        <v>1134</v>
      </c>
      <c r="K342" s="2" t="s">
        <v>1135</v>
      </c>
    </row>
    <row r="343" spans="1:11" hidden="1" x14ac:dyDescent="0.25">
      <c r="A343" s="2" t="s">
        <v>34</v>
      </c>
      <c r="B343" s="2" t="str">
        <f>_xlfn.XLOOKUP(Tabla1[[#This Row],[SOCIEDAD]],centros!D:D,centros!E:E)</f>
        <v>VC00</v>
      </c>
      <c r="C343" s="2" t="s">
        <v>930</v>
      </c>
      <c r="D343" s="2" t="s">
        <v>11</v>
      </c>
      <c r="E343" s="2" t="str">
        <f>IFERROR(INDEX(centros!$H$2:$H$45,MATCH(TRIM(Tabla1[[#This Row],[SOCIEDAD]])&amp;"|"&amp;TRIM(Tabla1[[#This Row],[LOCALIDAD]]),centros!$G$2:$G$45,0)),"REVISAR")</f>
        <v>VC00</v>
      </c>
      <c r="F343" s="2" t="s">
        <v>51</v>
      </c>
      <c r="G343" s="2" t="str">
        <f>_xlfn.XLOOKUP(Tabla1[[#This Row],[MARCA]],MARCAS!E:E,MARCAS!F:F)</f>
        <v>230</v>
      </c>
      <c r="H343" s="2" t="str">
        <f>_xlfn.XLOOKUP(Tabla1[[#This Row],[MARCA]],MARCAS!C:C,MARCAS!A:A)</f>
        <v>F0015</v>
      </c>
      <c r="I343" s="38" t="s">
        <v>1136</v>
      </c>
      <c r="J343" s="37" t="s">
        <v>1137</v>
      </c>
      <c r="K343" s="2" t="s">
        <v>1138</v>
      </c>
    </row>
    <row r="344" spans="1:11" hidden="1" x14ac:dyDescent="0.25">
      <c r="A344" s="2" t="s">
        <v>34</v>
      </c>
      <c r="B344" s="2" t="str">
        <f>_xlfn.XLOOKUP(Tabla1[[#This Row],[SOCIEDAD]],centros!D:D,centros!E:E)</f>
        <v>VC00</v>
      </c>
      <c r="C344" s="2" t="s">
        <v>300</v>
      </c>
      <c r="D344" s="2" t="s">
        <v>11</v>
      </c>
      <c r="E344" s="2" t="str">
        <f>IFERROR(INDEX(centros!$H$2:$H$45,MATCH(TRIM(Tabla1[[#This Row],[SOCIEDAD]])&amp;"|"&amp;TRIM(Tabla1[[#This Row],[LOCALIDAD]]),centros!$G$2:$G$45,0)),"REVISAR")</f>
        <v>VC00</v>
      </c>
      <c r="F344" s="2" t="s">
        <v>51</v>
      </c>
      <c r="G344" s="2" t="str">
        <f>_xlfn.XLOOKUP(Tabla1[[#This Row],[MARCA]],MARCAS!E:E,MARCAS!F:F)</f>
        <v>230</v>
      </c>
      <c r="H344" s="2" t="str">
        <f>_xlfn.XLOOKUP(Tabla1[[#This Row],[MARCA]],MARCAS!C:C,MARCAS!A:A)</f>
        <v>F0015</v>
      </c>
      <c r="I344" s="38" t="s">
        <v>1139</v>
      </c>
      <c r="J344" s="37" t="s">
        <v>1140</v>
      </c>
      <c r="K344" s="2" t="s">
        <v>1141</v>
      </c>
    </row>
    <row r="345" spans="1:11" hidden="1" x14ac:dyDescent="0.25">
      <c r="A345" s="2" t="s">
        <v>34</v>
      </c>
      <c r="B345" s="2" t="str">
        <f>_xlfn.XLOOKUP(Tabla1[[#This Row],[SOCIEDAD]],centros!D:D,centros!E:E)</f>
        <v>VC00</v>
      </c>
      <c r="C345" s="2" t="s">
        <v>263</v>
      </c>
      <c r="D345" s="2" t="s">
        <v>17</v>
      </c>
      <c r="E345" s="2" t="str">
        <f>IFERROR(INDEX(centros!$H$2:$H$45,MATCH(TRIM(Tabla1[[#This Row],[SOCIEDAD]])&amp;"|"&amp;TRIM(Tabla1[[#This Row],[LOCALIDAD]]),centros!$G$2:$G$45,0)),"REVISAR")</f>
        <v>VC04</v>
      </c>
      <c r="F345" s="2" t="s">
        <v>51</v>
      </c>
      <c r="G345" s="2" t="str">
        <f>_xlfn.XLOOKUP(Tabla1[[#This Row],[MARCA]],MARCAS!E:E,MARCAS!F:F)</f>
        <v>230</v>
      </c>
      <c r="H345" s="2" t="str">
        <f>_xlfn.XLOOKUP(Tabla1[[#This Row],[MARCA]],MARCAS!C:C,MARCAS!A:A)</f>
        <v>F0015</v>
      </c>
      <c r="I345" s="38" t="s">
        <v>1142</v>
      </c>
      <c r="J345" s="37" t="s">
        <v>1143</v>
      </c>
      <c r="K345" s="2" t="s">
        <v>1144</v>
      </c>
    </row>
    <row r="346" spans="1:11" hidden="1" x14ac:dyDescent="0.25">
      <c r="A346" s="2" t="s">
        <v>34</v>
      </c>
      <c r="B346" s="2" t="str">
        <f>_xlfn.XLOOKUP(Tabla1[[#This Row],[SOCIEDAD]],centros!D:D,centros!E:E)</f>
        <v>VC00</v>
      </c>
      <c r="C346" s="2" t="s">
        <v>671</v>
      </c>
      <c r="D346" s="2" t="s">
        <v>17</v>
      </c>
      <c r="E346" s="2" t="str">
        <f>IFERROR(INDEX(centros!$H$2:$H$45,MATCH(TRIM(Tabla1[[#This Row],[SOCIEDAD]])&amp;"|"&amp;TRIM(Tabla1[[#This Row],[LOCALIDAD]]),centros!$G$2:$G$45,0)),"REVISAR")</f>
        <v>VC04</v>
      </c>
      <c r="F346" s="2" t="s">
        <v>51</v>
      </c>
      <c r="G346" s="2" t="str">
        <f>_xlfn.XLOOKUP(Tabla1[[#This Row],[MARCA]],MARCAS!E:E,MARCAS!F:F)</f>
        <v>230</v>
      </c>
      <c r="H346" s="2" t="str">
        <f>_xlfn.XLOOKUP(Tabla1[[#This Row],[MARCA]],MARCAS!C:C,MARCAS!A:A)</f>
        <v>F0015</v>
      </c>
      <c r="I346" s="38" t="s">
        <v>1145</v>
      </c>
      <c r="J346" s="37" t="s">
        <v>1146</v>
      </c>
      <c r="K346" s="2" t="s">
        <v>1147</v>
      </c>
    </row>
    <row r="347" spans="1:11" hidden="1" x14ac:dyDescent="0.25">
      <c r="A347" s="2" t="s">
        <v>34</v>
      </c>
      <c r="B347" s="2" t="str">
        <f>_xlfn.XLOOKUP(Tabla1[[#This Row],[SOCIEDAD]],centros!D:D,centros!E:E)</f>
        <v>VC00</v>
      </c>
      <c r="C347" s="2" t="s">
        <v>930</v>
      </c>
      <c r="D347" s="2" t="s">
        <v>17</v>
      </c>
      <c r="E347" s="2" t="str">
        <f>IFERROR(INDEX(centros!$H$2:$H$45,MATCH(TRIM(Tabla1[[#This Row],[SOCIEDAD]])&amp;"|"&amp;TRIM(Tabla1[[#This Row],[LOCALIDAD]]),centros!$G$2:$G$45,0)),"REVISAR")</f>
        <v>VC04</v>
      </c>
      <c r="F347" s="2" t="s">
        <v>51</v>
      </c>
      <c r="G347" s="2" t="str">
        <f>_xlfn.XLOOKUP(Tabla1[[#This Row],[MARCA]],MARCAS!E:E,MARCAS!F:F)</f>
        <v>230</v>
      </c>
      <c r="H347" s="2" t="str">
        <f>_xlfn.XLOOKUP(Tabla1[[#This Row],[MARCA]],MARCAS!C:C,MARCAS!A:A)</f>
        <v>F0015</v>
      </c>
      <c r="I347" s="38" t="s">
        <v>1148</v>
      </c>
      <c r="J347" s="37" t="s">
        <v>1149</v>
      </c>
      <c r="K347" s="2" t="s">
        <v>1150</v>
      </c>
    </row>
    <row r="348" spans="1:11" hidden="1" x14ac:dyDescent="0.25">
      <c r="A348" s="2" t="s">
        <v>34</v>
      </c>
      <c r="B348" s="2" t="str">
        <f>_xlfn.XLOOKUP(Tabla1[[#This Row],[SOCIEDAD]],centros!D:D,centros!E:E)</f>
        <v>VC00</v>
      </c>
      <c r="C348" s="2" t="s">
        <v>300</v>
      </c>
      <c r="D348" s="2" t="s">
        <v>17</v>
      </c>
      <c r="E348" s="2" t="str">
        <f>IFERROR(INDEX(centros!$H$2:$H$45,MATCH(TRIM(Tabla1[[#This Row],[SOCIEDAD]])&amp;"|"&amp;TRIM(Tabla1[[#This Row],[LOCALIDAD]]),centros!$G$2:$G$45,0)),"REVISAR")</f>
        <v>VC04</v>
      </c>
      <c r="F348" s="2" t="s">
        <v>51</v>
      </c>
      <c r="G348" s="2" t="str">
        <f>_xlfn.XLOOKUP(Tabla1[[#This Row],[MARCA]],MARCAS!E:E,MARCAS!F:F)</f>
        <v>230</v>
      </c>
      <c r="H348" s="2" t="str">
        <f>_xlfn.XLOOKUP(Tabla1[[#This Row],[MARCA]],MARCAS!C:C,MARCAS!A:A)</f>
        <v>F0015</v>
      </c>
      <c r="I348" s="38" t="s">
        <v>1151</v>
      </c>
      <c r="J348" s="37" t="s">
        <v>1152</v>
      </c>
      <c r="K348" s="2" t="s">
        <v>1153</v>
      </c>
    </row>
    <row r="349" spans="1:11" hidden="1" x14ac:dyDescent="0.25">
      <c r="A349" s="2" t="s">
        <v>34</v>
      </c>
      <c r="B349" s="2" t="str">
        <f>_xlfn.XLOOKUP(Tabla1[[#This Row],[SOCIEDAD]],centros!D:D,centros!E:E)</f>
        <v>VC00</v>
      </c>
      <c r="C349" s="2" t="s">
        <v>263</v>
      </c>
      <c r="D349" s="2" t="s">
        <v>19</v>
      </c>
      <c r="E349" s="2" t="str">
        <f>IFERROR(INDEX(centros!$H$2:$H$45,MATCH(TRIM(Tabla1[[#This Row],[SOCIEDAD]])&amp;"|"&amp;TRIM(Tabla1[[#This Row],[LOCALIDAD]]),centros!$G$2:$G$45,0)),"REVISAR")</f>
        <v>VC05</v>
      </c>
      <c r="F349" s="2" t="s">
        <v>51</v>
      </c>
      <c r="G349" s="2" t="str">
        <f>_xlfn.XLOOKUP(Tabla1[[#This Row],[MARCA]],MARCAS!E:E,MARCAS!F:F)</f>
        <v>230</v>
      </c>
      <c r="H349" s="2" t="str">
        <f>_xlfn.XLOOKUP(Tabla1[[#This Row],[MARCA]],MARCAS!C:C,MARCAS!A:A)</f>
        <v>F0015</v>
      </c>
      <c r="I349" s="38" t="s">
        <v>1154</v>
      </c>
      <c r="J349" s="37" t="s">
        <v>1155</v>
      </c>
      <c r="K349" s="2" t="s">
        <v>1156</v>
      </c>
    </row>
    <row r="350" spans="1:11" hidden="1" x14ac:dyDescent="0.25">
      <c r="A350" s="2" t="s">
        <v>34</v>
      </c>
      <c r="B350" s="2" t="str">
        <f>_xlfn.XLOOKUP(Tabla1[[#This Row],[SOCIEDAD]],centros!D:D,centros!E:E)</f>
        <v>VC00</v>
      </c>
      <c r="C350" s="2" t="s">
        <v>671</v>
      </c>
      <c r="D350" s="2" t="s">
        <v>19</v>
      </c>
      <c r="E350" s="2" t="str">
        <f>IFERROR(INDEX(centros!$H$2:$H$45,MATCH(TRIM(Tabla1[[#This Row],[SOCIEDAD]])&amp;"|"&amp;TRIM(Tabla1[[#This Row],[LOCALIDAD]]),centros!$G$2:$G$45,0)),"REVISAR")</f>
        <v>VC05</v>
      </c>
      <c r="F350" s="2" t="s">
        <v>51</v>
      </c>
      <c r="G350" s="2" t="str">
        <f>_xlfn.XLOOKUP(Tabla1[[#This Row],[MARCA]],MARCAS!E:E,MARCAS!F:F)</f>
        <v>230</v>
      </c>
      <c r="H350" s="2" t="str">
        <f>_xlfn.XLOOKUP(Tabla1[[#This Row],[MARCA]],MARCAS!C:C,MARCAS!A:A)</f>
        <v>F0015</v>
      </c>
      <c r="I350" s="38" t="s">
        <v>1157</v>
      </c>
      <c r="J350" s="37" t="s">
        <v>1158</v>
      </c>
      <c r="K350" s="2" t="s">
        <v>1159</v>
      </c>
    </row>
    <row r="351" spans="1:11" hidden="1" x14ac:dyDescent="0.25">
      <c r="A351" s="2" t="s">
        <v>34</v>
      </c>
      <c r="B351" s="2" t="str">
        <f>_xlfn.XLOOKUP(Tabla1[[#This Row],[SOCIEDAD]],centros!D:D,centros!E:E)</f>
        <v>VC00</v>
      </c>
      <c r="C351" s="2" t="s">
        <v>930</v>
      </c>
      <c r="D351" s="2" t="s">
        <v>19</v>
      </c>
      <c r="E351" s="2" t="str">
        <f>IFERROR(INDEX(centros!$H$2:$H$45,MATCH(TRIM(Tabla1[[#This Row],[SOCIEDAD]])&amp;"|"&amp;TRIM(Tabla1[[#This Row],[LOCALIDAD]]),centros!$G$2:$G$45,0)),"REVISAR")</f>
        <v>VC05</v>
      </c>
      <c r="F351" s="2" t="s">
        <v>51</v>
      </c>
      <c r="G351" s="2" t="str">
        <f>_xlfn.XLOOKUP(Tabla1[[#This Row],[MARCA]],MARCAS!E:E,MARCAS!F:F)</f>
        <v>230</v>
      </c>
      <c r="H351" s="2" t="str">
        <f>_xlfn.XLOOKUP(Tabla1[[#This Row],[MARCA]],MARCAS!C:C,MARCAS!A:A)</f>
        <v>F0015</v>
      </c>
      <c r="I351" s="38" t="s">
        <v>1160</v>
      </c>
      <c r="J351" s="37" t="s">
        <v>1161</v>
      </c>
      <c r="K351" s="2" t="s">
        <v>1162</v>
      </c>
    </row>
    <row r="352" spans="1:11" hidden="1" x14ac:dyDescent="0.25">
      <c r="A352" s="2" t="s">
        <v>34</v>
      </c>
      <c r="B352" s="2" t="str">
        <f>_xlfn.XLOOKUP(Tabla1[[#This Row],[SOCIEDAD]],centros!D:D,centros!E:E)</f>
        <v>VC00</v>
      </c>
      <c r="C352" s="2" t="s">
        <v>300</v>
      </c>
      <c r="D352" s="2" t="s">
        <v>19</v>
      </c>
      <c r="E352" s="2" t="str">
        <f>IFERROR(INDEX(centros!$H$2:$H$45,MATCH(TRIM(Tabla1[[#This Row],[SOCIEDAD]])&amp;"|"&amp;TRIM(Tabla1[[#This Row],[LOCALIDAD]]),centros!$G$2:$G$45,0)),"REVISAR")</f>
        <v>VC05</v>
      </c>
      <c r="F352" s="2" t="s">
        <v>51</v>
      </c>
      <c r="G352" s="2" t="str">
        <f>_xlfn.XLOOKUP(Tabla1[[#This Row],[MARCA]],MARCAS!E:E,MARCAS!F:F)</f>
        <v>230</v>
      </c>
      <c r="H352" s="2" t="str">
        <f>_xlfn.XLOOKUP(Tabla1[[#This Row],[MARCA]],MARCAS!C:C,MARCAS!A:A)</f>
        <v>F0015</v>
      </c>
      <c r="I352" s="38" t="s">
        <v>1163</v>
      </c>
      <c r="J352" s="37" t="s">
        <v>1164</v>
      </c>
      <c r="K352" s="2" t="s">
        <v>1165</v>
      </c>
    </row>
    <row r="353" spans="1:11" hidden="1" x14ac:dyDescent="0.25">
      <c r="A353" s="2" t="s">
        <v>34</v>
      </c>
      <c r="B353" s="2" t="str">
        <f>_xlfn.XLOOKUP(Tabla1[[#This Row],[SOCIEDAD]],centros!D:D,centros!E:E)</f>
        <v>VC00</v>
      </c>
      <c r="C353" s="2" t="s">
        <v>263</v>
      </c>
      <c r="D353" s="2" t="s">
        <v>13</v>
      </c>
      <c r="E353" s="2" t="str">
        <f>IFERROR(INDEX(centros!$H$2:$H$45,MATCH(TRIM(Tabla1[[#This Row],[SOCIEDAD]])&amp;"|"&amp;TRIM(Tabla1[[#This Row],[LOCALIDAD]]),centros!$G$2:$G$45,0)),"REVISAR")</f>
        <v>VC01</v>
      </c>
      <c r="F353" s="2" t="s">
        <v>51</v>
      </c>
      <c r="G353" s="2" t="str">
        <f>_xlfn.XLOOKUP(Tabla1[[#This Row],[MARCA]],MARCAS!E:E,MARCAS!F:F)</f>
        <v>230</v>
      </c>
      <c r="H353" s="2" t="str">
        <f>_xlfn.XLOOKUP(Tabla1[[#This Row],[MARCA]],MARCAS!C:C,MARCAS!A:A)</f>
        <v>F0015</v>
      </c>
      <c r="I353" s="38" t="s">
        <v>1166</v>
      </c>
      <c r="J353" s="37" t="s">
        <v>1167</v>
      </c>
      <c r="K353" s="2" t="s">
        <v>1168</v>
      </c>
    </row>
    <row r="354" spans="1:11" hidden="1" x14ac:dyDescent="0.25">
      <c r="A354" s="2" t="s">
        <v>34</v>
      </c>
      <c r="B354" s="2" t="str">
        <f>_xlfn.XLOOKUP(Tabla1[[#This Row],[SOCIEDAD]],centros!D:D,centros!E:E)</f>
        <v>VC00</v>
      </c>
      <c r="C354" s="2" t="s">
        <v>671</v>
      </c>
      <c r="D354" s="2" t="s">
        <v>13</v>
      </c>
      <c r="E354" s="2" t="str">
        <f>IFERROR(INDEX(centros!$H$2:$H$45,MATCH(TRIM(Tabla1[[#This Row],[SOCIEDAD]])&amp;"|"&amp;TRIM(Tabla1[[#This Row],[LOCALIDAD]]),centros!$G$2:$G$45,0)),"REVISAR")</f>
        <v>VC01</v>
      </c>
      <c r="F354" s="2" t="s">
        <v>51</v>
      </c>
      <c r="G354" s="2" t="str">
        <f>_xlfn.XLOOKUP(Tabla1[[#This Row],[MARCA]],MARCAS!E:E,MARCAS!F:F)</f>
        <v>230</v>
      </c>
      <c r="H354" s="2" t="str">
        <f>_xlfn.XLOOKUP(Tabla1[[#This Row],[MARCA]],MARCAS!C:C,MARCAS!A:A)</f>
        <v>F0015</v>
      </c>
      <c r="I354" s="38" t="s">
        <v>1169</v>
      </c>
      <c r="J354" s="37" t="s">
        <v>1170</v>
      </c>
      <c r="K354" s="2" t="s">
        <v>1171</v>
      </c>
    </row>
    <row r="355" spans="1:11" hidden="1" x14ac:dyDescent="0.25">
      <c r="A355" s="2" t="s">
        <v>34</v>
      </c>
      <c r="B355" s="2" t="str">
        <f>_xlfn.XLOOKUP(Tabla1[[#This Row],[SOCIEDAD]],centros!D:D,centros!E:E)</f>
        <v>VC00</v>
      </c>
      <c r="C355" s="2" t="s">
        <v>930</v>
      </c>
      <c r="D355" s="2" t="s">
        <v>13</v>
      </c>
      <c r="E355" s="2" t="str">
        <f>IFERROR(INDEX(centros!$H$2:$H$45,MATCH(TRIM(Tabla1[[#This Row],[SOCIEDAD]])&amp;"|"&amp;TRIM(Tabla1[[#This Row],[LOCALIDAD]]),centros!$G$2:$G$45,0)),"REVISAR")</f>
        <v>VC01</v>
      </c>
      <c r="F355" s="2" t="s">
        <v>51</v>
      </c>
      <c r="G355" s="2" t="str">
        <f>_xlfn.XLOOKUP(Tabla1[[#This Row],[MARCA]],MARCAS!E:E,MARCAS!F:F)</f>
        <v>230</v>
      </c>
      <c r="H355" s="2" t="str">
        <f>_xlfn.XLOOKUP(Tabla1[[#This Row],[MARCA]],MARCAS!C:C,MARCAS!A:A)</f>
        <v>F0015</v>
      </c>
      <c r="I355" s="38" t="s">
        <v>1172</v>
      </c>
      <c r="J355" s="37" t="s">
        <v>1173</v>
      </c>
      <c r="K355" s="2" t="s">
        <v>1174</v>
      </c>
    </row>
    <row r="356" spans="1:11" hidden="1" x14ac:dyDescent="0.25">
      <c r="A356" s="2" t="s">
        <v>34</v>
      </c>
      <c r="B356" s="2" t="str">
        <f>_xlfn.XLOOKUP(Tabla1[[#This Row],[SOCIEDAD]],centros!D:D,centros!E:E)</f>
        <v>VC00</v>
      </c>
      <c r="C356" s="2" t="s">
        <v>300</v>
      </c>
      <c r="D356" s="2" t="s">
        <v>13</v>
      </c>
      <c r="E356" s="2" t="str">
        <f>IFERROR(INDEX(centros!$H$2:$H$45,MATCH(TRIM(Tabla1[[#This Row],[SOCIEDAD]])&amp;"|"&amp;TRIM(Tabla1[[#This Row],[LOCALIDAD]]),centros!$G$2:$G$45,0)),"REVISAR")</f>
        <v>VC01</v>
      </c>
      <c r="F356" s="2" t="s">
        <v>51</v>
      </c>
      <c r="G356" s="2" t="str">
        <f>_xlfn.XLOOKUP(Tabla1[[#This Row],[MARCA]],MARCAS!E:E,MARCAS!F:F)</f>
        <v>230</v>
      </c>
      <c r="H356" s="2" t="str">
        <f>_xlfn.XLOOKUP(Tabla1[[#This Row],[MARCA]],MARCAS!C:C,MARCAS!A:A)</f>
        <v>F0015</v>
      </c>
      <c r="I356" s="38" t="s">
        <v>1175</v>
      </c>
      <c r="J356" s="37" t="s">
        <v>1176</v>
      </c>
      <c r="K356" s="2" t="s">
        <v>1177</v>
      </c>
    </row>
    <row r="357" spans="1:11" hidden="1" x14ac:dyDescent="0.25">
      <c r="A357" s="2" t="s">
        <v>34</v>
      </c>
      <c r="B357" s="2" t="str">
        <f>_xlfn.XLOOKUP(Tabla1[[#This Row],[SOCIEDAD]],centros!D:D,centros!E:E)</f>
        <v>VC00</v>
      </c>
      <c r="C357" s="2" t="s">
        <v>263</v>
      </c>
      <c r="D357" s="2" t="s">
        <v>23</v>
      </c>
      <c r="E357" s="2" t="str">
        <f>IFERROR(INDEX(centros!$H$2:$H$45,MATCH(TRIM(Tabla1[[#This Row],[SOCIEDAD]])&amp;"|"&amp;TRIM(Tabla1[[#This Row],[LOCALIDAD]]),centros!$G$2:$G$45,0)),"REVISAR")</f>
        <v>VC06</v>
      </c>
      <c r="F357" s="2" t="s">
        <v>51</v>
      </c>
      <c r="G357" s="2" t="str">
        <f>_xlfn.XLOOKUP(Tabla1[[#This Row],[MARCA]],MARCAS!E:E,MARCAS!F:F)</f>
        <v>230</v>
      </c>
      <c r="H357" s="2" t="str">
        <f>_xlfn.XLOOKUP(Tabla1[[#This Row],[MARCA]],MARCAS!C:C,MARCAS!A:A)</f>
        <v>F0015</v>
      </c>
      <c r="I357" s="38" t="s">
        <v>1178</v>
      </c>
      <c r="J357" s="37" t="s">
        <v>1179</v>
      </c>
      <c r="K357" s="2" t="s">
        <v>1180</v>
      </c>
    </row>
    <row r="358" spans="1:11" hidden="1" x14ac:dyDescent="0.25">
      <c r="A358" s="2" t="s">
        <v>34</v>
      </c>
      <c r="B358" s="2" t="str">
        <f>_xlfn.XLOOKUP(Tabla1[[#This Row],[SOCIEDAD]],centros!D:D,centros!E:E)</f>
        <v>VC00</v>
      </c>
      <c r="C358" s="2" t="s">
        <v>671</v>
      </c>
      <c r="D358" s="2" t="s">
        <v>23</v>
      </c>
      <c r="E358" s="2" t="str">
        <f>IFERROR(INDEX(centros!$H$2:$H$45,MATCH(TRIM(Tabla1[[#This Row],[SOCIEDAD]])&amp;"|"&amp;TRIM(Tabla1[[#This Row],[LOCALIDAD]]),centros!$G$2:$G$45,0)),"REVISAR")</f>
        <v>VC06</v>
      </c>
      <c r="F358" s="2" t="s">
        <v>51</v>
      </c>
      <c r="G358" s="2" t="str">
        <f>_xlfn.XLOOKUP(Tabla1[[#This Row],[MARCA]],MARCAS!E:E,MARCAS!F:F)</f>
        <v>230</v>
      </c>
      <c r="H358" s="2" t="str">
        <f>_xlfn.XLOOKUP(Tabla1[[#This Row],[MARCA]],MARCAS!C:C,MARCAS!A:A)</f>
        <v>F0015</v>
      </c>
      <c r="I358" s="38" t="s">
        <v>1181</v>
      </c>
      <c r="J358" s="37" t="s">
        <v>1182</v>
      </c>
      <c r="K358" s="2" t="s">
        <v>1183</v>
      </c>
    </row>
    <row r="359" spans="1:11" hidden="1" x14ac:dyDescent="0.25">
      <c r="A359" s="2" t="s">
        <v>34</v>
      </c>
      <c r="B359" s="2" t="str">
        <f>_xlfn.XLOOKUP(Tabla1[[#This Row],[SOCIEDAD]],centros!D:D,centros!E:E)</f>
        <v>VC00</v>
      </c>
      <c r="C359" s="2" t="s">
        <v>930</v>
      </c>
      <c r="D359" s="2" t="s">
        <v>23</v>
      </c>
      <c r="E359" s="2" t="str">
        <f>IFERROR(INDEX(centros!$H$2:$H$45,MATCH(TRIM(Tabla1[[#This Row],[SOCIEDAD]])&amp;"|"&amp;TRIM(Tabla1[[#This Row],[LOCALIDAD]]),centros!$G$2:$G$45,0)),"REVISAR")</f>
        <v>VC06</v>
      </c>
      <c r="F359" s="2" t="s">
        <v>51</v>
      </c>
      <c r="G359" s="2" t="str">
        <f>_xlfn.XLOOKUP(Tabla1[[#This Row],[MARCA]],MARCAS!E:E,MARCAS!F:F)</f>
        <v>230</v>
      </c>
      <c r="H359" s="2" t="str">
        <f>_xlfn.XLOOKUP(Tabla1[[#This Row],[MARCA]],MARCAS!C:C,MARCAS!A:A)</f>
        <v>F0015</v>
      </c>
      <c r="I359" s="38" t="s">
        <v>1184</v>
      </c>
      <c r="J359" s="37" t="s">
        <v>1185</v>
      </c>
      <c r="K359" s="2" t="s">
        <v>1186</v>
      </c>
    </row>
    <row r="360" spans="1:11" hidden="1" x14ac:dyDescent="0.25">
      <c r="A360" s="2" t="s">
        <v>34</v>
      </c>
      <c r="B360" s="2" t="str">
        <f>_xlfn.XLOOKUP(Tabla1[[#This Row],[SOCIEDAD]],centros!D:D,centros!E:E)</f>
        <v>VC00</v>
      </c>
      <c r="C360" s="2" t="s">
        <v>300</v>
      </c>
      <c r="D360" s="2" t="s">
        <v>23</v>
      </c>
      <c r="E360" s="2" t="str">
        <f>IFERROR(INDEX(centros!$H$2:$H$45,MATCH(TRIM(Tabla1[[#This Row],[SOCIEDAD]])&amp;"|"&amp;TRIM(Tabla1[[#This Row],[LOCALIDAD]]),centros!$G$2:$G$45,0)),"REVISAR")</f>
        <v>VC06</v>
      </c>
      <c r="F360" s="2" t="s">
        <v>51</v>
      </c>
      <c r="G360" s="2" t="str">
        <f>_xlfn.XLOOKUP(Tabla1[[#This Row],[MARCA]],MARCAS!E:E,MARCAS!F:F)</f>
        <v>230</v>
      </c>
      <c r="H360" s="2" t="str">
        <f>_xlfn.XLOOKUP(Tabla1[[#This Row],[MARCA]],MARCAS!C:C,MARCAS!A:A)</f>
        <v>F0015</v>
      </c>
      <c r="I360" s="38" t="s">
        <v>1187</v>
      </c>
      <c r="J360" s="37" t="s">
        <v>1188</v>
      </c>
      <c r="K360" s="2" t="s">
        <v>1189</v>
      </c>
    </row>
    <row r="361" spans="1:11" hidden="1" x14ac:dyDescent="0.25">
      <c r="A361" s="2" t="s">
        <v>34</v>
      </c>
      <c r="B361" s="2" t="str">
        <f>_xlfn.XLOOKUP(Tabla1[[#This Row],[SOCIEDAD]],centros!D:D,centros!E:E)</f>
        <v>VC00</v>
      </c>
      <c r="C361" s="2" t="s">
        <v>263</v>
      </c>
      <c r="D361" s="2" t="s">
        <v>32</v>
      </c>
      <c r="E361" s="2" t="str">
        <f>IFERROR(INDEX(centros!$H$2:$H$45,MATCH(TRIM(Tabla1[[#This Row],[SOCIEDAD]])&amp;"|"&amp;TRIM(Tabla1[[#This Row],[LOCALIDAD]]),centros!$G$2:$G$45,0)),"REVISAR")</f>
        <v>VC03</v>
      </c>
      <c r="F361" s="2" t="s">
        <v>51</v>
      </c>
      <c r="G361" s="2" t="str">
        <f>_xlfn.XLOOKUP(Tabla1[[#This Row],[MARCA]],MARCAS!E:E,MARCAS!F:F)</f>
        <v>230</v>
      </c>
      <c r="H361" s="2" t="str">
        <f>_xlfn.XLOOKUP(Tabla1[[#This Row],[MARCA]],MARCAS!C:C,MARCAS!A:A)</f>
        <v>F0015</v>
      </c>
      <c r="I361" s="38" t="s">
        <v>1190</v>
      </c>
      <c r="J361" s="37" t="s">
        <v>1191</v>
      </c>
      <c r="K361" s="2" t="s">
        <v>1192</v>
      </c>
    </row>
    <row r="362" spans="1:11" hidden="1" x14ac:dyDescent="0.25">
      <c r="A362" s="2" t="s">
        <v>34</v>
      </c>
      <c r="B362" s="2" t="str">
        <f>_xlfn.XLOOKUP(Tabla1[[#This Row],[SOCIEDAD]],centros!D:D,centros!E:E)</f>
        <v>VC00</v>
      </c>
      <c r="C362" s="2" t="s">
        <v>671</v>
      </c>
      <c r="D362" s="2" t="s">
        <v>32</v>
      </c>
      <c r="E362" s="2" t="str">
        <f>IFERROR(INDEX(centros!$H$2:$H$45,MATCH(TRIM(Tabla1[[#This Row],[SOCIEDAD]])&amp;"|"&amp;TRIM(Tabla1[[#This Row],[LOCALIDAD]]),centros!$G$2:$G$45,0)),"REVISAR")</f>
        <v>VC03</v>
      </c>
      <c r="F362" s="2" t="s">
        <v>51</v>
      </c>
      <c r="G362" s="2" t="str">
        <f>_xlfn.XLOOKUP(Tabla1[[#This Row],[MARCA]],MARCAS!E:E,MARCAS!F:F)</f>
        <v>230</v>
      </c>
      <c r="H362" s="2" t="str">
        <f>_xlfn.XLOOKUP(Tabla1[[#This Row],[MARCA]],MARCAS!C:C,MARCAS!A:A)</f>
        <v>F0015</v>
      </c>
      <c r="I362" s="38" t="s">
        <v>1193</v>
      </c>
      <c r="J362" s="37" t="s">
        <v>1194</v>
      </c>
      <c r="K362" s="2" t="s">
        <v>1195</v>
      </c>
    </row>
    <row r="363" spans="1:11" hidden="1" x14ac:dyDescent="0.25">
      <c r="A363" s="2" t="s">
        <v>34</v>
      </c>
      <c r="B363" s="2" t="str">
        <f>_xlfn.XLOOKUP(Tabla1[[#This Row],[SOCIEDAD]],centros!D:D,centros!E:E)</f>
        <v>VC00</v>
      </c>
      <c r="C363" s="2" t="s">
        <v>930</v>
      </c>
      <c r="D363" s="2" t="s">
        <v>32</v>
      </c>
      <c r="E363" s="2" t="str">
        <f>IFERROR(INDEX(centros!$H$2:$H$45,MATCH(TRIM(Tabla1[[#This Row],[SOCIEDAD]])&amp;"|"&amp;TRIM(Tabla1[[#This Row],[LOCALIDAD]]),centros!$G$2:$G$45,0)),"REVISAR")</f>
        <v>VC03</v>
      </c>
      <c r="F363" s="2" t="s">
        <v>51</v>
      </c>
      <c r="G363" s="2" t="str">
        <f>_xlfn.XLOOKUP(Tabla1[[#This Row],[MARCA]],MARCAS!E:E,MARCAS!F:F)</f>
        <v>230</v>
      </c>
      <c r="H363" s="2" t="str">
        <f>_xlfn.XLOOKUP(Tabla1[[#This Row],[MARCA]],MARCAS!C:C,MARCAS!A:A)</f>
        <v>F0015</v>
      </c>
      <c r="I363" s="38" t="s">
        <v>1196</v>
      </c>
      <c r="J363" s="37" t="s">
        <v>1197</v>
      </c>
      <c r="K363" s="2" t="s">
        <v>1198</v>
      </c>
    </row>
    <row r="364" spans="1:11" hidden="1" x14ac:dyDescent="0.25">
      <c r="A364" s="2" t="s">
        <v>34</v>
      </c>
      <c r="B364" s="2" t="str">
        <f>_xlfn.XLOOKUP(Tabla1[[#This Row],[SOCIEDAD]],centros!D:D,centros!E:E)</f>
        <v>VC00</v>
      </c>
      <c r="C364" s="2" t="s">
        <v>300</v>
      </c>
      <c r="D364" s="2" t="s">
        <v>32</v>
      </c>
      <c r="E364" s="2" t="str">
        <f>IFERROR(INDEX(centros!$H$2:$H$45,MATCH(TRIM(Tabla1[[#This Row],[SOCIEDAD]])&amp;"|"&amp;TRIM(Tabla1[[#This Row],[LOCALIDAD]]),centros!$G$2:$G$45,0)),"REVISAR")</f>
        <v>VC03</v>
      </c>
      <c r="F364" s="2" t="s">
        <v>51</v>
      </c>
      <c r="G364" s="2" t="str">
        <f>_xlfn.XLOOKUP(Tabla1[[#This Row],[MARCA]],MARCAS!E:E,MARCAS!F:F)</f>
        <v>230</v>
      </c>
      <c r="H364" s="2" t="str">
        <f>_xlfn.XLOOKUP(Tabla1[[#This Row],[MARCA]],MARCAS!C:C,MARCAS!A:A)</f>
        <v>F0015</v>
      </c>
      <c r="I364" s="38" t="s">
        <v>1199</v>
      </c>
      <c r="J364" s="37" t="s">
        <v>1200</v>
      </c>
      <c r="K364" s="2" t="s">
        <v>1201</v>
      </c>
    </row>
    <row r="365" spans="1:11" hidden="1" x14ac:dyDescent="0.25">
      <c r="A365" s="2" t="s">
        <v>34</v>
      </c>
      <c r="B365" s="2" t="str">
        <f>_xlfn.XLOOKUP(Tabla1[[#This Row],[SOCIEDAD]],centros!D:D,centros!E:E)</f>
        <v>VC00</v>
      </c>
      <c r="C365" s="2" t="s">
        <v>263</v>
      </c>
      <c r="D365" s="2" t="s">
        <v>33</v>
      </c>
      <c r="E365" s="2" t="str">
        <f>IFERROR(INDEX(centros!$H$2:$H$45,MATCH(TRIM(Tabla1[[#This Row],[SOCIEDAD]])&amp;"|"&amp;TRIM(Tabla1[[#This Row],[LOCALIDAD]]),centros!$G$2:$G$45,0)),"REVISAR")</f>
        <v>VC07</v>
      </c>
      <c r="F365" s="2" t="s">
        <v>51</v>
      </c>
      <c r="G365" s="2" t="str">
        <f>_xlfn.XLOOKUP(Tabla1[[#This Row],[MARCA]],MARCAS!E:E,MARCAS!F:F)</f>
        <v>230</v>
      </c>
      <c r="H365" s="2" t="str">
        <f>_xlfn.XLOOKUP(Tabla1[[#This Row],[MARCA]],MARCAS!C:C,MARCAS!A:A)</f>
        <v>F0015</v>
      </c>
      <c r="I365" s="38" t="s">
        <v>1202</v>
      </c>
      <c r="J365" s="37" t="s">
        <v>1203</v>
      </c>
      <c r="K365" s="2" t="s">
        <v>1204</v>
      </c>
    </row>
    <row r="366" spans="1:11" hidden="1" x14ac:dyDescent="0.25">
      <c r="A366" s="2" t="s">
        <v>34</v>
      </c>
      <c r="B366" s="2" t="str">
        <f>_xlfn.XLOOKUP(Tabla1[[#This Row],[SOCIEDAD]],centros!D:D,centros!E:E)</f>
        <v>VC00</v>
      </c>
      <c r="C366" s="2" t="s">
        <v>671</v>
      </c>
      <c r="D366" s="2" t="s">
        <v>33</v>
      </c>
      <c r="E366" s="2" t="str">
        <f>IFERROR(INDEX(centros!$H$2:$H$45,MATCH(TRIM(Tabla1[[#This Row],[SOCIEDAD]])&amp;"|"&amp;TRIM(Tabla1[[#This Row],[LOCALIDAD]]),centros!$G$2:$G$45,0)),"REVISAR")</f>
        <v>VC07</v>
      </c>
      <c r="F366" s="2" t="s">
        <v>51</v>
      </c>
      <c r="G366" s="2" t="str">
        <f>_xlfn.XLOOKUP(Tabla1[[#This Row],[MARCA]],MARCAS!E:E,MARCAS!F:F)</f>
        <v>230</v>
      </c>
      <c r="H366" s="2" t="str">
        <f>_xlfn.XLOOKUP(Tabla1[[#This Row],[MARCA]],MARCAS!C:C,MARCAS!A:A)</f>
        <v>F0015</v>
      </c>
      <c r="I366" s="38" t="s">
        <v>1205</v>
      </c>
      <c r="J366" s="37" t="s">
        <v>1206</v>
      </c>
      <c r="K366" s="2" t="s">
        <v>1207</v>
      </c>
    </row>
    <row r="367" spans="1:11" hidden="1" x14ac:dyDescent="0.25">
      <c r="A367" s="2" t="s">
        <v>34</v>
      </c>
      <c r="B367" s="2" t="str">
        <f>_xlfn.XLOOKUP(Tabla1[[#This Row],[SOCIEDAD]],centros!D:D,centros!E:E)</f>
        <v>VC00</v>
      </c>
      <c r="C367" s="2" t="s">
        <v>930</v>
      </c>
      <c r="D367" s="2" t="s">
        <v>33</v>
      </c>
      <c r="E367" s="2" t="str">
        <f>IFERROR(INDEX(centros!$H$2:$H$45,MATCH(TRIM(Tabla1[[#This Row],[SOCIEDAD]])&amp;"|"&amp;TRIM(Tabla1[[#This Row],[LOCALIDAD]]),centros!$G$2:$G$45,0)),"REVISAR")</f>
        <v>VC07</v>
      </c>
      <c r="F367" s="2" t="s">
        <v>51</v>
      </c>
      <c r="G367" s="2" t="str">
        <f>_xlfn.XLOOKUP(Tabla1[[#This Row],[MARCA]],MARCAS!E:E,MARCAS!F:F)</f>
        <v>230</v>
      </c>
      <c r="H367" s="2" t="str">
        <f>_xlfn.XLOOKUP(Tabla1[[#This Row],[MARCA]],MARCAS!C:C,MARCAS!A:A)</f>
        <v>F0015</v>
      </c>
      <c r="I367" s="38" t="s">
        <v>1208</v>
      </c>
      <c r="J367" s="37" t="s">
        <v>1209</v>
      </c>
      <c r="K367" s="2" t="s">
        <v>1210</v>
      </c>
    </row>
    <row r="368" spans="1:11" hidden="1" x14ac:dyDescent="0.25">
      <c r="A368" s="2" t="s">
        <v>34</v>
      </c>
      <c r="B368" s="2" t="str">
        <f>_xlfn.XLOOKUP(Tabla1[[#This Row],[SOCIEDAD]],centros!D:D,centros!E:E)</f>
        <v>VC00</v>
      </c>
      <c r="C368" s="2" t="s">
        <v>300</v>
      </c>
      <c r="D368" s="2" t="s">
        <v>33</v>
      </c>
      <c r="E368" s="2" t="str">
        <f>IFERROR(INDEX(centros!$H$2:$H$45,MATCH(TRIM(Tabla1[[#This Row],[SOCIEDAD]])&amp;"|"&amp;TRIM(Tabla1[[#This Row],[LOCALIDAD]]),centros!$G$2:$G$45,0)),"REVISAR")</f>
        <v>VC07</v>
      </c>
      <c r="F368" s="2" t="s">
        <v>51</v>
      </c>
      <c r="G368" s="2" t="str">
        <f>_xlfn.XLOOKUP(Tabla1[[#This Row],[MARCA]],MARCAS!E:E,MARCAS!F:F)</f>
        <v>230</v>
      </c>
      <c r="H368" s="2" t="str">
        <f>_xlfn.XLOOKUP(Tabla1[[#This Row],[MARCA]],MARCAS!C:C,MARCAS!A:A)</f>
        <v>F0015</v>
      </c>
      <c r="I368" s="38" t="s">
        <v>1211</v>
      </c>
      <c r="J368" s="37" t="s">
        <v>1212</v>
      </c>
      <c r="K368" s="2" t="s">
        <v>1213</v>
      </c>
    </row>
    <row r="369" spans="1:11" hidden="1" x14ac:dyDescent="0.25">
      <c r="A369" s="2" t="s">
        <v>34</v>
      </c>
      <c r="B369" s="2" t="str">
        <f>_xlfn.XLOOKUP(Tabla1[[#This Row],[SOCIEDAD]],centros!D:D,centros!E:E)</f>
        <v>VC00</v>
      </c>
      <c r="C369" s="2" t="s">
        <v>263</v>
      </c>
      <c r="D369" s="2" t="s">
        <v>15</v>
      </c>
      <c r="E369" s="2" t="str">
        <f>IFERROR(INDEX(centros!$H$2:$H$45,MATCH(TRIM(Tabla1[[#This Row],[SOCIEDAD]])&amp;"|"&amp;TRIM(Tabla1[[#This Row],[LOCALIDAD]]),centros!$G$2:$G$45,0)),"REVISAR")</f>
        <v>VC02</v>
      </c>
      <c r="F369" s="2" t="s">
        <v>29</v>
      </c>
      <c r="G369" s="2" t="str">
        <f>_xlfn.XLOOKUP(Tabla1[[#This Row],[MARCA]],MARCAS!E:E,MARCAS!F:F)</f>
        <v>180</v>
      </c>
      <c r="H369" s="2" t="str">
        <f>_xlfn.XLOOKUP(Tabla1[[#This Row],[MARCA]],MARCAS!C:C,MARCAS!A:A)</f>
        <v>F0010</v>
      </c>
      <c r="I369" s="38" t="s">
        <v>1214</v>
      </c>
      <c r="J369" s="37" t="s">
        <v>1215</v>
      </c>
      <c r="K369" s="2" t="s">
        <v>1216</v>
      </c>
    </row>
    <row r="370" spans="1:11" hidden="1" x14ac:dyDescent="0.25">
      <c r="A370" s="2" t="s">
        <v>34</v>
      </c>
      <c r="B370" s="2" t="str">
        <f>_xlfn.XLOOKUP(Tabla1[[#This Row],[SOCIEDAD]],centros!D:D,centros!E:E)</f>
        <v>VC00</v>
      </c>
      <c r="C370" s="2" t="s">
        <v>671</v>
      </c>
      <c r="D370" s="2" t="s">
        <v>15</v>
      </c>
      <c r="E370" s="2" t="str">
        <f>IFERROR(INDEX(centros!$H$2:$H$45,MATCH(TRIM(Tabla1[[#This Row],[SOCIEDAD]])&amp;"|"&amp;TRIM(Tabla1[[#This Row],[LOCALIDAD]]),centros!$G$2:$G$45,0)),"REVISAR")</f>
        <v>VC02</v>
      </c>
      <c r="F370" s="2" t="s">
        <v>29</v>
      </c>
      <c r="G370" s="2" t="str">
        <f>_xlfn.XLOOKUP(Tabla1[[#This Row],[MARCA]],MARCAS!E:E,MARCAS!F:F)</f>
        <v>180</v>
      </c>
      <c r="H370" s="2" t="str">
        <f>_xlfn.XLOOKUP(Tabla1[[#This Row],[MARCA]],MARCAS!C:C,MARCAS!A:A)</f>
        <v>F0010</v>
      </c>
      <c r="I370" s="38" t="s">
        <v>1217</v>
      </c>
      <c r="J370" s="37" t="s">
        <v>1218</v>
      </c>
      <c r="K370" s="2" t="s">
        <v>1219</v>
      </c>
    </row>
    <row r="371" spans="1:11" hidden="1" x14ac:dyDescent="0.25">
      <c r="A371" s="2" t="s">
        <v>34</v>
      </c>
      <c r="B371" s="2" t="str">
        <f>_xlfn.XLOOKUP(Tabla1[[#This Row],[SOCIEDAD]],centros!D:D,centros!E:E)</f>
        <v>VC00</v>
      </c>
      <c r="C371" s="2" t="s">
        <v>930</v>
      </c>
      <c r="D371" s="2" t="s">
        <v>15</v>
      </c>
      <c r="E371" s="2" t="str">
        <f>IFERROR(INDEX(centros!$H$2:$H$45,MATCH(TRIM(Tabla1[[#This Row],[SOCIEDAD]])&amp;"|"&amp;TRIM(Tabla1[[#This Row],[LOCALIDAD]]),centros!$G$2:$G$45,0)),"REVISAR")</f>
        <v>VC02</v>
      </c>
      <c r="F371" s="2" t="s">
        <v>29</v>
      </c>
      <c r="G371" s="2" t="str">
        <f>_xlfn.XLOOKUP(Tabla1[[#This Row],[MARCA]],MARCAS!E:E,MARCAS!F:F)</f>
        <v>180</v>
      </c>
      <c r="H371" s="2" t="str">
        <f>_xlfn.XLOOKUP(Tabla1[[#This Row],[MARCA]],MARCAS!C:C,MARCAS!A:A)</f>
        <v>F0010</v>
      </c>
      <c r="I371" s="38" t="s">
        <v>1220</v>
      </c>
      <c r="J371" s="37" t="s">
        <v>1221</v>
      </c>
      <c r="K371" s="2" t="s">
        <v>1222</v>
      </c>
    </row>
    <row r="372" spans="1:11" hidden="1" x14ac:dyDescent="0.25">
      <c r="A372" s="2" t="s">
        <v>34</v>
      </c>
      <c r="B372" s="2" t="str">
        <f>_xlfn.XLOOKUP(Tabla1[[#This Row],[SOCIEDAD]],centros!D:D,centros!E:E)</f>
        <v>VC00</v>
      </c>
      <c r="C372" s="2" t="s">
        <v>300</v>
      </c>
      <c r="D372" s="2" t="s">
        <v>15</v>
      </c>
      <c r="E372" s="2" t="str">
        <f>IFERROR(INDEX(centros!$H$2:$H$45,MATCH(TRIM(Tabla1[[#This Row],[SOCIEDAD]])&amp;"|"&amp;TRIM(Tabla1[[#This Row],[LOCALIDAD]]),centros!$G$2:$G$45,0)),"REVISAR")</f>
        <v>VC02</v>
      </c>
      <c r="F372" s="2" t="s">
        <v>29</v>
      </c>
      <c r="G372" s="2" t="str">
        <f>_xlfn.XLOOKUP(Tabla1[[#This Row],[MARCA]],MARCAS!E:E,MARCAS!F:F)</f>
        <v>180</v>
      </c>
      <c r="H372" s="2" t="str">
        <f>_xlfn.XLOOKUP(Tabla1[[#This Row],[MARCA]],MARCAS!C:C,MARCAS!A:A)</f>
        <v>F0010</v>
      </c>
      <c r="I372" s="38" t="s">
        <v>1223</v>
      </c>
      <c r="J372" s="37" t="s">
        <v>1224</v>
      </c>
      <c r="K372" s="2" t="s">
        <v>1225</v>
      </c>
    </row>
    <row r="373" spans="1:11" hidden="1" x14ac:dyDescent="0.25">
      <c r="A373" s="2" t="s">
        <v>34</v>
      </c>
      <c r="B373" s="2" t="str">
        <f>_xlfn.XLOOKUP(Tabla1[[#This Row],[SOCIEDAD]],centros!D:D,centros!E:E)</f>
        <v>VC00</v>
      </c>
      <c r="C373" s="2" t="s">
        <v>263</v>
      </c>
      <c r="D373" s="2" t="s">
        <v>11</v>
      </c>
      <c r="E373" s="2" t="str">
        <f>IFERROR(INDEX(centros!$H$2:$H$45,MATCH(TRIM(Tabla1[[#This Row],[SOCIEDAD]])&amp;"|"&amp;TRIM(Tabla1[[#This Row],[LOCALIDAD]]),centros!$G$2:$G$45,0)),"REVISAR")</f>
        <v>VC00</v>
      </c>
      <c r="F373" s="2" t="s">
        <v>29</v>
      </c>
      <c r="G373" s="2" t="str">
        <f>_xlfn.XLOOKUP(Tabla1[[#This Row],[MARCA]],MARCAS!E:E,MARCAS!F:F)</f>
        <v>180</v>
      </c>
      <c r="H373" s="2" t="str">
        <f>_xlfn.XLOOKUP(Tabla1[[#This Row],[MARCA]],MARCAS!C:C,MARCAS!A:A)</f>
        <v>F0010</v>
      </c>
      <c r="I373" s="38" t="s">
        <v>1226</v>
      </c>
      <c r="J373" s="37" t="s">
        <v>1227</v>
      </c>
      <c r="K373" s="2" t="s">
        <v>1228</v>
      </c>
    </row>
    <row r="374" spans="1:11" hidden="1" x14ac:dyDescent="0.25">
      <c r="A374" s="2" t="s">
        <v>34</v>
      </c>
      <c r="B374" s="2" t="str">
        <f>_xlfn.XLOOKUP(Tabla1[[#This Row],[SOCIEDAD]],centros!D:D,centros!E:E)</f>
        <v>VC00</v>
      </c>
      <c r="C374" s="2" t="s">
        <v>671</v>
      </c>
      <c r="D374" s="2" t="s">
        <v>11</v>
      </c>
      <c r="E374" s="2" t="str">
        <f>IFERROR(INDEX(centros!$H$2:$H$45,MATCH(TRIM(Tabla1[[#This Row],[SOCIEDAD]])&amp;"|"&amp;TRIM(Tabla1[[#This Row],[LOCALIDAD]]),centros!$G$2:$G$45,0)),"REVISAR")</f>
        <v>VC00</v>
      </c>
      <c r="F374" s="2" t="s">
        <v>29</v>
      </c>
      <c r="G374" s="2" t="str">
        <f>_xlfn.XLOOKUP(Tabla1[[#This Row],[MARCA]],MARCAS!E:E,MARCAS!F:F)</f>
        <v>180</v>
      </c>
      <c r="H374" s="2" t="str">
        <f>_xlfn.XLOOKUP(Tabla1[[#This Row],[MARCA]],MARCAS!C:C,MARCAS!A:A)</f>
        <v>F0010</v>
      </c>
      <c r="I374" s="38" t="s">
        <v>1229</v>
      </c>
      <c r="J374" s="37" t="s">
        <v>1230</v>
      </c>
      <c r="K374" s="2" t="s">
        <v>1231</v>
      </c>
    </row>
    <row r="375" spans="1:11" hidden="1" x14ac:dyDescent="0.25">
      <c r="A375" s="2" t="s">
        <v>34</v>
      </c>
      <c r="B375" s="2" t="str">
        <f>_xlfn.XLOOKUP(Tabla1[[#This Row],[SOCIEDAD]],centros!D:D,centros!E:E)</f>
        <v>VC00</v>
      </c>
      <c r="C375" s="2" t="s">
        <v>930</v>
      </c>
      <c r="D375" s="2" t="s">
        <v>11</v>
      </c>
      <c r="E375" s="2" t="str">
        <f>IFERROR(INDEX(centros!$H$2:$H$45,MATCH(TRIM(Tabla1[[#This Row],[SOCIEDAD]])&amp;"|"&amp;TRIM(Tabla1[[#This Row],[LOCALIDAD]]),centros!$G$2:$G$45,0)),"REVISAR")</f>
        <v>VC00</v>
      </c>
      <c r="F375" s="2" t="s">
        <v>29</v>
      </c>
      <c r="G375" s="2" t="str">
        <f>_xlfn.XLOOKUP(Tabla1[[#This Row],[MARCA]],MARCAS!E:E,MARCAS!F:F)</f>
        <v>180</v>
      </c>
      <c r="H375" s="2" t="str">
        <f>_xlfn.XLOOKUP(Tabla1[[#This Row],[MARCA]],MARCAS!C:C,MARCAS!A:A)</f>
        <v>F0010</v>
      </c>
      <c r="I375" s="38" t="s">
        <v>1232</v>
      </c>
      <c r="J375" s="37" t="s">
        <v>1233</v>
      </c>
      <c r="K375" s="2" t="s">
        <v>1234</v>
      </c>
    </row>
    <row r="376" spans="1:11" hidden="1" x14ac:dyDescent="0.25">
      <c r="A376" s="2" t="s">
        <v>34</v>
      </c>
      <c r="B376" s="2" t="str">
        <f>_xlfn.XLOOKUP(Tabla1[[#This Row],[SOCIEDAD]],centros!D:D,centros!E:E)</f>
        <v>VC00</v>
      </c>
      <c r="C376" s="2" t="s">
        <v>300</v>
      </c>
      <c r="D376" s="2" t="s">
        <v>11</v>
      </c>
      <c r="E376" s="2" t="str">
        <f>IFERROR(INDEX(centros!$H$2:$H$45,MATCH(TRIM(Tabla1[[#This Row],[SOCIEDAD]])&amp;"|"&amp;TRIM(Tabla1[[#This Row],[LOCALIDAD]]),centros!$G$2:$G$45,0)),"REVISAR")</f>
        <v>VC00</v>
      </c>
      <c r="F376" s="2" t="s">
        <v>29</v>
      </c>
      <c r="G376" s="2" t="str">
        <f>_xlfn.XLOOKUP(Tabla1[[#This Row],[MARCA]],MARCAS!E:E,MARCAS!F:F)</f>
        <v>180</v>
      </c>
      <c r="H376" s="2" t="str">
        <f>_xlfn.XLOOKUP(Tabla1[[#This Row],[MARCA]],MARCAS!C:C,MARCAS!A:A)</f>
        <v>F0010</v>
      </c>
      <c r="I376" s="38" t="s">
        <v>1235</v>
      </c>
      <c r="J376" s="37" t="s">
        <v>1236</v>
      </c>
      <c r="K376" s="2" t="s">
        <v>1237</v>
      </c>
    </row>
    <row r="377" spans="1:11" hidden="1" x14ac:dyDescent="0.25">
      <c r="A377" s="2" t="s">
        <v>34</v>
      </c>
      <c r="B377" s="2" t="str">
        <f>_xlfn.XLOOKUP(Tabla1[[#This Row],[SOCIEDAD]],centros!D:D,centros!E:E)</f>
        <v>VC00</v>
      </c>
      <c r="C377" s="2" t="s">
        <v>263</v>
      </c>
      <c r="D377" s="2" t="s">
        <v>17</v>
      </c>
      <c r="E377" s="2" t="str">
        <f>IFERROR(INDEX(centros!$H$2:$H$45,MATCH(TRIM(Tabla1[[#This Row],[SOCIEDAD]])&amp;"|"&amp;TRIM(Tabla1[[#This Row],[LOCALIDAD]]),centros!$G$2:$G$45,0)),"REVISAR")</f>
        <v>VC04</v>
      </c>
      <c r="F377" s="2" t="s">
        <v>29</v>
      </c>
      <c r="G377" s="2" t="str">
        <f>_xlfn.XLOOKUP(Tabla1[[#This Row],[MARCA]],MARCAS!E:E,MARCAS!F:F)</f>
        <v>180</v>
      </c>
      <c r="H377" s="2" t="str">
        <f>_xlfn.XLOOKUP(Tabla1[[#This Row],[MARCA]],MARCAS!C:C,MARCAS!A:A)</f>
        <v>F0010</v>
      </c>
      <c r="I377" s="38" t="s">
        <v>1238</v>
      </c>
      <c r="J377" s="37" t="s">
        <v>1239</v>
      </c>
      <c r="K377" s="2" t="s">
        <v>1240</v>
      </c>
    </row>
    <row r="378" spans="1:11" hidden="1" x14ac:dyDescent="0.25">
      <c r="A378" s="2" t="s">
        <v>34</v>
      </c>
      <c r="B378" s="2" t="str">
        <f>_xlfn.XLOOKUP(Tabla1[[#This Row],[SOCIEDAD]],centros!D:D,centros!E:E)</f>
        <v>VC00</v>
      </c>
      <c r="C378" s="2" t="s">
        <v>671</v>
      </c>
      <c r="D378" s="2" t="s">
        <v>17</v>
      </c>
      <c r="E378" s="2" t="str">
        <f>IFERROR(INDEX(centros!$H$2:$H$45,MATCH(TRIM(Tabla1[[#This Row],[SOCIEDAD]])&amp;"|"&amp;TRIM(Tabla1[[#This Row],[LOCALIDAD]]),centros!$G$2:$G$45,0)),"REVISAR")</f>
        <v>VC04</v>
      </c>
      <c r="F378" s="2" t="s">
        <v>29</v>
      </c>
      <c r="G378" s="2" t="str">
        <f>_xlfn.XLOOKUP(Tabla1[[#This Row],[MARCA]],MARCAS!E:E,MARCAS!F:F)</f>
        <v>180</v>
      </c>
      <c r="H378" s="2" t="str">
        <f>_xlfn.XLOOKUP(Tabla1[[#This Row],[MARCA]],MARCAS!C:C,MARCAS!A:A)</f>
        <v>F0010</v>
      </c>
      <c r="I378" s="38" t="s">
        <v>1241</v>
      </c>
      <c r="J378" s="37" t="s">
        <v>1242</v>
      </c>
      <c r="K378" s="2" t="s">
        <v>1243</v>
      </c>
    </row>
    <row r="379" spans="1:11" hidden="1" x14ac:dyDescent="0.25">
      <c r="A379" s="2" t="s">
        <v>34</v>
      </c>
      <c r="B379" s="2" t="str">
        <f>_xlfn.XLOOKUP(Tabla1[[#This Row],[SOCIEDAD]],centros!D:D,centros!E:E)</f>
        <v>VC00</v>
      </c>
      <c r="C379" s="2" t="s">
        <v>930</v>
      </c>
      <c r="D379" s="2" t="s">
        <v>17</v>
      </c>
      <c r="E379" s="2" t="str">
        <f>IFERROR(INDEX(centros!$H$2:$H$45,MATCH(TRIM(Tabla1[[#This Row],[SOCIEDAD]])&amp;"|"&amp;TRIM(Tabla1[[#This Row],[LOCALIDAD]]),centros!$G$2:$G$45,0)),"REVISAR")</f>
        <v>VC04</v>
      </c>
      <c r="F379" s="2" t="s">
        <v>29</v>
      </c>
      <c r="G379" s="2" t="str">
        <f>_xlfn.XLOOKUP(Tabla1[[#This Row],[MARCA]],MARCAS!E:E,MARCAS!F:F)</f>
        <v>180</v>
      </c>
      <c r="H379" s="2" t="str">
        <f>_xlfn.XLOOKUP(Tabla1[[#This Row],[MARCA]],MARCAS!C:C,MARCAS!A:A)</f>
        <v>F0010</v>
      </c>
      <c r="I379" s="38" t="s">
        <v>1244</v>
      </c>
      <c r="J379" s="37" t="s">
        <v>1245</v>
      </c>
      <c r="K379" s="2" t="s">
        <v>1246</v>
      </c>
    </row>
    <row r="380" spans="1:11" hidden="1" x14ac:dyDescent="0.25">
      <c r="A380" s="2" t="s">
        <v>34</v>
      </c>
      <c r="B380" s="2" t="str">
        <f>_xlfn.XLOOKUP(Tabla1[[#This Row],[SOCIEDAD]],centros!D:D,centros!E:E)</f>
        <v>VC00</v>
      </c>
      <c r="C380" s="2" t="s">
        <v>300</v>
      </c>
      <c r="D380" s="2" t="s">
        <v>17</v>
      </c>
      <c r="E380" s="2" t="str">
        <f>IFERROR(INDEX(centros!$H$2:$H$45,MATCH(TRIM(Tabla1[[#This Row],[SOCIEDAD]])&amp;"|"&amp;TRIM(Tabla1[[#This Row],[LOCALIDAD]]),centros!$G$2:$G$45,0)),"REVISAR")</f>
        <v>VC04</v>
      </c>
      <c r="F380" s="2" t="s">
        <v>29</v>
      </c>
      <c r="G380" s="2" t="str">
        <f>_xlfn.XLOOKUP(Tabla1[[#This Row],[MARCA]],MARCAS!E:E,MARCAS!F:F)</f>
        <v>180</v>
      </c>
      <c r="H380" s="2" t="str">
        <f>_xlfn.XLOOKUP(Tabla1[[#This Row],[MARCA]],MARCAS!C:C,MARCAS!A:A)</f>
        <v>F0010</v>
      </c>
      <c r="I380" s="38" t="s">
        <v>1247</v>
      </c>
      <c r="J380" s="37" t="s">
        <v>1248</v>
      </c>
      <c r="K380" s="2" t="s">
        <v>1249</v>
      </c>
    </row>
    <row r="381" spans="1:11" hidden="1" x14ac:dyDescent="0.25">
      <c r="A381" s="2" t="s">
        <v>34</v>
      </c>
      <c r="B381" s="2" t="str">
        <f>_xlfn.XLOOKUP(Tabla1[[#This Row],[SOCIEDAD]],centros!D:D,centros!E:E)</f>
        <v>VC00</v>
      </c>
      <c r="C381" s="2" t="s">
        <v>263</v>
      </c>
      <c r="D381" s="2" t="s">
        <v>19</v>
      </c>
      <c r="E381" s="2" t="str">
        <f>IFERROR(INDEX(centros!$H$2:$H$45,MATCH(TRIM(Tabla1[[#This Row],[SOCIEDAD]])&amp;"|"&amp;TRIM(Tabla1[[#This Row],[LOCALIDAD]]),centros!$G$2:$G$45,0)),"REVISAR")</f>
        <v>VC05</v>
      </c>
      <c r="F381" s="2" t="s">
        <v>29</v>
      </c>
      <c r="G381" s="2" t="str">
        <f>_xlfn.XLOOKUP(Tabla1[[#This Row],[MARCA]],MARCAS!E:E,MARCAS!F:F)</f>
        <v>180</v>
      </c>
      <c r="H381" s="2" t="str">
        <f>_xlfn.XLOOKUP(Tabla1[[#This Row],[MARCA]],MARCAS!C:C,MARCAS!A:A)</f>
        <v>F0010</v>
      </c>
      <c r="I381" s="38" t="s">
        <v>1250</v>
      </c>
      <c r="J381" s="37" t="s">
        <v>1251</v>
      </c>
      <c r="K381" s="2" t="s">
        <v>1252</v>
      </c>
    </row>
    <row r="382" spans="1:11" hidden="1" x14ac:dyDescent="0.25">
      <c r="A382" s="2" t="s">
        <v>34</v>
      </c>
      <c r="B382" s="2" t="str">
        <f>_xlfn.XLOOKUP(Tabla1[[#This Row],[SOCIEDAD]],centros!D:D,centros!E:E)</f>
        <v>VC00</v>
      </c>
      <c r="C382" s="2" t="s">
        <v>671</v>
      </c>
      <c r="D382" s="2" t="s">
        <v>19</v>
      </c>
      <c r="E382" s="2" t="str">
        <f>IFERROR(INDEX(centros!$H$2:$H$45,MATCH(TRIM(Tabla1[[#This Row],[SOCIEDAD]])&amp;"|"&amp;TRIM(Tabla1[[#This Row],[LOCALIDAD]]),centros!$G$2:$G$45,0)),"REVISAR")</f>
        <v>VC05</v>
      </c>
      <c r="F382" s="2" t="s">
        <v>29</v>
      </c>
      <c r="G382" s="2" t="str">
        <f>_xlfn.XLOOKUP(Tabla1[[#This Row],[MARCA]],MARCAS!E:E,MARCAS!F:F)</f>
        <v>180</v>
      </c>
      <c r="H382" s="2" t="str">
        <f>_xlfn.XLOOKUP(Tabla1[[#This Row],[MARCA]],MARCAS!C:C,MARCAS!A:A)</f>
        <v>F0010</v>
      </c>
      <c r="I382" s="38" t="s">
        <v>1253</v>
      </c>
      <c r="J382" s="37" t="s">
        <v>1254</v>
      </c>
      <c r="K382" s="2" t="s">
        <v>1255</v>
      </c>
    </row>
    <row r="383" spans="1:11" hidden="1" x14ac:dyDescent="0.25">
      <c r="A383" s="2" t="s">
        <v>34</v>
      </c>
      <c r="B383" s="2" t="str">
        <f>_xlfn.XLOOKUP(Tabla1[[#This Row],[SOCIEDAD]],centros!D:D,centros!E:E)</f>
        <v>VC00</v>
      </c>
      <c r="C383" s="2" t="s">
        <v>930</v>
      </c>
      <c r="D383" s="2" t="s">
        <v>19</v>
      </c>
      <c r="E383" s="2" t="str">
        <f>IFERROR(INDEX(centros!$H$2:$H$45,MATCH(TRIM(Tabla1[[#This Row],[SOCIEDAD]])&amp;"|"&amp;TRIM(Tabla1[[#This Row],[LOCALIDAD]]),centros!$G$2:$G$45,0)),"REVISAR")</f>
        <v>VC05</v>
      </c>
      <c r="F383" s="2" t="s">
        <v>29</v>
      </c>
      <c r="G383" s="2" t="str">
        <f>_xlfn.XLOOKUP(Tabla1[[#This Row],[MARCA]],MARCAS!E:E,MARCAS!F:F)</f>
        <v>180</v>
      </c>
      <c r="H383" s="2" t="str">
        <f>_xlfn.XLOOKUP(Tabla1[[#This Row],[MARCA]],MARCAS!C:C,MARCAS!A:A)</f>
        <v>F0010</v>
      </c>
      <c r="I383" s="38" t="s">
        <v>1256</v>
      </c>
      <c r="J383" s="37" t="s">
        <v>1257</v>
      </c>
      <c r="K383" s="2" t="s">
        <v>1258</v>
      </c>
    </row>
    <row r="384" spans="1:11" hidden="1" x14ac:dyDescent="0.25">
      <c r="A384" s="2" t="s">
        <v>34</v>
      </c>
      <c r="B384" s="2" t="str">
        <f>_xlfn.XLOOKUP(Tabla1[[#This Row],[SOCIEDAD]],centros!D:D,centros!E:E)</f>
        <v>VC00</v>
      </c>
      <c r="C384" s="2" t="s">
        <v>300</v>
      </c>
      <c r="D384" s="2" t="s">
        <v>19</v>
      </c>
      <c r="E384" s="2" t="str">
        <f>IFERROR(INDEX(centros!$H$2:$H$45,MATCH(TRIM(Tabla1[[#This Row],[SOCIEDAD]])&amp;"|"&amp;TRIM(Tabla1[[#This Row],[LOCALIDAD]]),centros!$G$2:$G$45,0)),"REVISAR")</f>
        <v>VC05</v>
      </c>
      <c r="F384" s="2" t="s">
        <v>29</v>
      </c>
      <c r="G384" s="2" t="str">
        <f>_xlfn.XLOOKUP(Tabla1[[#This Row],[MARCA]],MARCAS!E:E,MARCAS!F:F)</f>
        <v>180</v>
      </c>
      <c r="H384" s="2" t="str">
        <f>_xlfn.XLOOKUP(Tabla1[[#This Row],[MARCA]],MARCAS!C:C,MARCAS!A:A)</f>
        <v>F0010</v>
      </c>
      <c r="I384" s="38" t="s">
        <v>1259</v>
      </c>
      <c r="J384" s="37" t="s">
        <v>1260</v>
      </c>
      <c r="K384" s="2" t="s">
        <v>1261</v>
      </c>
    </row>
    <row r="385" spans="1:11" hidden="1" x14ac:dyDescent="0.25">
      <c r="A385" s="2" t="s">
        <v>34</v>
      </c>
      <c r="B385" s="2" t="str">
        <f>_xlfn.XLOOKUP(Tabla1[[#This Row],[SOCIEDAD]],centros!D:D,centros!E:E)</f>
        <v>VC00</v>
      </c>
      <c r="C385" s="2" t="s">
        <v>263</v>
      </c>
      <c r="D385" s="2" t="s">
        <v>13</v>
      </c>
      <c r="E385" s="2" t="str">
        <f>IFERROR(INDEX(centros!$H$2:$H$45,MATCH(TRIM(Tabla1[[#This Row],[SOCIEDAD]])&amp;"|"&amp;TRIM(Tabla1[[#This Row],[LOCALIDAD]]),centros!$G$2:$G$45,0)),"REVISAR")</f>
        <v>VC01</v>
      </c>
      <c r="F385" s="2" t="s">
        <v>29</v>
      </c>
      <c r="G385" s="2" t="str">
        <f>_xlfn.XLOOKUP(Tabla1[[#This Row],[MARCA]],MARCAS!E:E,MARCAS!F:F)</f>
        <v>180</v>
      </c>
      <c r="H385" s="2" t="str">
        <f>_xlfn.XLOOKUP(Tabla1[[#This Row],[MARCA]],MARCAS!C:C,MARCAS!A:A)</f>
        <v>F0010</v>
      </c>
      <c r="I385" s="38" t="s">
        <v>1262</v>
      </c>
      <c r="J385" s="37" t="s">
        <v>1263</v>
      </c>
      <c r="K385" s="2" t="s">
        <v>1264</v>
      </c>
    </row>
    <row r="386" spans="1:11" hidden="1" x14ac:dyDescent="0.25">
      <c r="A386" s="2" t="s">
        <v>34</v>
      </c>
      <c r="B386" s="2" t="str">
        <f>_xlfn.XLOOKUP(Tabla1[[#This Row],[SOCIEDAD]],centros!D:D,centros!E:E)</f>
        <v>VC00</v>
      </c>
      <c r="C386" s="2" t="s">
        <v>671</v>
      </c>
      <c r="D386" s="2" t="s">
        <v>13</v>
      </c>
      <c r="E386" s="2" t="str">
        <f>IFERROR(INDEX(centros!$H$2:$H$45,MATCH(TRIM(Tabla1[[#This Row],[SOCIEDAD]])&amp;"|"&amp;TRIM(Tabla1[[#This Row],[LOCALIDAD]]),centros!$G$2:$G$45,0)),"REVISAR")</f>
        <v>VC01</v>
      </c>
      <c r="F386" s="2" t="s">
        <v>29</v>
      </c>
      <c r="G386" s="2" t="str">
        <f>_xlfn.XLOOKUP(Tabla1[[#This Row],[MARCA]],MARCAS!E:E,MARCAS!F:F)</f>
        <v>180</v>
      </c>
      <c r="H386" s="2" t="str">
        <f>_xlfn.XLOOKUP(Tabla1[[#This Row],[MARCA]],MARCAS!C:C,MARCAS!A:A)</f>
        <v>F0010</v>
      </c>
      <c r="I386" s="38" t="s">
        <v>1265</v>
      </c>
      <c r="J386" s="37" t="s">
        <v>1266</v>
      </c>
      <c r="K386" s="2" t="s">
        <v>1267</v>
      </c>
    </row>
    <row r="387" spans="1:11" hidden="1" x14ac:dyDescent="0.25">
      <c r="A387" s="2" t="s">
        <v>34</v>
      </c>
      <c r="B387" s="2" t="str">
        <f>_xlfn.XLOOKUP(Tabla1[[#This Row],[SOCIEDAD]],centros!D:D,centros!E:E)</f>
        <v>VC00</v>
      </c>
      <c r="C387" s="2" t="s">
        <v>930</v>
      </c>
      <c r="D387" s="2" t="s">
        <v>13</v>
      </c>
      <c r="E387" s="2" t="str">
        <f>IFERROR(INDEX(centros!$H$2:$H$45,MATCH(TRIM(Tabla1[[#This Row],[SOCIEDAD]])&amp;"|"&amp;TRIM(Tabla1[[#This Row],[LOCALIDAD]]),centros!$G$2:$G$45,0)),"REVISAR")</f>
        <v>VC01</v>
      </c>
      <c r="F387" s="2" t="s">
        <v>29</v>
      </c>
      <c r="G387" s="2" t="str">
        <f>_xlfn.XLOOKUP(Tabla1[[#This Row],[MARCA]],MARCAS!E:E,MARCAS!F:F)</f>
        <v>180</v>
      </c>
      <c r="H387" s="2" t="str">
        <f>_xlfn.XLOOKUP(Tabla1[[#This Row],[MARCA]],MARCAS!C:C,MARCAS!A:A)</f>
        <v>F0010</v>
      </c>
      <c r="I387" s="38" t="s">
        <v>1268</v>
      </c>
      <c r="J387" s="37" t="s">
        <v>1269</v>
      </c>
      <c r="K387" s="2" t="s">
        <v>1270</v>
      </c>
    </row>
    <row r="388" spans="1:11" hidden="1" x14ac:dyDescent="0.25">
      <c r="A388" s="2" t="s">
        <v>34</v>
      </c>
      <c r="B388" s="2" t="str">
        <f>_xlfn.XLOOKUP(Tabla1[[#This Row],[SOCIEDAD]],centros!D:D,centros!E:E)</f>
        <v>VC00</v>
      </c>
      <c r="C388" s="2" t="s">
        <v>300</v>
      </c>
      <c r="D388" s="2" t="s">
        <v>13</v>
      </c>
      <c r="E388" s="2" t="str">
        <f>IFERROR(INDEX(centros!$H$2:$H$45,MATCH(TRIM(Tabla1[[#This Row],[SOCIEDAD]])&amp;"|"&amp;TRIM(Tabla1[[#This Row],[LOCALIDAD]]),centros!$G$2:$G$45,0)),"REVISAR")</f>
        <v>VC01</v>
      </c>
      <c r="F388" s="2" t="s">
        <v>29</v>
      </c>
      <c r="G388" s="2" t="str">
        <f>_xlfn.XLOOKUP(Tabla1[[#This Row],[MARCA]],MARCAS!E:E,MARCAS!F:F)</f>
        <v>180</v>
      </c>
      <c r="H388" s="2" t="str">
        <f>_xlfn.XLOOKUP(Tabla1[[#This Row],[MARCA]],MARCAS!C:C,MARCAS!A:A)</f>
        <v>F0010</v>
      </c>
      <c r="I388" s="38" t="s">
        <v>1271</v>
      </c>
      <c r="J388" s="37" t="s">
        <v>1272</v>
      </c>
      <c r="K388" s="2" t="s">
        <v>1273</v>
      </c>
    </row>
    <row r="389" spans="1:11" hidden="1" x14ac:dyDescent="0.25">
      <c r="A389" s="2" t="s">
        <v>34</v>
      </c>
      <c r="B389" s="2" t="str">
        <f>_xlfn.XLOOKUP(Tabla1[[#This Row],[SOCIEDAD]],centros!D:D,centros!E:E)</f>
        <v>VC00</v>
      </c>
      <c r="C389" s="2" t="s">
        <v>263</v>
      </c>
      <c r="D389" s="2" t="s">
        <v>23</v>
      </c>
      <c r="E389" s="2" t="str">
        <f>IFERROR(INDEX(centros!$H$2:$H$45,MATCH(TRIM(Tabla1[[#This Row],[SOCIEDAD]])&amp;"|"&amp;TRIM(Tabla1[[#This Row],[LOCALIDAD]]),centros!$G$2:$G$45,0)),"REVISAR")</f>
        <v>VC06</v>
      </c>
      <c r="F389" s="2" t="s">
        <v>29</v>
      </c>
      <c r="G389" s="2" t="str">
        <f>_xlfn.XLOOKUP(Tabla1[[#This Row],[MARCA]],MARCAS!E:E,MARCAS!F:F)</f>
        <v>180</v>
      </c>
      <c r="H389" s="2" t="str">
        <f>_xlfn.XLOOKUP(Tabla1[[#This Row],[MARCA]],MARCAS!C:C,MARCAS!A:A)</f>
        <v>F0010</v>
      </c>
      <c r="I389" s="38" t="s">
        <v>1274</v>
      </c>
      <c r="J389" s="37" t="s">
        <v>1275</v>
      </c>
      <c r="K389" s="2" t="s">
        <v>1276</v>
      </c>
    </row>
    <row r="390" spans="1:11" hidden="1" x14ac:dyDescent="0.25">
      <c r="A390" s="2" t="s">
        <v>34</v>
      </c>
      <c r="B390" s="2" t="str">
        <f>_xlfn.XLOOKUP(Tabla1[[#This Row],[SOCIEDAD]],centros!D:D,centros!E:E)</f>
        <v>VC00</v>
      </c>
      <c r="C390" s="2" t="s">
        <v>671</v>
      </c>
      <c r="D390" s="2" t="s">
        <v>23</v>
      </c>
      <c r="E390" s="2" t="str">
        <f>IFERROR(INDEX(centros!$H$2:$H$45,MATCH(TRIM(Tabla1[[#This Row],[SOCIEDAD]])&amp;"|"&amp;TRIM(Tabla1[[#This Row],[LOCALIDAD]]),centros!$G$2:$G$45,0)),"REVISAR")</f>
        <v>VC06</v>
      </c>
      <c r="F390" s="2" t="s">
        <v>29</v>
      </c>
      <c r="G390" s="2" t="str">
        <f>_xlfn.XLOOKUP(Tabla1[[#This Row],[MARCA]],MARCAS!E:E,MARCAS!F:F)</f>
        <v>180</v>
      </c>
      <c r="H390" s="2" t="str">
        <f>_xlfn.XLOOKUP(Tabla1[[#This Row],[MARCA]],MARCAS!C:C,MARCAS!A:A)</f>
        <v>F0010</v>
      </c>
      <c r="I390" s="38" t="s">
        <v>1277</v>
      </c>
      <c r="J390" s="37" t="s">
        <v>1278</v>
      </c>
      <c r="K390" s="2" t="s">
        <v>1279</v>
      </c>
    </row>
    <row r="391" spans="1:11" hidden="1" x14ac:dyDescent="0.25">
      <c r="A391" s="2" t="s">
        <v>34</v>
      </c>
      <c r="B391" s="2" t="str">
        <f>_xlfn.XLOOKUP(Tabla1[[#This Row],[SOCIEDAD]],centros!D:D,centros!E:E)</f>
        <v>VC00</v>
      </c>
      <c r="C391" s="2" t="s">
        <v>930</v>
      </c>
      <c r="D391" s="2" t="s">
        <v>23</v>
      </c>
      <c r="E391" s="2" t="str">
        <f>IFERROR(INDEX(centros!$H$2:$H$45,MATCH(TRIM(Tabla1[[#This Row],[SOCIEDAD]])&amp;"|"&amp;TRIM(Tabla1[[#This Row],[LOCALIDAD]]),centros!$G$2:$G$45,0)),"REVISAR")</f>
        <v>VC06</v>
      </c>
      <c r="F391" s="2" t="s">
        <v>29</v>
      </c>
      <c r="G391" s="2" t="str">
        <f>_xlfn.XLOOKUP(Tabla1[[#This Row],[MARCA]],MARCAS!E:E,MARCAS!F:F)</f>
        <v>180</v>
      </c>
      <c r="H391" s="2" t="str">
        <f>_xlfn.XLOOKUP(Tabla1[[#This Row],[MARCA]],MARCAS!C:C,MARCAS!A:A)</f>
        <v>F0010</v>
      </c>
      <c r="I391" s="38" t="s">
        <v>1280</v>
      </c>
      <c r="J391" s="37" t="s">
        <v>1281</v>
      </c>
      <c r="K391" s="2" t="s">
        <v>1282</v>
      </c>
    </row>
    <row r="392" spans="1:11" hidden="1" x14ac:dyDescent="0.25">
      <c r="A392" s="2" t="s">
        <v>34</v>
      </c>
      <c r="B392" s="2" t="str">
        <f>_xlfn.XLOOKUP(Tabla1[[#This Row],[SOCIEDAD]],centros!D:D,centros!E:E)</f>
        <v>VC00</v>
      </c>
      <c r="C392" s="2" t="s">
        <v>300</v>
      </c>
      <c r="D392" s="2" t="s">
        <v>23</v>
      </c>
      <c r="E392" s="2" t="str">
        <f>IFERROR(INDEX(centros!$H$2:$H$45,MATCH(TRIM(Tabla1[[#This Row],[SOCIEDAD]])&amp;"|"&amp;TRIM(Tabla1[[#This Row],[LOCALIDAD]]),centros!$G$2:$G$45,0)),"REVISAR")</f>
        <v>VC06</v>
      </c>
      <c r="F392" s="2" t="s">
        <v>29</v>
      </c>
      <c r="G392" s="2" t="str">
        <f>_xlfn.XLOOKUP(Tabla1[[#This Row],[MARCA]],MARCAS!E:E,MARCAS!F:F)</f>
        <v>180</v>
      </c>
      <c r="H392" s="2" t="str">
        <f>_xlfn.XLOOKUP(Tabla1[[#This Row],[MARCA]],MARCAS!C:C,MARCAS!A:A)</f>
        <v>F0010</v>
      </c>
      <c r="I392" s="38" t="s">
        <v>1283</v>
      </c>
      <c r="J392" s="37" t="s">
        <v>1284</v>
      </c>
      <c r="K392" s="2" t="s">
        <v>1285</v>
      </c>
    </row>
    <row r="393" spans="1:11" hidden="1" x14ac:dyDescent="0.25">
      <c r="A393" s="2" t="s">
        <v>34</v>
      </c>
      <c r="B393" s="2" t="str">
        <f>_xlfn.XLOOKUP(Tabla1[[#This Row],[SOCIEDAD]],centros!D:D,centros!E:E)</f>
        <v>VC00</v>
      </c>
      <c r="C393" s="2" t="s">
        <v>263</v>
      </c>
      <c r="D393" s="2" t="s">
        <v>32</v>
      </c>
      <c r="E393" s="2" t="str">
        <f>IFERROR(INDEX(centros!$H$2:$H$45,MATCH(TRIM(Tabla1[[#This Row],[SOCIEDAD]])&amp;"|"&amp;TRIM(Tabla1[[#This Row],[LOCALIDAD]]),centros!$G$2:$G$45,0)),"REVISAR")</f>
        <v>VC03</v>
      </c>
      <c r="F393" s="2" t="s">
        <v>29</v>
      </c>
      <c r="G393" s="2" t="str">
        <f>_xlfn.XLOOKUP(Tabla1[[#This Row],[MARCA]],MARCAS!E:E,MARCAS!F:F)</f>
        <v>180</v>
      </c>
      <c r="H393" s="2" t="str">
        <f>_xlfn.XLOOKUP(Tabla1[[#This Row],[MARCA]],MARCAS!C:C,MARCAS!A:A)</f>
        <v>F0010</v>
      </c>
      <c r="I393" s="38" t="s">
        <v>1286</v>
      </c>
      <c r="J393" s="37" t="s">
        <v>1287</v>
      </c>
      <c r="K393" s="2" t="s">
        <v>1288</v>
      </c>
    </row>
    <row r="394" spans="1:11" hidden="1" x14ac:dyDescent="0.25">
      <c r="A394" s="2" t="s">
        <v>34</v>
      </c>
      <c r="B394" s="2" t="str">
        <f>_xlfn.XLOOKUP(Tabla1[[#This Row],[SOCIEDAD]],centros!D:D,centros!E:E)</f>
        <v>VC00</v>
      </c>
      <c r="C394" s="2" t="s">
        <v>671</v>
      </c>
      <c r="D394" s="2" t="s">
        <v>32</v>
      </c>
      <c r="E394" s="2" t="str">
        <f>IFERROR(INDEX(centros!$H$2:$H$45,MATCH(TRIM(Tabla1[[#This Row],[SOCIEDAD]])&amp;"|"&amp;TRIM(Tabla1[[#This Row],[LOCALIDAD]]),centros!$G$2:$G$45,0)),"REVISAR")</f>
        <v>VC03</v>
      </c>
      <c r="F394" s="2" t="s">
        <v>29</v>
      </c>
      <c r="G394" s="2" t="str">
        <f>_xlfn.XLOOKUP(Tabla1[[#This Row],[MARCA]],MARCAS!E:E,MARCAS!F:F)</f>
        <v>180</v>
      </c>
      <c r="H394" s="2" t="str">
        <f>_xlfn.XLOOKUP(Tabla1[[#This Row],[MARCA]],MARCAS!C:C,MARCAS!A:A)</f>
        <v>F0010</v>
      </c>
      <c r="I394" s="38" t="s">
        <v>1289</v>
      </c>
      <c r="J394" s="37" t="s">
        <v>1290</v>
      </c>
      <c r="K394" s="2" t="s">
        <v>1291</v>
      </c>
    </row>
    <row r="395" spans="1:11" hidden="1" x14ac:dyDescent="0.25">
      <c r="A395" s="2" t="s">
        <v>34</v>
      </c>
      <c r="B395" s="2" t="str">
        <f>_xlfn.XLOOKUP(Tabla1[[#This Row],[SOCIEDAD]],centros!D:D,centros!E:E)</f>
        <v>VC00</v>
      </c>
      <c r="C395" s="2" t="s">
        <v>930</v>
      </c>
      <c r="D395" s="2" t="s">
        <v>32</v>
      </c>
      <c r="E395" s="2" t="str">
        <f>IFERROR(INDEX(centros!$H$2:$H$45,MATCH(TRIM(Tabla1[[#This Row],[SOCIEDAD]])&amp;"|"&amp;TRIM(Tabla1[[#This Row],[LOCALIDAD]]),centros!$G$2:$G$45,0)),"REVISAR")</f>
        <v>VC03</v>
      </c>
      <c r="F395" s="2" t="s">
        <v>29</v>
      </c>
      <c r="G395" s="2" t="str">
        <f>_xlfn.XLOOKUP(Tabla1[[#This Row],[MARCA]],MARCAS!E:E,MARCAS!F:F)</f>
        <v>180</v>
      </c>
      <c r="H395" s="2" t="str">
        <f>_xlfn.XLOOKUP(Tabla1[[#This Row],[MARCA]],MARCAS!C:C,MARCAS!A:A)</f>
        <v>F0010</v>
      </c>
      <c r="I395" s="38" t="s">
        <v>1292</v>
      </c>
      <c r="J395" s="37" t="s">
        <v>1293</v>
      </c>
      <c r="K395" s="2" t="s">
        <v>1294</v>
      </c>
    </row>
    <row r="396" spans="1:11" hidden="1" x14ac:dyDescent="0.25">
      <c r="A396" s="2" t="s">
        <v>34</v>
      </c>
      <c r="B396" s="2" t="str">
        <f>_xlfn.XLOOKUP(Tabla1[[#This Row],[SOCIEDAD]],centros!D:D,centros!E:E)</f>
        <v>VC00</v>
      </c>
      <c r="C396" s="2" t="s">
        <v>300</v>
      </c>
      <c r="D396" s="2" t="s">
        <v>32</v>
      </c>
      <c r="E396" s="2" t="str">
        <f>IFERROR(INDEX(centros!$H$2:$H$45,MATCH(TRIM(Tabla1[[#This Row],[SOCIEDAD]])&amp;"|"&amp;TRIM(Tabla1[[#This Row],[LOCALIDAD]]),centros!$G$2:$G$45,0)),"REVISAR")</f>
        <v>VC03</v>
      </c>
      <c r="F396" s="2" t="s">
        <v>29</v>
      </c>
      <c r="G396" s="2" t="str">
        <f>_xlfn.XLOOKUP(Tabla1[[#This Row],[MARCA]],MARCAS!E:E,MARCAS!F:F)</f>
        <v>180</v>
      </c>
      <c r="H396" s="2" t="str">
        <f>_xlfn.XLOOKUP(Tabla1[[#This Row],[MARCA]],MARCAS!C:C,MARCAS!A:A)</f>
        <v>F0010</v>
      </c>
      <c r="I396" s="38" t="s">
        <v>1295</v>
      </c>
      <c r="J396" s="37" t="s">
        <v>1296</v>
      </c>
      <c r="K396" s="2" t="s">
        <v>1297</v>
      </c>
    </row>
    <row r="397" spans="1:11" hidden="1" x14ac:dyDescent="0.25">
      <c r="A397" s="2" t="s">
        <v>34</v>
      </c>
      <c r="B397" s="2" t="str">
        <f>_xlfn.XLOOKUP(Tabla1[[#This Row],[SOCIEDAD]],centros!D:D,centros!E:E)</f>
        <v>VC00</v>
      </c>
      <c r="C397" s="2" t="s">
        <v>263</v>
      </c>
      <c r="D397" s="2" t="s">
        <v>33</v>
      </c>
      <c r="E397" s="2" t="str">
        <f>IFERROR(INDEX(centros!$H$2:$H$45,MATCH(TRIM(Tabla1[[#This Row],[SOCIEDAD]])&amp;"|"&amp;TRIM(Tabla1[[#This Row],[LOCALIDAD]]),centros!$G$2:$G$45,0)),"REVISAR")</f>
        <v>VC07</v>
      </c>
      <c r="F397" s="2" t="s">
        <v>29</v>
      </c>
      <c r="G397" s="2" t="str">
        <f>_xlfn.XLOOKUP(Tabla1[[#This Row],[MARCA]],MARCAS!E:E,MARCAS!F:F)</f>
        <v>180</v>
      </c>
      <c r="H397" s="2" t="str">
        <f>_xlfn.XLOOKUP(Tabla1[[#This Row],[MARCA]],MARCAS!C:C,MARCAS!A:A)</f>
        <v>F0010</v>
      </c>
      <c r="I397" s="38" t="s">
        <v>1298</v>
      </c>
      <c r="J397" s="37" t="s">
        <v>1299</v>
      </c>
      <c r="K397" s="2" t="s">
        <v>1300</v>
      </c>
    </row>
    <row r="398" spans="1:11" hidden="1" x14ac:dyDescent="0.25">
      <c r="A398" s="2" t="s">
        <v>34</v>
      </c>
      <c r="B398" s="2" t="str">
        <f>_xlfn.XLOOKUP(Tabla1[[#This Row],[SOCIEDAD]],centros!D:D,centros!E:E)</f>
        <v>VC00</v>
      </c>
      <c r="C398" s="2" t="s">
        <v>671</v>
      </c>
      <c r="D398" s="2" t="s">
        <v>33</v>
      </c>
      <c r="E398" s="2" t="str">
        <f>IFERROR(INDEX(centros!$H$2:$H$45,MATCH(TRIM(Tabla1[[#This Row],[SOCIEDAD]])&amp;"|"&amp;TRIM(Tabla1[[#This Row],[LOCALIDAD]]),centros!$G$2:$G$45,0)),"REVISAR")</f>
        <v>VC07</v>
      </c>
      <c r="F398" s="2" t="s">
        <v>29</v>
      </c>
      <c r="G398" s="2" t="str">
        <f>_xlfn.XLOOKUP(Tabla1[[#This Row],[MARCA]],MARCAS!E:E,MARCAS!F:F)</f>
        <v>180</v>
      </c>
      <c r="H398" s="2" t="str">
        <f>_xlfn.XLOOKUP(Tabla1[[#This Row],[MARCA]],MARCAS!C:C,MARCAS!A:A)</f>
        <v>F0010</v>
      </c>
      <c r="I398" s="38" t="s">
        <v>1301</v>
      </c>
      <c r="J398" s="37" t="s">
        <v>1302</v>
      </c>
      <c r="K398" s="2" t="s">
        <v>1303</v>
      </c>
    </row>
    <row r="399" spans="1:11" hidden="1" x14ac:dyDescent="0.25">
      <c r="A399" s="2" t="s">
        <v>34</v>
      </c>
      <c r="B399" s="2" t="str">
        <f>_xlfn.XLOOKUP(Tabla1[[#This Row],[SOCIEDAD]],centros!D:D,centros!E:E)</f>
        <v>VC00</v>
      </c>
      <c r="C399" s="2" t="s">
        <v>930</v>
      </c>
      <c r="D399" s="2" t="s">
        <v>33</v>
      </c>
      <c r="E399" s="2" t="str">
        <f>IFERROR(INDEX(centros!$H$2:$H$45,MATCH(TRIM(Tabla1[[#This Row],[SOCIEDAD]])&amp;"|"&amp;TRIM(Tabla1[[#This Row],[LOCALIDAD]]),centros!$G$2:$G$45,0)),"REVISAR")</f>
        <v>VC07</v>
      </c>
      <c r="F399" s="2" t="s">
        <v>29</v>
      </c>
      <c r="G399" s="2" t="str">
        <f>_xlfn.XLOOKUP(Tabla1[[#This Row],[MARCA]],MARCAS!E:E,MARCAS!F:F)</f>
        <v>180</v>
      </c>
      <c r="H399" s="2" t="str">
        <f>_xlfn.XLOOKUP(Tabla1[[#This Row],[MARCA]],MARCAS!C:C,MARCAS!A:A)</f>
        <v>F0010</v>
      </c>
      <c r="I399" s="38" t="s">
        <v>1304</v>
      </c>
      <c r="J399" s="37" t="s">
        <v>1305</v>
      </c>
      <c r="K399" s="2" t="s">
        <v>1306</v>
      </c>
    </row>
    <row r="400" spans="1:11" hidden="1" x14ac:dyDescent="0.25">
      <c r="A400" s="2" t="s">
        <v>34</v>
      </c>
      <c r="B400" s="2" t="str">
        <f>_xlfn.XLOOKUP(Tabla1[[#This Row],[SOCIEDAD]],centros!D:D,centros!E:E)</f>
        <v>VC00</v>
      </c>
      <c r="C400" s="2" t="s">
        <v>300</v>
      </c>
      <c r="D400" s="2" t="s">
        <v>33</v>
      </c>
      <c r="E400" s="2" t="str">
        <f>IFERROR(INDEX(centros!$H$2:$H$45,MATCH(TRIM(Tabla1[[#This Row],[SOCIEDAD]])&amp;"|"&amp;TRIM(Tabla1[[#This Row],[LOCALIDAD]]),centros!$G$2:$G$45,0)),"REVISAR")</f>
        <v>VC07</v>
      </c>
      <c r="F400" s="2" t="s">
        <v>29</v>
      </c>
      <c r="G400" s="2" t="str">
        <f>_xlfn.XLOOKUP(Tabla1[[#This Row],[MARCA]],MARCAS!E:E,MARCAS!F:F)</f>
        <v>180</v>
      </c>
      <c r="H400" s="2" t="str">
        <f>_xlfn.XLOOKUP(Tabla1[[#This Row],[MARCA]],MARCAS!C:C,MARCAS!A:A)</f>
        <v>F0010</v>
      </c>
      <c r="I400" s="38" t="s">
        <v>1307</v>
      </c>
      <c r="J400" s="37" t="s">
        <v>1308</v>
      </c>
      <c r="K400" s="2" t="s">
        <v>1309</v>
      </c>
    </row>
    <row r="401" spans="1:11" hidden="1" x14ac:dyDescent="0.25">
      <c r="A401" s="2" t="s">
        <v>34</v>
      </c>
      <c r="B401" s="2" t="str">
        <f>_xlfn.XLOOKUP(Tabla1[[#This Row],[SOCIEDAD]],centros!D:D,centros!E:E)</f>
        <v>VC00</v>
      </c>
      <c r="C401" s="2" t="s">
        <v>263</v>
      </c>
      <c r="D401" s="2" t="s">
        <v>15</v>
      </c>
      <c r="E401" s="2" t="str">
        <f>IFERROR(INDEX(centros!$H$2:$H$45,MATCH(TRIM(Tabla1[[#This Row],[SOCIEDAD]])&amp;"|"&amp;TRIM(Tabla1[[#This Row],[LOCALIDAD]]),centros!$G$2:$G$45,0)),"REVISAR")</f>
        <v>VC02</v>
      </c>
      <c r="F401" s="2" t="s">
        <v>54</v>
      </c>
      <c r="G401" s="2" t="str">
        <f>_xlfn.XLOOKUP(Tabla1[[#This Row],[MARCA]],MARCAS!E:E,MARCAS!F:F)</f>
        <v>150</v>
      </c>
      <c r="H401" s="2" t="str">
        <f>_xlfn.XLOOKUP(Tabla1[[#This Row],[MARCA]],MARCAS!C:C,MARCAS!A:A)</f>
        <v>F0016</v>
      </c>
      <c r="I401" s="38" t="s">
        <v>1310</v>
      </c>
      <c r="J401" s="37" t="s">
        <v>1311</v>
      </c>
      <c r="K401" s="2" t="s">
        <v>1312</v>
      </c>
    </row>
    <row r="402" spans="1:11" hidden="1" x14ac:dyDescent="0.25">
      <c r="A402" s="2" t="s">
        <v>34</v>
      </c>
      <c r="B402" s="2" t="str">
        <f>_xlfn.XLOOKUP(Tabla1[[#This Row],[SOCIEDAD]],centros!D:D,centros!E:E)</f>
        <v>VC00</v>
      </c>
      <c r="C402" s="2" t="s">
        <v>671</v>
      </c>
      <c r="D402" s="2" t="s">
        <v>15</v>
      </c>
      <c r="E402" s="2" t="str">
        <f>IFERROR(INDEX(centros!$H$2:$H$45,MATCH(TRIM(Tabla1[[#This Row],[SOCIEDAD]])&amp;"|"&amp;TRIM(Tabla1[[#This Row],[LOCALIDAD]]),centros!$G$2:$G$45,0)),"REVISAR")</f>
        <v>VC02</v>
      </c>
      <c r="F402" s="2" t="s">
        <v>54</v>
      </c>
      <c r="G402" s="2" t="str">
        <f>_xlfn.XLOOKUP(Tabla1[[#This Row],[MARCA]],MARCAS!E:E,MARCAS!F:F)</f>
        <v>150</v>
      </c>
      <c r="H402" s="2" t="str">
        <f>_xlfn.XLOOKUP(Tabla1[[#This Row],[MARCA]],MARCAS!C:C,MARCAS!A:A)</f>
        <v>F0016</v>
      </c>
      <c r="I402" s="38" t="s">
        <v>1313</v>
      </c>
      <c r="J402" s="37" t="s">
        <v>1314</v>
      </c>
      <c r="K402" s="2" t="s">
        <v>1315</v>
      </c>
    </row>
    <row r="403" spans="1:11" hidden="1" x14ac:dyDescent="0.25">
      <c r="A403" s="2" t="s">
        <v>34</v>
      </c>
      <c r="B403" s="2" t="str">
        <f>_xlfn.XLOOKUP(Tabla1[[#This Row],[SOCIEDAD]],centros!D:D,centros!E:E)</f>
        <v>VC00</v>
      </c>
      <c r="C403" s="2" t="s">
        <v>1027</v>
      </c>
      <c r="D403" s="2" t="s">
        <v>15</v>
      </c>
      <c r="E403" s="2" t="str">
        <f>IFERROR(INDEX(centros!$H$2:$H$45,MATCH(TRIM(Tabla1[[#This Row],[SOCIEDAD]])&amp;"|"&amp;TRIM(Tabla1[[#This Row],[LOCALIDAD]]),centros!$G$2:$G$45,0)),"REVISAR")</f>
        <v>VC02</v>
      </c>
      <c r="F403" s="2" t="s">
        <v>54</v>
      </c>
      <c r="G403" s="2" t="str">
        <f>_xlfn.XLOOKUP(Tabla1[[#This Row],[MARCA]],MARCAS!E:E,MARCAS!F:F)</f>
        <v>150</v>
      </c>
      <c r="H403" s="2" t="str">
        <f>_xlfn.XLOOKUP(Tabla1[[#This Row],[MARCA]],MARCAS!C:C,MARCAS!A:A)</f>
        <v>F0016</v>
      </c>
      <c r="I403" s="38" t="s">
        <v>1316</v>
      </c>
      <c r="J403" s="37" t="s">
        <v>1317</v>
      </c>
      <c r="K403" s="2" t="s">
        <v>1318</v>
      </c>
    </row>
    <row r="404" spans="1:11" hidden="1" x14ac:dyDescent="0.25">
      <c r="A404" s="2" t="s">
        <v>34</v>
      </c>
      <c r="B404" s="2" t="str">
        <f>_xlfn.XLOOKUP(Tabla1[[#This Row],[SOCIEDAD]],centros!D:D,centros!E:E)</f>
        <v>VC00</v>
      </c>
      <c r="C404" s="2" t="s">
        <v>300</v>
      </c>
      <c r="D404" s="2" t="s">
        <v>15</v>
      </c>
      <c r="E404" s="2" t="str">
        <f>IFERROR(INDEX(centros!$H$2:$H$45,MATCH(TRIM(Tabla1[[#This Row],[SOCIEDAD]])&amp;"|"&amp;TRIM(Tabla1[[#This Row],[LOCALIDAD]]),centros!$G$2:$G$45,0)),"REVISAR")</f>
        <v>VC02</v>
      </c>
      <c r="F404" s="2" t="s">
        <v>54</v>
      </c>
      <c r="G404" s="2" t="str">
        <f>_xlfn.XLOOKUP(Tabla1[[#This Row],[MARCA]],MARCAS!E:E,MARCAS!F:F)</f>
        <v>150</v>
      </c>
      <c r="H404" s="2" t="str">
        <f>_xlfn.XLOOKUP(Tabla1[[#This Row],[MARCA]],MARCAS!C:C,MARCAS!A:A)</f>
        <v>F0016</v>
      </c>
      <c r="I404" s="38" t="s">
        <v>1319</v>
      </c>
      <c r="J404" s="37" t="s">
        <v>1320</v>
      </c>
      <c r="K404" s="2" t="s">
        <v>1321</v>
      </c>
    </row>
    <row r="405" spans="1:11" hidden="1" x14ac:dyDescent="0.25">
      <c r="A405" s="2" t="s">
        <v>34</v>
      </c>
      <c r="B405" s="2" t="str">
        <f>_xlfn.XLOOKUP(Tabla1[[#This Row],[SOCIEDAD]],centros!D:D,centros!E:E)</f>
        <v>VC00</v>
      </c>
      <c r="C405" s="2" t="s">
        <v>263</v>
      </c>
      <c r="D405" s="2" t="s">
        <v>11</v>
      </c>
      <c r="E405" s="2" t="str">
        <f>IFERROR(INDEX(centros!$H$2:$H$45,MATCH(TRIM(Tabla1[[#This Row],[SOCIEDAD]])&amp;"|"&amp;TRIM(Tabla1[[#This Row],[LOCALIDAD]]),centros!$G$2:$G$45,0)),"REVISAR")</f>
        <v>VC00</v>
      </c>
      <c r="F405" s="2" t="s">
        <v>54</v>
      </c>
      <c r="G405" s="2" t="str">
        <f>_xlfn.XLOOKUP(Tabla1[[#This Row],[MARCA]],MARCAS!E:E,MARCAS!F:F)</f>
        <v>150</v>
      </c>
      <c r="H405" s="2" t="str">
        <f>_xlfn.XLOOKUP(Tabla1[[#This Row],[MARCA]],MARCAS!C:C,MARCAS!A:A)</f>
        <v>F0016</v>
      </c>
      <c r="I405" s="38" t="s">
        <v>1322</v>
      </c>
      <c r="J405" s="37" t="s">
        <v>1323</v>
      </c>
      <c r="K405" s="2" t="s">
        <v>1324</v>
      </c>
    </row>
    <row r="406" spans="1:11" hidden="1" x14ac:dyDescent="0.25">
      <c r="A406" s="2" t="s">
        <v>34</v>
      </c>
      <c r="B406" s="2" t="str">
        <f>_xlfn.XLOOKUP(Tabla1[[#This Row],[SOCIEDAD]],centros!D:D,centros!E:E)</f>
        <v>VC00</v>
      </c>
      <c r="C406" s="2" t="s">
        <v>671</v>
      </c>
      <c r="D406" s="2" t="s">
        <v>11</v>
      </c>
      <c r="E406" s="2" t="str">
        <f>IFERROR(INDEX(centros!$H$2:$H$45,MATCH(TRIM(Tabla1[[#This Row],[SOCIEDAD]])&amp;"|"&amp;TRIM(Tabla1[[#This Row],[LOCALIDAD]]),centros!$G$2:$G$45,0)),"REVISAR")</f>
        <v>VC00</v>
      </c>
      <c r="F406" s="2" t="s">
        <v>54</v>
      </c>
      <c r="G406" s="2" t="str">
        <f>_xlfn.XLOOKUP(Tabla1[[#This Row],[MARCA]],MARCAS!E:E,MARCAS!F:F)</f>
        <v>150</v>
      </c>
      <c r="H406" s="2" t="str">
        <f>_xlfn.XLOOKUP(Tabla1[[#This Row],[MARCA]],MARCAS!C:C,MARCAS!A:A)</f>
        <v>F0016</v>
      </c>
      <c r="I406" s="38" t="s">
        <v>1325</v>
      </c>
      <c r="J406" s="37" t="s">
        <v>1326</v>
      </c>
      <c r="K406" s="2" t="s">
        <v>1327</v>
      </c>
    </row>
    <row r="407" spans="1:11" hidden="1" x14ac:dyDescent="0.25">
      <c r="A407" s="2" t="s">
        <v>34</v>
      </c>
      <c r="B407" s="2" t="str">
        <f>_xlfn.XLOOKUP(Tabla1[[#This Row],[SOCIEDAD]],centros!D:D,centros!E:E)</f>
        <v>VC00</v>
      </c>
      <c r="C407" s="2" t="s">
        <v>1027</v>
      </c>
      <c r="D407" s="2" t="s">
        <v>11</v>
      </c>
      <c r="E407" s="2" t="str">
        <f>IFERROR(INDEX(centros!$H$2:$H$45,MATCH(TRIM(Tabla1[[#This Row],[SOCIEDAD]])&amp;"|"&amp;TRIM(Tabla1[[#This Row],[LOCALIDAD]]),centros!$G$2:$G$45,0)),"REVISAR")</f>
        <v>VC00</v>
      </c>
      <c r="F407" s="2" t="s">
        <v>54</v>
      </c>
      <c r="G407" s="2" t="str">
        <f>_xlfn.XLOOKUP(Tabla1[[#This Row],[MARCA]],MARCAS!E:E,MARCAS!F:F)</f>
        <v>150</v>
      </c>
      <c r="H407" s="2" t="str">
        <f>_xlfn.XLOOKUP(Tabla1[[#This Row],[MARCA]],MARCAS!C:C,MARCAS!A:A)</f>
        <v>F0016</v>
      </c>
      <c r="I407" s="38" t="s">
        <v>1328</v>
      </c>
      <c r="J407" s="37" t="s">
        <v>1329</v>
      </c>
      <c r="K407" s="2" t="s">
        <v>1330</v>
      </c>
    </row>
    <row r="408" spans="1:11" hidden="1" x14ac:dyDescent="0.25">
      <c r="A408" s="2" t="s">
        <v>34</v>
      </c>
      <c r="B408" s="2" t="str">
        <f>_xlfn.XLOOKUP(Tabla1[[#This Row],[SOCIEDAD]],centros!D:D,centros!E:E)</f>
        <v>VC00</v>
      </c>
      <c r="C408" s="2" t="s">
        <v>300</v>
      </c>
      <c r="D408" s="2" t="s">
        <v>11</v>
      </c>
      <c r="E408" s="2" t="str">
        <f>IFERROR(INDEX(centros!$H$2:$H$45,MATCH(TRIM(Tabla1[[#This Row],[SOCIEDAD]])&amp;"|"&amp;TRIM(Tabla1[[#This Row],[LOCALIDAD]]),centros!$G$2:$G$45,0)),"REVISAR")</f>
        <v>VC00</v>
      </c>
      <c r="F408" s="2" t="s">
        <v>54</v>
      </c>
      <c r="G408" s="2" t="str">
        <f>_xlfn.XLOOKUP(Tabla1[[#This Row],[MARCA]],MARCAS!E:E,MARCAS!F:F)</f>
        <v>150</v>
      </c>
      <c r="H408" s="2" t="str">
        <f>_xlfn.XLOOKUP(Tabla1[[#This Row],[MARCA]],MARCAS!C:C,MARCAS!A:A)</f>
        <v>F0016</v>
      </c>
      <c r="I408" s="38" t="s">
        <v>1331</v>
      </c>
      <c r="J408" s="37" t="s">
        <v>1332</v>
      </c>
      <c r="K408" s="2" t="s">
        <v>1333</v>
      </c>
    </row>
    <row r="409" spans="1:11" hidden="1" x14ac:dyDescent="0.25">
      <c r="A409" s="2" t="s">
        <v>34</v>
      </c>
      <c r="B409" s="2" t="str">
        <f>_xlfn.XLOOKUP(Tabla1[[#This Row],[SOCIEDAD]],centros!D:D,centros!E:E)</f>
        <v>VC00</v>
      </c>
      <c r="C409" s="2" t="s">
        <v>263</v>
      </c>
      <c r="D409" s="2" t="s">
        <v>17</v>
      </c>
      <c r="E409" s="2" t="str">
        <f>IFERROR(INDEX(centros!$H$2:$H$45,MATCH(TRIM(Tabla1[[#This Row],[SOCIEDAD]])&amp;"|"&amp;TRIM(Tabla1[[#This Row],[LOCALIDAD]]),centros!$G$2:$G$45,0)),"REVISAR")</f>
        <v>VC04</v>
      </c>
      <c r="F409" s="2" t="s">
        <v>54</v>
      </c>
      <c r="G409" s="2" t="str">
        <f>_xlfn.XLOOKUP(Tabla1[[#This Row],[MARCA]],MARCAS!E:E,MARCAS!F:F)</f>
        <v>150</v>
      </c>
      <c r="H409" s="2" t="str">
        <f>_xlfn.XLOOKUP(Tabla1[[#This Row],[MARCA]],MARCAS!C:C,MARCAS!A:A)</f>
        <v>F0016</v>
      </c>
      <c r="I409" s="38" t="s">
        <v>1334</v>
      </c>
      <c r="J409" s="37" t="s">
        <v>1335</v>
      </c>
      <c r="K409" s="2" t="s">
        <v>1336</v>
      </c>
    </row>
    <row r="410" spans="1:11" hidden="1" x14ac:dyDescent="0.25">
      <c r="A410" s="2" t="s">
        <v>34</v>
      </c>
      <c r="B410" s="2" t="str">
        <f>_xlfn.XLOOKUP(Tabla1[[#This Row],[SOCIEDAD]],centros!D:D,centros!E:E)</f>
        <v>VC00</v>
      </c>
      <c r="C410" s="2" t="s">
        <v>671</v>
      </c>
      <c r="D410" s="2" t="s">
        <v>17</v>
      </c>
      <c r="E410" s="2" t="str">
        <f>IFERROR(INDEX(centros!$H$2:$H$45,MATCH(TRIM(Tabla1[[#This Row],[SOCIEDAD]])&amp;"|"&amp;TRIM(Tabla1[[#This Row],[LOCALIDAD]]),centros!$G$2:$G$45,0)),"REVISAR")</f>
        <v>VC04</v>
      </c>
      <c r="F410" s="2" t="s">
        <v>54</v>
      </c>
      <c r="G410" s="2" t="str">
        <f>_xlfn.XLOOKUP(Tabla1[[#This Row],[MARCA]],MARCAS!E:E,MARCAS!F:F)</f>
        <v>150</v>
      </c>
      <c r="H410" s="2" t="str">
        <f>_xlfn.XLOOKUP(Tabla1[[#This Row],[MARCA]],MARCAS!C:C,MARCAS!A:A)</f>
        <v>F0016</v>
      </c>
      <c r="I410" s="38" t="s">
        <v>1337</v>
      </c>
      <c r="J410" s="37" t="s">
        <v>1338</v>
      </c>
      <c r="K410" s="2" t="s">
        <v>1339</v>
      </c>
    </row>
    <row r="411" spans="1:11" hidden="1" x14ac:dyDescent="0.25">
      <c r="A411" s="2" t="s">
        <v>34</v>
      </c>
      <c r="B411" s="2" t="str">
        <f>_xlfn.XLOOKUP(Tabla1[[#This Row],[SOCIEDAD]],centros!D:D,centros!E:E)</f>
        <v>VC00</v>
      </c>
      <c r="C411" s="2" t="s">
        <v>1027</v>
      </c>
      <c r="D411" s="2" t="s">
        <v>17</v>
      </c>
      <c r="E411" s="2" t="str">
        <f>IFERROR(INDEX(centros!$H$2:$H$45,MATCH(TRIM(Tabla1[[#This Row],[SOCIEDAD]])&amp;"|"&amp;TRIM(Tabla1[[#This Row],[LOCALIDAD]]),centros!$G$2:$G$45,0)),"REVISAR")</f>
        <v>VC04</v>
      </c>
      <c r="F411" s="2" t="s">
        <v>54</v>
      </c>
      <c r="G411" s="2" t="str">
        <f>_xlfn.XLOOKUP(Tabla1[[#This Row],[MARCA]],MARCAS!E:E,MARCAS!F:F)</f>
        <v>150</v>
      </c>
      <c r="H411" s="2" t="str">
        <f>_xlfn.XLOOKUP(Tabla1[[#This Row],[MARCA]],MARCAS!C:C,MARCAS!A:A)</f>
        <v>F0016</v>
      </c>
      <c r="I411" s="38" t="s">
        <v>1340</v>
      </c>
      <c r="J411" s="37" t="s">
        <v>1341</v>
      </c>
      <c r="K411" s="2" t="s">
        <v>1342</v>
      </c>
    </row>
    <row r="412" spans="1:11" hidden="1" x14ac:dyDescent="0.25">
      <c r="A412" s="2" t="s">
        <v>34</v>
      </c>
      <c r="B412" s="2" t="str">
        <f>_xlfn.XLOOKUP(Tabla1[[#This Row],[SOCIEDAD]],centros!D:D,centros!E:E)</f>
        <v>VC00</v>
      </c>
      <c r="C412" s="2" t="s">
        <v>300</v>
      </c>
      <c r="D412" s="2" t="s">
        <v>17</v>
      </c>
      <c r="E412" s="2" t="str">
        <f>IFERROR(INDEX(centros!$H$2:$H$45,MATCH(TRIM(Tabla1[[#This Row],[SOCIEDAD]])&amp;"|"&amp;TRIM(Tabla1[[#This Row],[LOCALIDAD]]),centros!$G$2:$G$45,0)),"REVISAR")</f>
        <v>VC04</v>
      </c>
      <c r="F412" s="2" t="s">
        <v>54</v>
      </c>
      <c r="G412" s="2" t="str">
        <f>_xlfn.XLOOKUP(Tabla1[[#This Row],[MARCA]],MARCAS!E:E,MARCAS!F:F)</f>
        <v>150</v>
      </c>
      <c r="H412" s="2" t="str">
        <f>_xlfn.XLOOKUP(Tabla1[[#This Row],[MARCA]],MARCAS!C:C,MARCAS!A:A)</f>
        <v>F0016</v>
      </c>
      <c r="I412" s="38" t="s">
        <v>1343</v>
      </c>
      <c r="J412" s="37" t="s">
        <v>1344</v>
      </c>
      <c r="K412" s="2" t="s">
        <v>1345</v>
      </c>
    </row>
    <row r="413" spans="1:11" hidden="1" x14ac:dyDescent="0.25">
      <c r="A413" s="2" t="s">
        <v>34</v>
      </c>
      <c r="B413" s="2" t="str">
        <f>_xlfn.XLOOKUP(Tabla1[[#This Row],[SOCIEDAD]],centros!D:D,centros!E:E)</f>
        <v>VC00</v>
      </c>
      <c r="C413" s="2" t="s">
        <v>263</v>
      </c>
      <c r="D413" s="2" t="s">
        <v>19</v>
      </c>
      <c r="E413" s="2" t="str">
        <f>IFERROR(INDEX(centros!$H$2:$H$45,MATCH(TRIM(Tabla1[[#This Row],[SOCIEDAD]])&amp;"|"&amp;TRIM(Tabla1[[#This Row],[LOCALIDAD]]),centros!$G$2:$G$45,0)),"REVISAR")</f>
        <v>VC05</v>
      </c>
      <c r="F413" s="2" t="s">
        <v>54</v>
      </c>
      <c r="G413" s="2" t="str">
        <f>_xlfn.XLOOKUP(Tabla1[[#This Row],[MARCA]],MARCAS!E:E,MARCAS!F:F)</f>
        <v>150</v>
      </c>
      <c r="H413" s="2" t="str">
        <f>_xlfn.XLOOKUP(Tabla1[[#This Row],[MARCA]],MARCAS!C:C,MARCAS!A:A)</f>
        <v>F0016</v>
      </c>
      <c r="I413" s="38" t="s">
        <v>1346</v>
      </c>
      <c r="J413" s="37" t="s">
        <v>1347</v>
      </c>
      <c r="K413" s="2" t="s">
        <v>1348</v>
      </c>
    </row>
    <row r="414" spans="1:11" hidden="1" x14ac:dyDescent="0.25">
      <c r="A414" s="2" t="s">
        <v>34</v>
      </c>
      <c r="B414" s="2" t="str">
        <f>_xlfn.XLOOKUP(Tabla1[[#This Row],[SOCIEDAD]],centros!D:D,centros!E:E)</f>
        <v>VC00</v>
      </c>
      <c r="C414" s="2" t="s">
        <v>671</v>
      </c>
      <c r="D414" s="2" t="s">
        <v>19</v>
      </c>
      <c r="E414" s="2" t="str">
        <f>IFERROR(INDEX(centros!$H$2:$H$45,MATCH(TRIM(Tabla1[[#This Row],[SOCIEDAD]])&amp;"|"&amp;TRIM(Tabla1[[#This Row],[LOCALIDAD]]),centros!$G$2:$G$45,0)),"REVISAR")</f>
        <v>VC05</v>
      </c>
      <c r="F414" s="2" t="s">
        <v>54</v>
      </c>
      <c r="G414" s="2" t="str">
        <f>_xlfn.XLOOKUP(Tabla1[[#This Row],[MARCA]],MARCAS!E:E,MARCAS!F:F)</f>
        <v>150</v>
      </c>
      <c r="H414" s="2" t="str">
        <f>_xlfn.XLOOKUP(Tabla1[[#This Row],[MARCA]],MARCAS!C:C,MARCAS!A:A)</f>
        <v>F0016</v>
      </c>
      <c r="I414" s="38" t="s">
        <v>1349</v>
      </c>
      <c r="J414" s="37" t="s">
        <v>1350</v>
      </c>
      <c r="K414" s="2" t="s">
        <v>1351</v>
      </c>
    </row>
    <row r="415" spans="1:11" hidden="1" x14ac:dyDescent="0.25">
      <c r="A415" s="2" t="s">
        <v>34</v>
      </c>
      <c r="B415" s="2" t="str">
        <f>_xlfn.XLOOKUP(Tabla1[[#This Row],[SOCIEDAD]],centros!D:D,centros!E:E)</f>
        <v>VC00</v>
      </c>
      <c r="C415" s="2" t="s">
        <v>1027</v>
      </c>
      <c r="D415" s="2" t="s">
        <v>19</v>
      </c>
      <c r="E415" s="2" t="str">
        <f>IFERROR(INDEX(centros!$H$2:$H$45,MATCH(TRIM(Tabla1[[#This Row],[SOCIEDAD]])&amp;"|"&amp;TRIM(Tabla1[[#This Row],[LOCALIDAD]]),centros!$G$2:$G$45,0)),"REVISAR")</f>
        <v>VC05</v>
      </c>
      <c r="F415" s="2" t="s">
        <v>54</v>
      </c>
      <c r="G415" s="2" t="str">
        <f>_xlfn.XLOOKUP(Tabla1[[#This Row],[MARCA]],MARCAS!E:E,MARCAS!F:F)</f>
        <v>150</v>
      </c>
      <c r="H415" s="2" t="str">
        <f>_xlfn.XLOOKUP(Tabla1[[#This Row],[MARCA]],MARCAS!C:C,MARCAS!A:A)</f>
        <v>F0016</v>
      </c>
      <c r="I415" s="38" t="s">
        <v>1352</v>
      </c>
      <c r="J415" s="37" t="s">
        <v>1353</v>
      </c>
      <c r="K415" s="2" t="s">
        <v>1354</v>
      </c>
    </row>
    <row r="416" spans="1:11" hidden="1" x14ac:dyDescent="0.25">
      <c r="A416" s="2" t="s">
        <v>34</v>
      </c>
      <c r="B416" s="2" t="str">
        <f>_xlfn.XLOOKUP(Tabla1[[#This Row],[SOCIEDAD]],centros!D:D,centros!E:E)</f>
        <v>VC00</v>
      </c>
      <c r="C416" s="2" t="s">
        <v>300</v>
      </c>
      <c r="D416" s="2" t="s">
        <v>19</v>
      </c>
      <c r="E416" s="2" t="str">
        <f>IFERROR(INDEX(centros!$H$2:$H$45,MATCH(TRIM(Tabla1[[#This Row],[SOCIEDAD]])&amp;"|"&amp;TRIM(Tabla1[[#This Row],[LOCALIDAD]]),centros!$G$2:$G$45,0)),"REVISAR")</f>
        <v>VC05</v>
      </c>
      <c r="F416" s="2" t="s">
        <v>54</v>
      </c>
      <c r="G416" s="2" t="str">
        <f>_xlfn.XLOOKUP(Tabla1[[#This Row],[MARCA]],MARCAS!E:E,MARCAS!F:F)</f>
        <v>150</v>
      </c>
      <c r="H416" s="2" t="str">
        <f>_xlfn.XLOOKUP(Tabla1[[#This Row],[MARCA]],MARCAS!C:C,MARCAS!A:A)</f>
        <v>F0016</v>
      </c>
      <c r="I416" s="38" t="s">
        <v>1355</v>
      </c>
      <c r="J416" s="37" t="s">
        <v>1356</v>
      </c>
      <c r="K416" s="2" t="s">
        <v>1357</v>
      </c>
    </row>
    <row r="417" spans="1:11" hidden="1" x14ac:dyDescent="0.25">
      <c r="A417" s="2" t="s">
        <v>34</v>
      </c>
      <c r="B417" s="2" t="str">
        <f>_xlfn.XLOOKUP(Tabla1[[#This Row],[SOCIEDAD]],centros!D:D,centros!E:E)</f>
        <v>VC00</v>
      </c>
      <c r="C417" s="2" t="s">
        <v>263</v>
      </c>
      <c r="D417" s="2" t="s">
        <v>13</v>
      </c>
      <c r="E417" s="2" t="str">
        <f>IFERROR(INDEX(centros!$H$2:$H$45,MATCH(TRIM(Tabla1[[#This Row],[SOCIEDAD]])&amp;"|"&amp;TRIM(Tabla1[[#This Row],[LOCALIDAD]]),centros!$G$2:$G$45,0)),"REVISAR")</f>
        <v>VC01</v>
      </c>
      <c r="F417" s="2" t="s">
        <v>54</v>
      </c>
      <c r="G417" s="2" t="str">
        <f>_xlfn.XLOOKUP(Tabla1[[#This Row],[MARCA]],MARCAS!E:E,MARCAS!F:F)</f>
        <v>150</v>
      </c>
      <c r="H417" s="2" t="str">
        <f>_xlfn.XLOOKUP(Tabla1[[#This Row],[MARCA]],MARCAS!C:C,MARCAS!A:A)</f>
        <v>F0016</v>
      </c>
      <c r="I417" s="38" t="s">
        <v>1358</v>
      </c>
      <c r="J417" s="37" t="s">
        <v>1359</v>
      </c>
      <c r="K417" s="2" t="s">
        <v>1360</v>
      </c>
    </row>
    <row r="418" spans="1:11" hidden="1" x14ac:dyDescent="0.25">
      <c r="A418" s="2" t="s">
        <v>34</v>
      </c>
      <c r="B418" s="2" t="str">
        <f>_xlfn.XLOOKUP(Tabla1[[#This Row],[SOCIEDAD]],centros!D:D,centros!E:E)</f>
        <v>VC00</v>
      </c>
      <c r="C418" s="2" t="s">
        <v>671</v>
      </c>
      <c r="D418" s="2" t="s">
        <v>13</v>
      </c>
      <c r="E418" s="2" t="str">
        <f>IFERROR(INDEX(centros!$H$2:$H$45,MATCH(TRIM(Tabla1[[#This Row],[SOCIEDAD]])&amp;"|"&amp;TRIM(Tabla1[[#This Row],[LOCALIDAD]]),centros!$G$2:$G$45,0)),"REVISAR")</f>
        <v>VC01</v>
      </c>
      <c r="F418" s="2" t="s">
        <v>54</v>
      </c>
      <c r="G418" s="2" t="str">
        <f>_xlfn.XLOOKUP(Tabla1[[#This Row],[MARCA]],MARCAS!E:E,MARCAS!F:F)</f>
        <v>150</v>
      </c>
      <c r="H418" s="2" t="str">
        <f>_xlfn.XLOOKUP(Tabla1[[#This Row],[MARCA]],MARCAS!C:C,MARCAS!A:A)</f>
        <v>F0016</v>
      </c>
      <c r="I418" s="38" t="s">
        <v>1361</v>
      </c>
      <c r="J418" s="37" t="s">
        <v>1362</v>
      </c>
      <c r="K418" s="2" t="s">
        <v>1363</v>
      </c>
    </row>
    <row r="419" spans="1:11" hidden="1" x14ac:dyDescent="0.25">
      <c r="A419" s="2" t="s">
        <v>34</v>
      </c>
      <c r="B419" s="2" t="str">
        <f>_xlfn.XLOOKUP(Tabla1[[#This Row],[SOCIEDAD]],centros!D:D,centros!E:E)</f>
        <v>VC00</v>
      </c>
      <c r="C419" s="2" t="s">
        <v>1027</v>
      </c>
      <c r="D419" s="2" t="s">
        <v>13</v>
      </c>
      <c r="E419" s="2" t="str">
        <f>IFERROR(INDEX(centros!$H$2:$H$45,MATCH(TRIM(Tabla1[[#This Row],[SOCIEDAD]])&amp;"|"&amp;TRIM(Tabla1[[#This Row],[LOCALIDAD]]),centros!$G$2:$G$45,0)),"REVISAR")</f>
        <v>VC01</v>
      </c>
      <c r="F419" s="2" t="s">
        <v>54</v>
      </c>
      <c r="G419" s="2" t="str">
        <f>_xlfn.XLOOKUP(Tabla1[[#This Row],[MARCA]],MARCAS!E:E,MARCAS!F:F)</f>
        <v>150</v>
      </c>
      <c r="H419" s="2" t="str">
        <f>_xlfn.XLOOKUP(Tabla1[[#This Row],[MARCA]],MARCAS!C:C,MARCAS!A:A)</f>
        <v>F0016</v>
      </c>
      <c r="I419" s="38" t="s">
        <v>1364</v>
      </c>
      <c r="J419" s="37" t="s">
        <v>1365</v>
      </c>
      <c r="K419" s="2" t="s">
        <v>1366</v>
      </c>
    </row>
    <row r="420" spans="1:11" hidden="1" x14ac:dyDescent="0.25">
      <c r="A420" s="2" t="s">
        <v>34</v>
      </c>
      <c r="B420" s="2" t="str">
        <f>_xlfn.XLOOKUP(Tabla1[[#This Row],[SOCIEDAD]],centros!D:D,centros!E:E)</f>
        <v>VC00</v>
      </c>
      <c r="C420" s="2" t="s">
        <v>300</v>
      </c>
      <c r="D420" s="2" t="s">
        <v>13</v>
      </c>
      <c r="E420" s="2" t="str">
        <f>IFERROR(INDEX(centros!$H$2:$H$45,MATCH(TRIM(Tabla1[[#This Row],[SOCIEDAD]])&amp;"|"&amp;TRIM(Tabla1[[#This Row],[LOCALIDAD]]),centros!$G$2:$G$45,0)),"REVISAR")</f>
        <v>VC01</v>
      </c>
      <c r="F420" s="2" t="s">
        <v>54</v>
      </c>
      <c r="G420" s="2" t="str">
        <f>_xlfn.XLOOKUP(Tabla1[[#This Row],[MARCA]],MARCAS!E:E,MARCAS!F:F)</f>
        <v>150</v>
      </c>
      <c r="H420" s="2" t="str">
        <f>_xlfn.XLOOKUP(Tabla1[[#This Row],[MARCA]],MARCAS!C:C,MARCAS!A:A)</f>
        <v>F0016</v>
      </c>
      <c r="I420" s="38" t="s">
        <v>1367</v>
      </c>
      <c r="J420" s="37" t="s">
        <v>1368</v>
      </c>
      <c r="K420" s="2" t="s">
        <v>1369</v>
      </c>
    </row>
    <row r="421" spans="1:11" hidden="1" x14ac:dyDescent="0.25">
      <c r="A421" s="2" t="s">
        <v>34</v>
      </c>
      <c r="B421" s="2" t="str">
        <f>_xlfn.XLOOKUP(Tabla1[[#This Row],[SOCIEDAD]],centros!D:D,centros!E:E)</f>
        <v>VC00</v>
      </c>
      <c r="C421" s="2" t="s">
        <v>263</v>
      </c>
      <c r="D421" s="2" t="s">
        <v>23</v>
      </c>
      <c r="E421" s="2" t="str">
        <f>IFERROR(INDEX(centros!$H$2:$H$45,MATCH(TRIM(Tabla1[[#This Row],[SOCIEDAD]])&amp;"|"&amp;TRIM(Tabla1[[#This Row],[LOCALIDAD]]),centros!$G$2:$G$45,0)),"REVISAR")</f>
        <v>VC06</v>
      </c>
      <c r="F421" s="2" t="s">
        <v>54</v>
      </c>
      <c r="G421" s="2" t="str">
        <f>_xlfn.XLOOKUP(Tabla1[[#This Row],[MARCA]],MARCAS!E:E,MARCAS!F:F)</f>
        <v>150</v>
      </c>
      <c r="H421" s="2" t="str">
        <f>_xlfn.XLOOKUP(Tabla1[[#This Row],[MARCA]],MARCAS!C:C,MARCAS!A:A)</f>
        <v>F0016</v>
      </c>
      <c r="I421" s="38" t="s">
        <v>1370</v>
      </c>
      <c r="J421" s="37" t="s">
        <v>1371</v>
      </c>
      <c r="K421" s="2" t="s">
        <v>1372</v>
      </c>
    </row>
    <row r="422" spans="1:11" hidden="1" x14ac:dyDescent="0.25">
      <c r="A422" s="2" t="s">
        <v>34</v>
      </c>
      <c r="B422" s="2" t="str">
        <f>_xlfn.XLOOKUP(Tabla1[[#This Row],[SOCIEDAD]],centros!D:D,centros!E:E)</f>
        <v>VC00</v>
      </c>
      <c r="C422" s="2" t="s">
        <v>671</v>
      </c>
      <c r="D422" s="2" t="s">
        <v>23</v>
      </c>
      <c r="E422" s="2" t="str">
        <f>IFERROR(INDEX(centros!$H$2:$H$45,MATCH(TRIM(Tabla1[[#This Row],[SOCIEDAD]])&amp;"|"&amp;TRIM(Tabla1[[#This Row],[LOCALIDAD]]),centros!$G$2:$G$45,0)),"REVISAR")</f>
        <v>VC06</v>
      </c>
      <c r="F422" s="2" t="s">
        <v>54</v>
      </c>
      <c r="G422" s="2" t="str">
        <f>_xlfn.XLOOKUP(Tabla1[[#This Row],[MARCA]],MARCAS!E:E,MARCAS!F:F)</f>
        <v>150</v>
      </c>
      <c r="H422" s="2" t="str">
        <f>_xlfn.XLOOKUP(Tabla1[[#This Row],[MARCA]],MARCAS!C:C,MARCAS!A:A)</f>
        <v>F0016</v>
      </c>
      <c r="I422" s="38" t="s">
        <v>1373</v>
      </c>
      <c r="J422" s="37" t="s">
        <v>1374</v>
      </c>
      <c r="K422" s="2" t="s">
        <v>1375</v>
      </c>
    </row>
    <row r="423" spans="1:11" hidden="1" x14ac:dyDescent="0.25">
      <c r="A423" s="2" t="s">
        <v>34</v>
      </c>
      <c r="B423" s="2" t="str">
        <f>_xlfn.XLOOKUP(Tabla1[[#This Row],[SOCIEDAD]],centros!D:D,centros!E:E)</f>
        <v>VC00</v>
      </c>
      <c r="C423" s="2" t="s">
        <v>1027</v>
      </c>
      <c r="D423" s="2" t="s">
        <v>23</v>
      </c>
      <c r="E423" s="2" t="str">
        <f>IFERROR(INDEX(centros!$H$2:$H$45,MATCH(TRIM(Tabla1[[#This Row],[SOCIEDAD]])&amp;"|"&amp;TRIM(Tabla1[[#This Row],[LOCALIDAD]]),centros!$G$2:$G$45,0)),"REVISAR")</f>
        <v>VC06</v>
      </c>
      <c r="F423" s="2" t="s">
        <v>54</v>
      </c>
      <c r="G423" s="2" t="str">
        <f>_xlfn.XLOOKUP(Tabla1[[#This Row],[MARCA]],MARCAS!E:E,MARCAS!F:F)</f>
        <v>150</v>
      </c>
      <c r="H423" s="2" t="str">
        <f>_xlfn.XLOOKUP(Tabla1[[#This Row],[MARCA]],MARCAS!C:C,MARCAS!A:A)</f>
        <v>F0016</v>
      </c>
      <c r="I423" s="38" t="s">
        <v>1376</v>
      </c>
      <c r="J423" s="37" t="s">
        <v>1377</v>
      </c>
      <c r="K423" s="2" t="s">
        <v>1378</v>
      </c>
    </row>
    <row r="424" spans="1:11" hidden="1" x14ac:dyDescent="0.25">
      <c r="A424" s="2" t="s">
        <v>34</v>
      </c>
      <c r="B424" s="2" t="str">
        <f>_xlfn.XLOOKUP(Tabla1[[#This Row],[SOCIEDAD]],centros!D:D,centros!E:E)</f>
        <v>VC00</v>
      </c>
      <c r="C424" s="2" t="s">
        <v>300</v>
      </c>
      <c r="D424" s="2" t="s">
        <v>23</v>
      </c>
      <c r="E424" s="2" t="str">
        <f>IFERROR(INDEX(centros!$H$2:$H$45,MATCH(TRIM(Tabla1[[#This Row],[SOCIEDAD]])&amp;"|"&amp;TRIM(Tabla1[[#This Row],[LOCALIDAD]]),centros!$G$2:$G$45,0)),"REVISAR")</f>
        <v>VC06</v>
      </c>
      <c r="F424" s="2" t="s">
        <v>54</v>
      </c>
      <c r="G424" s="2" t="str">
        <f>_xlfn.XLOOKUP(Tabla1[[#This Row],[MARCA]],MARCAS!E:E,MARCAS!F:F)</f>
        <v>150</v>
      </c>
      <c r="H424" s="2" t="str">
        <f>_xlfn.XLOOKUP(Tabla1[[#This Row],[MARCA]],MARCAS!C:C,MARCAS!A:A)</f>
        <v>F0016</v>
      </c>
      <c r="I424" s="38" t="s">
        <v>1379</v>
      </c>
      <c r="J424" s="37" t="s">
        <v>1380</v>
      </c>
      <c r="K424" s="2" t="s">
        <v>1381</v>
      </c>
    </row>
    <row r="425" spans="1:11" hidden="1" x14ac:dyDescent="0.25">
      <c r="A425" s="2" t="s">
        <v>34</v>
      </c>
      <c r="B425" s="2" t="str">
        <f>_xlfn.XLOOKUP(Tabla1[[#This Row],[SOCIEDAD]],centros!D:D,centros!E:E)</f>
        <v>VC00</v>
      </c>
      <c r="C425" s="2" t="s">
        <v>263</v>
      </c>
      <c r="D425" s="2" t="s">
        <v>32</v>
      </c>
      <c r="E425" s="2" t="str">
        <f>IFERROR(INDEX(centros!$H$2:$H$45,MATCH(TRIM(Tabla1[[#This Row],[SOCIEDAD]])&amp;"|"&amp;TRIM(Tabla1[[#This Row],[LOCALIDAD]]),centros!$G$2:$G$45,0)),"REVISAR")</f>
        <v>VC03</v>
      </c>
      <c r="F425" s="2" t="s">
        <v>54</v>
      </c>
      <c r="G425" s="2" t="str">
        <f>_xlfn.XLOOKUP(Tabla1[[#This Row],[MARCA]],MARCAS!E:E,MARCAS!F:F)</f>
        <v>150</v>
      </c>
      <c r="H425" s="2" t="str">
        <f>_xlfn.XLOOKUP(Tabla1[[#This Row],[MARCA]],MARCAS!C:C,MARCAS!A:A)</f>
        <v>F0016</v>
      </c>
      <c r="I425" s="38" t="s">
        <v>1382</v>
      </c>
      <c r="J425" s="37" t="s">
        <v>1383</v>
      </c>
      <c r="K425" s="2" t="s">
        <v>1384</v>
      </c>
    </row>
    <row r="426" spans="1:11" hidden="1" x14ac:dyDescent="0.25">
      <c r="A426" s="2" t="s">
        <v>34</v>
      </c>
      <c r="B426" s="2" t="str">
        <f>_xlfn.XLOOKUP(Tabla1[[#This Row],[SOCIEDAD]],centros!D:D,centros!E:E)</f>
        <v>VC00</v>
      </c>
      <c r="C426" s="2" t="s">
        <v>671</v>
      </c>
      <c r="D426" s="2" t="s">
        <v>32</v>
      </c>
      <c r="E426" s="2" t="str">
        <f>IFERROR(INDEX(centros!$H$2:$H$45,MATCH(TRIM(Tabla1[[#This Row],[SOCIEDAD]])&amp;"|"&amp;TRIM(Tabla1[[#This Row],[LOCALIDAD]]),centros!$G$2:$G$45,0)),"REVISAR")</f>
        <v>VC03</v>
      </c>
      <c r="F426" s="2" t="s">
        <v>54</v>
      </c>
      <c r="G426" s="2" t="str">
        <f>_xlfn.XLOOKUP(Tabla1[[#This Row],[MARCA]],MARCAS!E:E,MARCAS!F:F)</f>
        <v>150</v>
      </c>
      <c r="H426" s="2" t="str">
        <f>_xlfn.XLOOKUP(Tabla1[[#This Row],[MARCA]],MARCAS!C:C,MARCAS!A:A)</f>
        <v>F0016</v>
      </c>
      <c r="I426" s="38" t="s">
        <v>1385</v>
      </c>
      <c r="J426" s="37" t="s">
        <v>1386</v>
      </c>
      <c r="K426" s="2" t="s">
        <v>1387</v>
      </c>
    </row>
    <row r="427" spans="1:11" hidden="1" x14ac:dyDescent="0.25">
      <c r="A427" s="2" t="s">
        <v>34</v>
      </c>
      <c r="B427" s="2" t="str">
        <f>_xlfn.XLOOKUP(Tabla1[[#This Row],[SOCIEDAD]],centros!D:D,centros!E:E)</f>
        <v>VC00</v>
      </c>
      <c r="C427" s="2" t="s">
        <v>1027</v>
      </c>
      <c r="D427" s="2" t="s">
        <v>32</v>
      </c>
      <c r="E427" s="2" t="str">
        <f>IFERROR(INDEX(centros!$H$2:$H$45,MATCH(TRIM(Tabla1[[#This Row],[SOCIEDAD]])&amp;"|"&amp;TRIM(Tabla1[[#This Row],[LOCALIDAD]]),centros!$G$2:$G$45,0)),"REVISAR")</f>
        <v>VC03</v>
      </c>
      <c r="F427" s="2" t="s">
        <v>54</v>
      </c>
      <c r="G427" s="2" t="str">
        <f>_xlfn.XLOOKUP(Tabla1[[#This Row],[MARCA]],MARCAS!E:E,MARCAS!F:F)</f>
        <v>150</v>
      </c>
      <c r="H427" s="2" t="str">
        <f>_xlfn.XLOOKUP(Tabla1[[#This Row],[MARCA]],MARCAS!C:C,MARCAS!A:A)</f>
        <v>F0016</v>
      </c>
      <c r="I427" s="38" t="s">
        <v>1388</v>
      </c>
      <c r="J427" s="37" t="s">
        <v>1389</v>
      </c>
      <c r="K427" s="2" t="s">
        <v>1390</v>
      </c>
    </row>
    <row r="428" spans="1:11" hidden="1" x14ac:dyDescent="0.25">
      <c r="A428" s="2" t="s">
        <v>34</v>
      </c>
      <c r="B428" s="2" t="str">
        <f>_xlfn.XLOOKUP(Tabla1[[#This Row],[SOCIEDAD]],centros!D:D,centros!E:E)</f>
        <v>VC00</v>
      </c>
      <c r="C428" s="2" t="s">
        <v>300</v>
      </c>
      <c r="D428" s="2" t="s">
        <v>32</v>
      </c>
      <c r="E428" s="2" t="str">
        <f>IFERROR(INDEX(centros!$H$2:$H$45,MATCH(TRIM(Tabla1[[#This Row],[SOCIEDAD]])&amp;"|"&amp;TRIM(Tabla1[[#This Row],[LOCALIDAD]]),centros!$G$2:$G$45,0)),"REVISAR")</f>
        <v>VC03</v>
      </c>
      <c r="F428" s="2" t="s">
        <v>54</v>
      </c>
      <c r="G428" s="2" t="str">
        <f>_xlfn.XLOOKUP(Tabla1[[#This Row],[MARCA]],MARCAS!E:E,MARCAS!F:F)</f>
        <v>150</v>
      </c>
      <c r="H428" s="2" t="str">
        <f>_xlfn.XLOOKUP(Tabla1[[#This Row],[MARCA]],MARCAS!C:C,MARCAS!A:A)</f>
        <v>F0016</v>
      </c>
      <c r="I428" s="38" t="s">
        <v>1391</v>
      </c>
      <c r="J428" s="37" t="s">
        <v>1392</v>
      </c>
      <c r="K428" s="2" t="s">
        <v>1393</v>
      </c>
    </row>
    <row r="429" spans="1:11" hidden="1" x14ac:dyDescent="0.25">
      <c r="A429" s="2" t="s">
        <v>34</v>
      </c>
      <c r="B429" s="2" t="str">
        <f>_xlfn.XLOOKUP(Tabla1[[#This Row],[SOCIEDAD]],centros!D:D,centros!E:E)</f>
        <v>VC00</v>
      </c>
      <c r="C429" s="2" t="s">
        <v>263</v>
      </c>
      <c r="D429" s="2" t="s">
        <v>33</v>
      </c>
      <c r="E429" s="2" t="str">
        <f>IFERROR(INDEX(centros!$H$2:$H$45,MATCH(TRIM(Tabla1[[#This Row],[SOCIEDAD]])&amp;"|"&amp;TRIM(Tabla1[[#This Row],[LOCALIDAD]]),centros!$G$2:$G$45,0)),"REVISAR")</f>
        <v>VC07</v>
      </c>
      <c r="F429" s="2" t="s">
        <v>54</v>
      </c>
      <c r="G429" s="2" t="str">
        <f>_xlfn.XLOOKUP(Tabla1[[#This Row],[MARCA]],MARCAS!E:E,MARCAS!F:F)</f>
        <v>150</v>
      </c>
      <c r="H429" s="2" t="str">
        <f>_xlfn.XLOOKUP(Tabla1[[#This Row],[MARCA]],MARCAS!C:C,MARCAS!A:A)</f>
        <v>F0016</v>
      </c>
      <c r="I429" s="38" t="s">
        <v>1394</v>
      </c>
      <c r="J429" s="37" t="s">
        <v>1395</v>
      </c>
      <c r="K429" s="2" t="s">
        <v>1396</v>
      </c>
    </row>
    <row r="430" spans="1:11" hidden="1" x14ac:dyDescent="0.25">
      <c r="A430" s="2" t="s">
        <v>34</v>
      </c>
      <c r="B430" s="2" t="str">
        <f>_xlfn.XLOOKUP(Tabla1[[#This Row],[SOCIEDAD]],centros!D:D,centros!E:E)</f>
        <v>VC00</v>
      </c>
      <c r="C430" s="2" t="s">
        <v>671</v>
      </c>
      <c r="D430" s="2" t="s">
        <v>33</v>
      </c>
      <c r="E430" s="2" t="str">
        <f>IFERROR(INDEX(centros!$H$2:$H$45,MATCH(TRIM(Tabla1[[#This Row],[SOCIEDAD]])&amp;"|"&amp;TRIM(Tabla1[[#This Row],[LOCALIDAD]]),centros!$G$2:$G$45,0)),"REVISAR")</f>
        <v>VC07</v>
      </c>
      <c r="F430" s="2" t="s">
        <v>54</v>
      </c>
      <c r="G430" s="2" t="str">
        <f>_xlfn.XLOOKUP(Tabla1[[#This Row],[MARCA]],MARCAS!E:E,MARCAS!F:F)</f>
        <v>150</v>
      </c>
      <c r="H430" s="2" t="str">
        <f>_xlfn.XLOOKUP(Tabla1[[#This Row],[MARCA]],MARCAS!C:C,MARCAS!A:A)</f>
        <v>F0016</v>
      </c>
      <c r="I430" s="38" t="s">
        <v>1397</v>
      </c>
      <c r="J430" s="37" t="s">
        <v>1398</v>
      </c>
      <c r="K430" s="2" t="s">
        <v>1399</v>
      </c>
    </row>
    <row r="431" spans="1:11" hidden="1" x14ac:dyDescent="0.25">
      <c r="A431" s="2" t="s">
        <v>34</v>
      </c>
      <c r="B431" s="2" t="str">
        <f>_xlfn.XLOOKUP(Tabla1[[#This Row],[SOCIEDAD]],centros!D:D,centros!E:E)</f>
        <v>VC00</v>
      </c>
      <c r="C431" s="2" t="s">
        <v>1027</v>
      </c>
      <c r="D431" s="2" t="s">
        <v>33</v>
      </c>
      <c r="E431" s="2" t="str">
        <f>IFERROR(INDEX(centros!$H$2:$H$45,MATCH(TRIM(Tabla1[[#This Row],[SOCIEDAD]])&amp;"|"&amp;TRIM(Tabla1[[#This Row],[LOCALIDAD]]),centros!$G$2:$G$45,0)),"REVISAR")</f>
        <v>VC07</v>
      </c>
      <c r="F431" s="2" t="s">
        <v>54</v>
      </c>
      <c r="G431" s="2" t="str">
        <f>_xlfn.XLOOKUP(Tabla1[[#This Row],[MARCA]],MARCAS!E:E,MARCAS!F:F)</f>
        <v>150</v>
      </c>
      <c r="H431" s="2" t="str">
        <f>_xlfn.XLOOKUP(Tabla1[[#This Row],[MARCA]],MARCAS!C:C,MARCAS!A:A)</f>
        <v>F0016</v>
      </c>
      <c r="I431" s="38" t="s">
        <v>1400</v>
      </c>
      <c r="J431" s="37" t="s">
        <v>1401</v>
      </c>
      <c r="K431" s="2" t="s">
        <v>1402</v>
      </c>
    </row>
    <row r="432" spans="1:11" hidden="1" x14ac:dyDescent="0.25">
      <c r="A432" s="2" t="s">
        <v>34</v>
      </c>
      <c r="B432" s="2" t="str">
        <f>_xlfn.XLOOKUP(Tabla1[[#This Row],[SOCIEDAD]],centros!D:D,centros!E:E)</f>
        <v>VC00</v>
      </c>
      <c r="C432" s="2" t="s">
        <v>300</v>
      </c>
      <c r="D432" s="2" t="s">
        <v>33</v>
      </c>
      <c r="E432" s="2" t="str">
        <f>IFERROR(INDEX(centros!$H$2:$H$45,MATCH(TRIM(Tabla1[[#This Row],[SOCIEDAD]])&amp;"|"&amp;TRIM(Tabla1[[#This Row],[LOCALIDAD]]),centros!$G$2:$G$45,0)),"REVISAR")</f>
        <v>VC07</v>
      </c>
      <c r="F432" s="2" t="s">
        <v>54</v>
      </c>
      <c r="G432" s="2" t="str">
        <f>_xlfn.XLOOKUP(Tabla1[[#This Row],[MARCA]],MARCAS!E:E,MARCAS!F:F)</f>
        <v>150</v>
      </c>
      <c r="H432" s="2" t="str">
        <f>_xlfn.XLOOKUP(Tabla1[[#This Row],[MARCA]],MARCAS!C:C,MARCAS!A:A)</f>
        <v>F0016</v>
      </c>
      <c r="I432" s="38" t="s">
        <v>1403</v>
      </c>
      <c r="J432" s="37" t="s">
        <v>1404</v>
      </c>
      <c r="K432" s="2" t="s">
        <v>1405</v>
      </c>
    </row>
    <row r="433" spans="1:11" hidden="1" x14ac:dyDescent="0.25">
      <c r="A433" s="2" t="s">
        <v>34</v>
      </c>
      <c r="B433" s="2" t="str">
        <f>_xlfn.XLOOKUP(Tabla1[[#This Row],[SOCIEDAD]],centros!D:D,centros!E:E)</f>
        <v>VC00</v>
      </c>
      <c r="C433" s="2" t="s">
        <v>263</v>
      </c>
      <c r="D433" s="2" t="s">
        <v>15</v>
      </c>
      <c r="E433" s="2" t="str">
        <f>IFERROR(INDEX(centros!$H$2:$H$45,MATCH(TRIM(Tabla1[[#This Row],[SOCIEDAD]])&amp;"|"&amp;TRIM(Tabla1[[#This Row],[LOCALIDAD]]),centros!$G$2:$G$45,0)),"REVISAR")</f>
        <v>VC02</v>
      </c>
      <c r="F433" s="2" t="s">
        <v>105</v>
      </c>
      <c r="G433" s="2" t="str">
        <f>_xlfn.XLOOKUP(Tabla1[[#This Row],[MARCA]],MARCAS!E:E,MARCAS!F:F)</f>
        <v>280</v>
      </c>
      <c r="H433" s="2" t="str">
        <f>_xlfn.XLOOKUP(Tabla1[[#This Row],[MARCA]],MARCAS!C:C,MARCAS!A:A)</f>
        <v>F9999</v>
      </c>
      <c r="I433" s="38" t="s">
        <v>1406</v>
      </c>
      <c r="J433" s="37" t="s">
        <v>1407</v>
      </c>
      <c r="K433" s="2" t="s">
        <v>583</v>
      </c>
    </row>
    <row r="434" spans="1:11" hidden="1" x14ac:dyDescent="0.25">
      <c r="A434" s="2" t="s">
        <v>34</v>
      </c>
      <c r="B434" s="2" t="str">
        <f>_xlfn.XLOOKUP(Tabla1[[#This Row],[SOCIEDAD]],centros!D:D,centros!E:E)</f>
        <v>VC00</v>
      </c>
      <c r="C434" s="2" t="s">
        <v>671</v>
      </c>
      <c r="D434" s="2" t="s">
        <v>15</v>
      </c>
      <c r="E434" s="2" t="str">
        <f>IFERROR(INDEX(centros!$H$2:$H$45,MATCH(TRIM(Tabla1[[#This Row],[SOCIEDAD]])&amp;"|"&amp;TRIM(Tabla1[[#This Row],[LOCALIDAD]]),centros!$G$2:$G$45,0)),"REVISAR")</f>
        <v>VC02</v>
      </c>
      <c r="F434" s="2" t="s">
        <v>105</v>
      </c>
      <c r="G434" s="2" t="str">
        <f>_xlfn.XLOOKUP(Tabla1[[#This Row],[MARCA]],MARCAS!E:E,MARCAS!F:F)</f>
        <v>280</v>
      </c>
      <c r="H434" s="2" t="str">
        <f>_xlfn.XLOOKUP(Tabla1[[#This Row],[MARCA]],MARCAS!C:C,MARCAS!A:A)</f>
        <v>F9999</v>
      </c>
      <c r="I434" s="38" t="s">
        <v>1408</v>
      </c>
      <c r="J434" s="37" t="s">
        <v>1409</v>
      </c>
      <c r="K434" s="2" t="s">
        <v>683</v>
      </c>
    </row>
    <row r="435" spans="1:11" hidden="1" x14ac:dyDescent="0.25">
      <c r="A435" s="2" t="s">
        <v>34</v>
      </c>
      <c r="B435" s="2" t="str">
        <f>_xlfn.XLOOKUP(Tabla1[[#This Row],[SOCIEDAD]],centros!D:D,centros!E:E)</f>
        <v>VC00</v>
      </c>
      <c r="C435" s="2" t="s">
        <v>1027</v>
      </c>
      <c r="D435" s="2" t="s">
        <v>15</v>
      </c>
      <c r="E435" s="2" t="str">
        <f>IFERROR(INDEX(centros!$H$2:$H$45,MATCH(TRIM(Tabla1[[#This Row],[SOCIEDAD]])&amp;"|"&amp;TRIM(Tabla1[[#This Row],[LOCALIDAD]]),centros!$G$2:$G$45,0)),"REVISAR")</f>
        <v>VC02</v>
      </c>
      <c r="F435" s="2" t="s">
        <v>105</v>
      </c>
      <c r="G435" s="2" t="str">
        <f>_xlfn.XLOOKUP(Tabla1[[#This Row],[MARCA]],MARCAS!E:E,MARCAS!F:F)</f>
        <v>280</v>
      </c>
      <c r="H435" s="2" t="str">
        <f>_xlfn.XLOOKUP(Tabla1[[#This Row],[MARCA]],MARCAS!C:C,MARCAS!A:A)</f>
        <v>F9999</v>
      </c>
      <c r="I435" s="38" t="s">
        <v>1410</v>
      </c>
      <c r="J435" s="37" t="s">
        <v>1411</v>
      </c>
      <c r="K435" s="2" t="s">
        <v>1412</v>
      </c>
    </row>
    <row r="436" spans="1:11" hidden="1" x14ac:dyDescent="0.25">
      <c r="A436" s="2" t="s">
        <v>34</v>
      </c>
      <c r="B436" s="2" t="str">
        <f>_xlfn.XLOOKUP(Tabla1[[#This Row],[SOCIEDAD]],centros!D:D,centros!E:E)</f>
        <v>VC00</v>
      </c>
      <c r="C436" s="2" t="s">
        <v>300</v>
      </c>
      <c r="D436" s="2" t="s">
        <v>15</v>
      </c>
      <c r="E436" s="2" t="str">
        <f>IFERROR(INDEX(centros!$H$2:$H$45,MATCH(TRIM(Tabla1[[#This Row],[SOCIEDAD]])&amp;"|"&amp;TRIM(Tabla1[[#This Row],[LOCALIDAD]]),centros!$G$2:$G$45,0)),"REVISAR")</f>
        <v>VC02</v>
      </c>
      <c r="F436" s="2" t="s">
        <v>105</v>
      </c>
      <c r="G436" s="2" t="str">
        <f>_xlfn.XLOOKUP(Tabla1[[#This Row],[MARCA]],MARCAS!E:E,MARCAS!F:F)</f>
        <v>280</v>
      </c>
      <c r="H436" s="2" t="str">
        <f>_xlfn.XLOOKUP(Tabla1[[#This Row],[MARCA]],MARCAS!C:C,MARCAS!A:A)</f>
        <v>F9999</v>
      </c>
      <c r="I436" s="38" t="s">
        <v>1413</v>
      </c>
      <c r="J436" s="37" t="s">
        <v>1414</v>
      </c>
      <c r="K436" s="2" t="s">
        <v>481</v>
      </c>
    </row>
    <row r="437" spans="1:11" hidden="1" x14ac:dyDescent="0.25">
      <c r="A437" s="2" t="s">
        <v>34</v>
      </c>
      <c r="B437" s="2" t="str">
        <f>_xlfn.XLOOKUP(Tabla1[[#This Row],[SOCIEDAD]],centros!D:D,centros!E:E)</f>
        <v>VC00</v>
      </c>
      <c r="C437" s="2" t="s">
        <v>263</v>
      </c>
      <c r="D437" s="2" t="s">
        <v>11</v>
      </c>
      <c r="E437" s="2" t="str">
        <f>IFERROR(INDEX(centros!$H$2:$H$45,MATCH(TRIM(Tabla1[[#This Row],[SOCIEDAD]])&amp;"|"&amp;TRIM(Tabla1[[#This Row],[LOCALIDAD]]),centros!$G$2:$G$45,0)),"REVISAR")</f>
        <v>VC00</v>
      </c>
      <c r="F437" s="2" t="s">
        <v>105</v>
      </c>
      <c r="G437" s="2" t="str">
        <f>_xlfn.XLOOKUP(Tabla1[[#This Row],[MARCA]],MARCAS!E:E,MARCAS!F:F)</f>
        <v>280</v>
      </c>
      <c r="H437" s="2" t="str">
        <f>_xlfn.XLOOKUP(Tabla1[[#This Row],[MARCA]],MARCAS!C:C,MARCAS!A:A)</f>
        <v>F9999</v>
      </c>
      <c r="I437" s="38" t="s">
        <v>1415</v>
      </c>
      <c r="J437" s="37" t="s">
        <v>1416</v>
      </c>
      <c r="K437" s="2" t="s">
        <v>296</v>
      </c>
    </row>
    <row r="438" spans="1:11" hidden="1" x14ac:dyDescent="0.25">
      <c r="A438" s="2" t="s">
        <v>34</v>
      </c>
      <c r="B438" s="2" t="str">
        <f>_xlfn.XLOOKUP(Tabla1[[#This Row],[SOCIEDAD]],centros!D:D,centros!E:E)</f>
        <v>VC00</v>
      </c>
      <c r="C438" s="2" t="s">
        <v>671</v>
      </c>
      <c r="D438" s="2" t="s">
        <v>11</v>
      </c>
      <c r="E438" s="2" t="str">
        <f>IFERROR(INDEX(centros!$H$2:$H$45,MATCH(TRIM(Tabla1[[#This Row],[SOCIEDAD]])&amp;"|"&amp;TRIM(Tabla1[[#This Row],[LOCALIDAD]]),centros!$G$2:$G$45,0)),"REVISAR")</f>
        <v>VC00</v>
      </c>
      <c r="F438" s="2" t="s">
        <v>105</v>
      </c>
      <c r="G438" s="2" t="str">
        <f>_xlfn.XLOOKUP(Tabla1[[#This Row],[MARCA]],MARCAS!E:E,MARCAS!F:F)</f>
        <v>280</v>
      </c>
      <c r="H438" s="2" t="str">
        <f>_xlfn.XLOOKUP(Tabla1[[#This Row],[MARCA]],MARCAS!C:C,MARCAS!A:A)</f>
        <v>F9999</v>
      </c>
      <c r="I438" s="38" t="s">
        <v>1417</v>
      </c>
      <c r="J438" s="37" t="s">
        <v>1418</v>
      </c>
      <c r="K438" s="2" t="s">
        <v>743</v>
      </c>
    </row>
    <row r="439" spans="1:11" hidden="1" x14ac:dyDescent="0.25">
      <c r="A439" s="2" t="s">
        <v>34</v>
      </c>
      <c r="B439" s="2" t="str">
        <f>_xlfn.XLOOKUP(Tabla1[[#This Row],[SOCIEDAD]],centros!D:D,centros!E:E)</f>
        <v>VC00</v>
      </c>
      <c r="C439" s="2" t="s">
        <v>1027</v>
      </c>
      <c r="D439" s="2" t="s">
        <v>11</v>
      </c>
      <c r="E439" s="2" t="str">
        <f>IFERROR(INDEX(centros!$H$2:$H$45,MATCH(TRIM(Tabla1[[#This Row],[SOCIEDAD]])&amp;"|"&amp;TRIM(Tabla1[[#This Row],[LOCALIDAD]]),centros!$G$2:$G$45,0)),"REVISAR")</f>
        <v>VC00</v>
      </c>
      <c r="F439" s="2" t="s">
        <v>105</v>
      </c>
      <c r="G439" s="2" t="str">
        <f>_xlfn.XLOOKUP(Tabla1[[#This Row],[MARCA]],MARCAS!E:E,MARCAS!F:F)</f>
        <v>280</v>
      </c>
      <c r="H439" s="2" t="str">
        <f>_xlfn.XLOOKUP(Tabla1[[#This Row],[MARCA]],MARCAS!C:C,MARCAS!A:A)</f>
        <v>F9999</v>
      </c>
      <c r="I439" s="38" t="s">
        <v>1419</v>
      </c>
      <c r="J439" s="37" t="s">
        <v>1420</v>
      </c>
      <c r="K439" s="2" t="s">
        <v>1421</v>
      </c>
    </row>
    <row r="440" spans="1:11" hidden="1" x14ac:dyDescent="0.25">
      <c r="A440" s="2" t="s">
        <v>34</v>
      </c>
      <c r="B440" s="2" t="str">
        <f>_xlfn.XLOOKUP(Tabla1[[#This Row],[SOCIEDAD]],centros!D:D,centros!E:E)</f>
        <v>VC00</v>
      </c>
      <c r="C440" s="2" t="s">
        <v>300</v>
      </c>
      <c r="D440" s="2" t="s">
        <v>11</v>
      </c>
      <c r="E440" s="2" t="str">
        <f>IFERROR(INDEX(centros!$H$2:$H$45,MATCH(TRIM(Tabla1[[#This Row],[SOCIEDAD]])&amp;"|"&amp;TRIM(Tabla1[[#This Row],[LOCALIDAD]]),centros!$G$2:$G$45,0)),"REVISAR")</f>
        <v>VC00</v>
      </c>
      <c r="F440" s="2" t="s">
        <v>105</v>
      </c>
      <c r="G440" s="2" t="str">
        <f>_xlfn.XLOOKUP(Tabla1[[#This Row],[MARCA]],MARCAS!E:E,MARCAS!F:F)</f>
        <v>280</v>
      </c>
      <c r="H440" s="2" t="str">
        <f>_xlfn.XLOOKUP(Tabla1[[#This Row],[MARCA]],MARCAS!C:C,MARCAS!A:A)</f>
        <v>F9999</v>
      </c>
      <c r="I440" s="38" t="s">
        <v>1422</v>
      </c>
      <c r="J440" s="37" t="s">
        <v>1423</v>
      </c>
      <c r="K440" s="2" t="s">
        <v>357</v>
      </c>
    </row>
    <row r="441" spans="1:11" hidden="1" x14ac:dyDescent="0.25">
      <c r="A441" s="2" t="s">
        <v>34</v>
      </c>
      <c r="B441" s="2" t="str">
        <f>_xlfn.XLOOKUP(Tabla1[[#This Row],[SOCIEDAD]],centros!D:D,centros!E:E)</f>
        <v>VC00</v>
      </c>
      <c r="C441" s="2" t="s">
        <v>263</v>
      </c>
      <c r="D441" s="2" t="s">
        <v>17</v>
      </c>
      <c r="E441" s="2" t="str">
        <f>IFERROR(INDEX(centros!$H$2:$H$45,MATCH(TRIM(Tabla1[[#This Row],[SOCIEDAD]])&amp;"|"&amp;TRIM(Tabla1[[#This Row],[LOCALIDAD]]),centros!$G$2:$G$45,0)),"REVISAR")</f>
        <v>VC04</v>
      </c>
      <c r="F441" s="2" t="s">
        <v>105</v>
      </c>
      <c r="G441" s="2" t="str">
        <f>_xlfn.XLOOKUP(Tabla1[[#This Row],[MARCA]],MARCAS!E:E,MARCAS!F:F)</f>
        <v>280</v>
      </c>
      <c r="H441" s="2" t="str">
        <f>_xlfn.XLOOKUP(Tabla1[[#This Row],[MARCA]],MARCAS!C:C,MARCAS!A:A)</f>
        <v>F9999</v>
      </c>
      <c r="I441" s="38" t="s">
        <v>1424</v>
      </c>
      <c r="J441" s="37" t="s">
        <v>1425</v>
      </c>
      <c r="K441" s="2" t="s">
        <v>613</v>
      </c>
    </row>
    <row r="442" spans="1:11" hidden="1" x14ac:dyDescent="0.25">
      <c r="A442" s="2" t="s">
        <v>34</v>
      </c>
      <c r="B442" s="2" t="str">
        <f>_xlfn.XLOOKUP(Tabla1[[#This Row],[SOCIEDAD]],centros!D:D,centros!E:E)</f>
        <v>VC00</v>
      </c>
      <c r="C442" s="2" t="s">
        <v>671</v>
      </c>
      <c r="D442" s="2" t="s">
        <v>17</v>
      </c>
      <c r="E442" s="2" t="str">
        <f>IFERROR(INDEX(centros!$H$2:$H$45,MATCH(TRIM(Tabla1[[#This Row],[SOCIEDAD]])&amp;"|"&amp;TRIM(Tabla1[[#This Row],[LOCALIDAD]]),centros!$G$2:$G$45,0)),"REVISAR")</f>
        <v>VC04</v>
      </c>
      <c r="F442" s="2" t="s">
        <v>105</v>
      </c>
      <c r="G442" s="2" t="str">
        <f>_xlfn.XLOOKUP(Tabla1[[#This Row],[MARCA]],MARCAS!E:E,MARCAS!F:F)</f>
        <v>280</v>
      </c>
      <c r="H442" s="2" t="str">
        <f>_xlfn.XLOOKUP(Tabla1[[#This Row],[MARCA]],MARCAS!C:C,MARCAS!A:A)</f>
        <v>F9999</v>
      </c>
      <c r="I442" s="38" t="s">
        <v>1426</v>
      </c>
      <c r="J442" s="37" t="s">
        <v>1427</v>
      </c>
      <c r="K442" s="2" t="s">
        <v>713</v>
      </c>
    </row>
    <row r="443" spans="1:11" hidden="1" x14ac:dyDescent="0.25">
      <c r="A443" s="2" t="s">
        <v>34</v>
      </c>
      <c r="B443" s="2" t="str">
        <f>_xlfn.XLOOKUP(Tabla1[[#This Row],[SOCIEDAD]],centros!D:D,centros!E:E)</f>
        <v>VC00</v>
      </c>
      <c r="C443" s="2" t="s">
        <v>1027</v>
      </c>
      <c r="D443" s="2" t="s">
        <v>17</v>
      </c>
      <c r="E443" s="2" t="str">
        <f>IFERROR(INDEX(centros!$H$2:$H$45,MATCH(TRIM(Tabla1[[#This Row],[SOCIEDAD]])&amp;"|"&amp;TRIM(Tabla1[[#This Row],[LOCALIDAD]]),centros!$G$2:$G$45,0)),"REVISAR")</f>
        <v>VC04</v>
      </c>
      <c r="F443" s="2" t="s">
        <v>105</v>
      </c>
      <c r="G443" s="2" t="str">
        <f>_xlfn.XLOOKUP(Tabla1[[#This Row],[MARCA]],MARCAS!E:E,MARCAS!F:F)</f>
        <v>280</v>
      </c>
      <c r="H443" s="2" t="str">
        <f>_xlfn.XLOOKUP(Tabla1[[#This Row],[MARCA]],MARCAS!C:C,MARCAS!A:A)</f>
        <v>F9999</v>
      </c>
      <c r="I443" s="38" t="s">
        <v>1428</v>
      </c>
      <c r="J443" s="37" t="s">
        <v>1429</v>
      </c>
      <c r="K443" s="2" t="s">
        <v>1430</v>
      </c>
    </row>
    <row r="444" spans="1:11" hidden="1" x14ac:dyDescent="0.25">
      <c r="A444" s="2" t="s">
        <v>34</v>
      </c>
      <c r="B444" s="2" t="str">
        <f>_xlfn.XLOOKUP(Tabla1[[#This Row],[SOCIEDAD]],centros!D:D,centros!E:E)</f>
        <v>VC00</v>
      </c>
      <c r="C444" s="2" t="s">
        <v>300</v>
      </c>
      <c r="D444" s="2" t="s">
        <v>17</v>
      </c>
      <c r="E444" s="2" t="str">
        <f>IFERROR(INDEX(centros!$H$2:$H$45,MATCH(TRIM(Tabla1[[#This Row],[SOCIEDAD]])&amp;"|"&amp;TRIM(Tabla1[[#This Row],[LOCALIDAD]]),centros!$G$2:$G$45,0)),"REVISAR")</f>
        <v>VC04</v>
      </c>
      <c r="F444" s="2" t="s">
        <v>105</v>
      </c>
      <c r="G444" s="2" t="str">
        <f>_xlfn.XLOOKUP(Tabla1[[#This Row],[MARCA]],MARCAS!E:E,MARCAS!F:F)</f>
        <v>280</v>
      </c>
      <c r="H444" s="2" t="str">
        <f>_xlfn.XLOOKUP(Tabla1[[#This Row],[MARCA]],MARCAS!C:C,MARCAS!A:A)</f>
        <v>F9999</v>
      </c>
      <c r="I444" s="38" t="s">
        <v>1431</v>
      </c>
      <c r="J444" s="37" t="s">
        <v>1432</v>
      </c>
      <c r="K444" s="2" t="s">
        <v>511</v>
      </c>
    </row>
    <row r="445" spans="1:11" hidden="1" x14ac:dyDescent="0.25">
      <c r="A445" s="2" t="s">
        <v>34</v>
      </c>
      <c r="B445" s="2" t="str">
        <f>_xlfn.XLOOKUP(Tabla1[[#This Row],[SOCIEDAD]],centros!D:D,centros!E:E)</f>
        <v>VC00</v>
      </c>
      <c r="C445" s="2" t="s">
        <v>263</v>
      </c>
      <c r="D445" s="2" t="s">
        <v>19</v>
      </c>
      <c r="E445" s="2" t="str">
        <f>IFERROR(INDEX(centros!$H$2:$H$45,MATCH(TRIM(Tabla1[[#This Row],[SOCIEDAD]])&amp;"|"&amp;TRIM(Tabla1[[#This Row],[LOCALIDAD]]),centros!$G$2:$G$45,0)),"REVISAR")</f>
        <v>VC05</v>
      </c>
      <c r="F445" s="2" t="s">
        <v>105</v>
      </c>
      <c r="G445" s="2" t="str">
        <f>_xlfn.XLOOKUP(Tabla1[[#This Row],[MARCA]],MARCAS!E:E,MARCAS!F:F)</f>
        <v>280</v>
      </c>
      <c r="H445" s="2" t="str">
        <f>_xlfn.XLOOKUP(Tabla1[[#This Row],[MARCA]],MARCAS!C:C,MARCAS!A:A)</f>
        <v>F9999</v>
      </c>
      <c r="I445" s="38" t="s">
        <v>1433</v>
      </c>
      <c r="J445" s="37" t="s">
        <v>1434</v>
      </c>
      <c r="K445" s="2" t="s">
        <v>652</v>
      </c>
    </row>
    <row r="446" spans="1:11" hidden="1" x14ac:dyDescent="0.25">
      <c r="A446" s="2" t="s">
        <v>34</v>
      </c>
      <c r="B446" s="2" t="str">
        <f>_xlfn.XLOOKUP(Tabla1[[#This Row],[SOCIEDAD]],centros!D:D,centros!E:E)</f>
        <v>VC00</v>
      </c>
      <c r="C446" s="2" t="s">
        <v>671</v>
      </c>
      <c r="D446" s="2" t="s">
        <v>19</v>
      </c>
      <c r="E446" s="2" t="str">
        <f>IFERROR(INDEX(centros!$H$2:$H$45,MATCH(TRIM(Tabla1[[#This Row],[SOCIEDAD]])&amp;"|"&amp;TRIM(Tabla1[[#This Row],[LOCALIDAD]]),centros!$G$2:$G$45,0)),"REVISAR")</f>
        <v>VC05</v>
      </c>
      <c r="F446" s="2" t="s">
        <v>105</v>
      </c>
      <c r="G446" s="2" t="str">
        <f>_xlfn.XLOOKUP(Tabla1[[#This Row],[MARCA]],MARCAS!E:E,MARCAS!F:F)</f>
        <v>280</v>
      </c>
      <c r="H446" s="2" t="str">
        <f>_xlfn.XLOOKUP(Tabla1[[#This Row],[MARCA]],MARCAS!C:C,MARCAS!A:A)</f>
        <v>F9999</v>
      </c>
      <c r="I446" s="38" t="s">
        <v>1435</v>
      </c>
      <c r="J446" s="37" t="s">
        <v>1436</v>
      </c>
      <c r="K446" s="2" t="s">
        <v>758</v>
      </c>
    </row>
    <row r="447" spans="1:11" hidden="1" x14ac:dyDescent="0.25">
      <c r="A447" s="2" t="s">
        <v>34</v>
      </c>
      <c r="B447" s="2" t="str">
        <f>_xlfn.XLOOKUP(Tabla1[[#This Row],[SOCIEDAD]],centros!D:D,centros!E:E)</f>
        <v>VC00</v>
      </c>
      <c r="C447" s="2" t="s">
        <v>1027</v>
      </c>
      <c r="D447" s="2" t="s">
        <v>19</v>
      </c>
      <c r="E447" s="2" t="str">
        <f>IFERROR(INDEX(centros!$H$2:$H$45,MATCH(TRIM(Tabla1[[#This Row],[SOCIEDAD]])&amp;"|"&amp;TRIM(Tabla1[[#This Row],[LOCALIDAD]]),centros!$G$2:$G$45,0)),"REVISAR")</f>
        <v>VC05</v>
      </c>
      <c r="F447" s="2" t="s">
        <v>105</v>
      </c>
      <c r="G447" s="2" t="str">
        <f>_xlfn.XLOOKUP(Tabla1[[#This Row],[MARCA]],MARCAS!E:E,MARCAS!F:F)</f>
        <v>280</v>
      </c>
      <c r="H447" s="2" t="str">
        <f>_xlfn.XLOOKUP(Tabla1[[#This Row],[MARCA]],MARCAS!C:C,MARCAS!A:A)</f>
        <v>F9999</v>
      </c>
      <c r="I447" s="38" t="s">
        <v>1437</v>
      </c>
      <c r="J447" s="37" t="s">
        <v>1438</v>
      </c>
      <c r="K447" s="2" t="s">
        <v>1439</v>
      </c>
    </row>
    <row r="448" spans="1:11" hidden="1" x14ac:dyDescent="0.25">
      <c r="A448" s="2" t="s">
        <v>34</v>
      </c>
      <c r="B448" s="2" t="str">
        <f>_xlfn.XLOOKUP(Tabla1[[#This Row],[SOCIEDAD]],centros!D:D,centros!E:E)</f>
        <v>VC00</v>
      </c>
      <c r="C448" s="2" t="s">
        <v>300</v>
      </c>
      <c r="D448" s="2" t="s">
        <v>19</v>
      </c>
      <c r="E448" s="2" t="str">
        <f>IFERROR(INDEX(centros!$H$2:$H$45,MATCH(TRIM(Tabla1[[#This Row],[SOCIEDAD]])&amp;"|"&amp;TRIM(Tabla1[[#This Row],[LOCALIDAD]]),centros!$G$2:$G$45,0)),"REVISAR")</f>
        <v>VC05</v>
      </c>
      <c r="F448" s="2" t="s">
        <v>105</v>
      </c>
      <c r="G448" s="2" t="str">
        <f>_xlfn.XLOOKUP(Tabla1[[#This Row],[MARCA]],MARCAS!E:E,MARCAS!F:F)</f>
        <v>280</v>
      </c>
      <c r="H448" s="2" t="str">
        <f>_xlfn.XLOOKUP(Tabla1[[#This Row],[MARCA]],MARCAS!C:C,MARCAS!A:A)</f>
        <v>F9999</v>
      </c>
      <c r="I448" s="38" t="s">
        <v>1440</v>
      </c>
      <c r="J448" s="37" t="s">
        <v>1441</v>
      </c>
      <c r="K448" s="2" t="s">
        <v>553</v>
      </c>
    </row>
    <row r="449" spans="1:11" hidden="1" x14ac:dyDescent="0.25">
      <c r="A449" s="2" t="s">
        <v>34</v>
      </c>
      <c r="B449" s="2" t="str">
        <f>_xlfn.XLOOKUP(Tabla1[[#This Row],[SOCIEDAD]],centros!D:D,centros!E:E)</f>
        <v>VC00</v>
      </c>
      <c r="C449" s="2" t="s">
        <v>263</v>
      </c>
      <c r="D449" s="2" t="s">
        <v>13</v>
      </c>
      <c r="E449" s="2" t="str">
        <f>IFERROR(INDEX(centros!$H$2:$H$45,MATCH(TRIM(Tabla1[[#This Row],[SOCIEDAD]])&amp;"|"&amp;TRIM(Tabla1[[#This Row],[LOCALIDAD]]),centros!$G$2:$G$45,0)),"REVISAR")</f>
        <v>VC01</v>
      </c>
      <c r="F449" s="2" t="s">
        <v>105</v>
      </c>
      <c r="G449" s="2" t="str">
        <f>_xlfn.XLOOKUP(Tabla1[[#This Row],[MARCA]],MARCAS!E:E,MARCAS!F:F)</f>
        <v>280</v>
      </c>
      <c r="H449" s="2" t="str">
        <f>_xlfn.XLOOKUP(Tabla1[[#This Row],[MARCA]],MARCAS!C:C,MARCAS!A:A)</f>
        <v>F9999</v>
      </c>
      <c r="I449" s="38" t="s">
        <v>1442</v>
      </c>
      <c r="J449" s="37" t="s">
        <v>1443</v>
      </c>
      <c r="K449" s="2" t="s">
        <v>598</v>
      </c>
    </row>
    <row r="450" spans="1:11" hidden="1" x14ac:dyDescent="0.25">
      <c r="A450" s="2" t="s">
        <v>34</v>
      </c>
      <c r="B450" s="2" t="str">
        <f>_xlfn.XLOOKUP(Tabla1[[#This Row],[SOCIEDAD]],centros!D:D,centros!E:E)</f>
        <v>VC00</v>
      </c>
      <c r="C450" s="2" t="s">
        <v>671</v>
      </c>
      <c r="D450" s="2" t="s">
        <v>13</v>
      </c>
      <c r="E450" s="2" t="str">
        <f>IFERROR(INDEX(centros!$H$2:$H$45,MATCH(TRIM(Tabla1[[#This Row],[SOCIEDAD]])&amp;"|"&amp;TRIM(Tabla1[[#This Row],[LOCALIDAD]]),centros!$G$2:$G$45,0)),"REVISAR")</f>
        <v>VC01</v>
      </c>
      <c r="F450" s="2" t="s">
        <v>105</v>
      </c>
      <c r="G450" s="2" t="str">
        <f>_xlfn.XLOOKUP(Tabla1[[#This Row],[MARCA]],MARCAS!E:E,MARCAS!F:F)</f>
        <v>280</v>
      </c>
      <c r="H450" s="2" t="str">
        <f>_xlfn.XLOOKUP(Tabla1[[#This Row],[MARCA]],MARCAS!C:C,MARCAS!A:A)</f>
        <v>F9999</v>
      </c>
      <c r="I450" s="38" t="s">
        <v>1444</v>
      </c>
      <c r="J450" s="37" t="s">
        <v>1445</v>
      </c>
      <c r="K450" s="2" t="s">
        <v>698</v>
      </c>
    </row>
    <row r="451" spans="1:11" hidden="1" x14ac:dyDescent="0.25">
      <c r="A451" s="2" t="s">
        <v>34</v>
      </c>
      <c r="B451" s="2" t="str">
        <f>_xlfn.XLOOKUP(Tabla1[[#This Row],[SOCIEDAD]],centros!D:D,centros!E:E)</f>
        <v>VC00</v>
      </c>
      <c r="C451" s="2" t="s">
        <v>1027</v>
      </c>
      <c r="D451" s="2" t="s">
        <v>13</v>
      </c>
      <c r="E451" s="2" t="str">
        <f>IFERROR(INDEX(centros!$H$2:$H$45,MATCH(TRIM(Tabla1[[#This Row],[SOCIEDAD]])&amp;"|"&amp;TRIM(Tabla1[[#This Row],[LOCALIDAD]]),centros!$G$2:$G$45,0)),"REVISAR")</f>
        <v>VC01</v>
      </c>
      <c r="F451" s="2" t="s">
        <v>105</v>
      </c>
      <c r="G451" s="2" t="str">
        <f>_xlfn.XLOOKUP(Tabla1[[#This Row],[MARCA]],MARCAS!E:E,MARCAS!F:F)</f>
        <v>280</v>
      </c>
      <c r="H451" s="2" t="str">
        <f>_xlfn.XLOOKUP(Tabla1[[#This Row],[MARCA]],MARCAS!C:C,MARCAS!A:A)</f>
        <v>F9999</v>
      </c>
      <c r="I451" s="38" t="s">
        <v>1446</v>
      </c>
      <c r="J451" s="37" t="s">
        <v>1447</v>
      </c>
      <c r="K451" s="2" t="s">
        <v>1448</v>
      </c>
    </row>
    <row r="452" spans="1:11" hidden="1" x14ac:dyDescent="0.25">
      <c r="A452" s="2" t="s">
        <v>34</v>
      </c>
      <c r="B452" s="2" t="str">
        <f>_xlfn.XLOOKUP(Tabla1[[#This Row],[SOCIEDAD]],centros!D:D,centros!E:E)</f>
        <v>VC00</v>
      </c>
      <c r="C452" s="2" t="s">
        <v>300</v>
      </c>
      <c r="D452" s="2" t="s">
        <v>13</v>
      </c>
      <c r="E452" s="2" t="str">
        <f>IFERROR(INDEX(centros!$H$2:$H$45,MATCH(TRIM(Tabla1[[#This Row],[SOCIEDAD]])&amp;"|"&amp;TRIM(Tabla1[[#This Row],[LOCALIDAD]]),centros!$G$2:$G$45,0)),"REVISAR")</f>
        <v>VC01</v>
      </c>
      <c r="F452" s="2" t="s">
        <v>105</v>
      </c>
      <c r="G452" s="2" t="str">
        <f>_xlfn.XLOOKUP(Tabla1[[#This Row],[MARCA]],MARCAS!E:E,MARCAS!F:F)</f>
        <v>280</v>
      </c>
      <c r="H452" s="2" t="str">
        <f>_xlfn.XLOOKUP(Tabla1[[#This Row],[MARCA]],MARCAS!C:C,MARCAS!A:A)</f>
        <v>F9999</v>
      </c>
      <c r="I452" s="38" t="s">
        <v>1449</v>
      </c>
      <c r="J452" s="37" t="s">
        <v>1450</v>
      </c>
      <c r="K452" s="2" t="s">
        <v>496</v>
      </c>
    </row>
    <row r="453" spans="1:11" hidden="1" x14ac:dyDescent="0.25">
      <c r="A453" s="2" t="s">
        <v>34</v>
      </c>
      <c r="B453" s="2" t="str">
        <f>_xlfn.XLOOKUP(Tabla1[[#This Row],[SOCIEDAD]],centros!D:D,centros!E:E)</f>
        <v>VC00</v>
      </c>
      <c r="C453" s="2" t="s">
        <v>263</v>
      </c>
      <c r="D453" s="2" t="s">
        <v>23</v>
      </c>
      <c r="E453" s="2" t="str">
        <f>IFERROR(INDEX(centros!$H$2:$H$45,MATCH(TRIM(Tabla1[[#This Row],[SOCIEDAD]])&amp;"|"&amp;TRIM(Tabla1[[#This Row],[LOCALIDAD]]),centros!$G$2:$G$45,0)),"REVISAR")</f>
        <v>VC06</v>
      </c>
      <c r="F453" s="2" t="s">
        <v>105</v>
      </c>
      <c r="G453" s="2" t="str">
        <f>_xlfn.XLOOKUP(Tabla1[[#This Row],[MARCA]],MARCAS!E:E,MARCAS!F:F)</f>
        <v>280</v>
      </c>
      <c r="H453" s="2" t="str">
        <f>_xlfn.XLOOKUP(Tabla1[[#This Row],[MARCA]],MARCAS!C:C,MARCAS!A:A)</f>
        <v>F9999</v>
      </c>
      <c r="I453" s="38" t="s">
        <v>1451</v>
      </c>
      <c r="J453" s="37" t="s">
        <v>1452</v>
      </c>
      <c r="K453" s="2" t="s">
        <v>628</v>
      </c>
    </row>
    <row r="454" spans="1:11" hidden="1" x14ac:dyDescent="0.25">
      <c r="A454" s="2" t="s">
        <v>34</v>
      </c>
      <c r="B454" s="2" t="str">
        <f>_xlfn.XLOOKUP(Tabla1[[#This Row],[SOCIEDAD]],centros!D:D,centros!E:E)</f>
        <v>VC00</v>
      </c>
      <c r="C454" s="2" t="s">
        <v>671</v>
      </c>
      <c r="D454" s="2" t="s">
        <v>23</v>
      </c>
      <c r="E454" s="2" t="str">
        <f>IFERROR(INDEX(centros!$H$2:$H$45,MATCH(TRIM(Tabla1[[#This Row],[SOCIEDAD]])&amp;"|"&amp;TRIM(Tabla1[[#This Row],[LOCALIDAD]]),centros!$G$2:$G$45,0)),"REVISAR")</f>
        <v>VC06</v>
      </c>
      <c r="F454" s="2" t="s">
        <v>105</v>
      </c>
      <c r="G454" s="2" t="str">
        <f>_xlfn.XLOOKUP(Tabla1[[#This Row],[MARCA]],MARCAS!E:E,MARCAS!F:F)</f>
        <v>280</v>
      </c>
      <c r="H454" s="2" t="str">
        <f>_xlfn.XLOOKUP(Tabla1[[#This Row],[MARCA]],MARCAS!C:C,MARCAS!A:A)</f>
        <v>F9999</v>
      </c>
      <c r="I454" s="38" t="s">
        <v>1453</v>
      </c>
      <c r="J454" s="37" t="s">
        <v>1454</v>
      </c>
      <c r="K454" s="2" t="s">
        <v>728</v>
      </c>
    </row>
    <row r="455" spans="1:11" hidden="1" x14ac:dyDescent="0.25">
      <c r="A455" s="2" t="s">
        <v>34</v>
      </c>
      <c r="B455" s="2" t="str">
        <f>_xlfn.XLOOKUP(Tabla1[[#This Row],[SOCIEDAD]],centros!D:D,centros!E:E)</f>
        <v>VC00</v>
      </c>
      <c r="C455" s="2" t="s">
        <v>1027</v>
      </c>
      <c r="D455" s="2" t="s">
        <v>23</v>
      </c>
      <c r="E455" s="2" t="str">
        <f>IFERROR(INDEX(centros!$H$2:$H$45,MATCH(TRIM(Tabla1[[#This Row],[SOCIEDAD]])&amp;"|"&amp;TRIM(Tabla1[[#This Row],[LOCALIDAD]]),centros!$G$2:$G$45,0)),"REVISAR")</f>
        <v>VC06</v>
      </c>
      <c r="F455" s="2" t="s">
        <v>105</v>
      </c>
      <c r="G455" s="2" t="str">
        <f>_xlfn.XLOOKUP(Tabla1[[#This Row],[MARCA]],MARCAS!E:E,MARCAS!F:F)</f>
        <v>280</v>
      </c>
      <c r="H455" s="2" t="str">
        <f>_xlfn.XLOOKUP(Tabla1[[#This Row],[MARCA]],MARCAS!C:C,MARCAS!A:A)</f>
        <v>F9999</v>
      </c>
      <c r="I455" s="38" t="s">
        <v>1455</v>
      </c>
      <c r="J455" s="37" t="s">
        <v>1456</v>
      </c>
      <c r="K455" s="2" t="s">
        <v>1457</v>
      </c>
    </row>
    <row r="456" spans="1:11" hidden="1" x14ac:dyDescent="0.25">
      <c r="A456" s="2" t="s">
        <v>34</v>
      </c>
      <c r="B456" s="2" t="str">
        <f>_xlfn.XLOOKUP(Tabla1[[#This Row],[SOCIEDAD]],centros!D:D,centros!E:E)</f>
        <v>VC00</v>
      </c>
      <c r="C456" s="2" t="s">
        <v>300</v>
      </c>
      <c r="D456" s="2" t="s">
        <v>23</v>
      </c>
      <c r="E456" s="2" t="str">
        <f>IFERROR(INDEX(centros!$H$2:$H$45,MATCH(TRIM(Tabla1[[#This Row],[SOCIEDAD]])&amp;"|"&amp;TRIM(Tabla1[[#This Row],[LOCALIDAD]]),centros!$G$2:$G$45,0)),"REVISAR")</f>
        <v>VC06</v>
      </c>
      <c r="F456" s="2" t="s">
        <v>105</v>
      </c>
      <c r="G456" s="2" t="str">
        <f>_xlfn.XLOOKUP(Tabla1[[#This Row],[MARCA]],MARCAS!E:E,MARCAS!F:F)</f>
        <v>280</v>
      </c>
      <c r="H456" s="2" t="str">
        <f>_xlfn.XLOOKUP(Tabla1[[#This Row],[MARCA]],MARCAS!C:C,MARCAS!A:A)</f>
        <v>F9999</v>
      </c>
      <c r="I456" s="38" t="s">
        <v>1458</v>
      </c>
      <c r="J456" s="37" t="s">
        <v>1459</v>
      </c>
      <c r="K456" s="2" t="s">
        <v>526</v>
      </c>
    </row>
    <row r="457" spans="1:11" hidden="1" x14ac:dyDescent="0.25">
      <c r="A457" s="2" t="s">
        <v>34</v>
      </c>
      <c r="B457" s="2" t="str">
        <f>_xlfn.XLOOKUP(Tabla1[[#This Row],[SOCIEDAD]],centros!D:D,centros!E:E)</f>
        <v>VC00</v>
      </c>
      <c r="C457" s="2" t="s">
        <v>263</v>
      </c>
      <c r="D457" s="2" t="s">
        <v>32</v>
      </c>
      <c r="E457" s="2" t="str">
        <f>IFERROR(INDEX(centros!$H$2:$H$45,MATCH(TRIM(Tabla1[[#This Row],[SOCIEDAD]])&amp;"|"&amp;TRIM(Tabla1[[#This Row],[LOCALIDAD]]),centros!$G$2:$G$45,0)),"REVISAR")</f>
        <v>VC03</v>
      </c>
      <c r="F457" s="2" t="s">
        <v>105</v>
      </c>
      <c r="G457" s="2" t="str">
        <f>_xlfn.XLOOKUP(Tabla1[[#This Row],[MARCA]],MARCAS!E:E,MARCAS!F:F)</f>
        <v>280</v>
      </c>
      <c r="H457" s="2" t="str">
        <f>_xlfn.XLOOKUP(Tabla1[[#This Row],[MARCA]],MARCAS!C:C,MARCAS!A:A)</f>
        <v>F9999</v>
      </c>
      <c r="I457" s="38" t="s">
        <v>1460</v>
      </c>
      <c r="J457" s="37" t="s">
        <v>1461</v>
      </c>
      <c r="K457" s="2" t="s">
        <v>1462</v>
      </c>
    </row>
    <row r="458" spans="1:11" hidden="1" x14ac:dyDescent="0.25">
      <c r="A458" s="2" t="s">
        <v>34</v>
      </c>
      <c r="B458" s="2" t="str">
        <f>_xlfn.XLOOKUP(Tabla1[[#This Row],[SOCIEDAD]],centros!D:D,centros!E:E)</f>
        <v>VC00</v>
      </c>
      <c r="C458" s="2" t="s">
        <v>671</v>
      </c>
      <c r="D458" s="2" t="s">
        <v>32</v>
      </c>
      <c r="E458" s="2" t="str">
        <f>IFERROR(INDEX(centros!$H$2:$H$45,MATCH(TRIM(Tabla1[[#This Row],[SOCIEDAD]])&amp;"|"&amp;TRIM(Tabla1[[#This Row],[LOCALIDAD]]),centros!$G$2:$G$45,0)),"REVISAR")</f>
        <v>VC03</v>
      </c>
      <c r="F458" s="2" t="s">
        <v>105</v>
      </c>
      <c r="G458" s="2" t="str">
        <f>_xlfn.XLOOKUP(Tabla1[[#This Row],[MARCA]],MARCAS!E:E,MARCAS!F:F)</f>
        <v>280</v>
      </c>
      <c r="H458" s="2" t="str">
        <f>_xlfn.XLOOKUP(Tabla1[[#This Row],[MARCA]],MARCAS!C:C,MARCAS!A:A)</f>
        <v>F9999</v>
      </c>
      <c r="I458" s="38" t="s">
        <v>1463</v>
      </c>
      <c r="J458" s="37" t="s">
        <v>1464</v>
      </c>
      <c r="K458" s="2" t="s">
        <v>1465</v>
      </c>
    </row>
    <row r="459" spans="1:11" hidden="1" x14ac:dyDescent="0.25">
      <c r="A459" s="2" t="s">
        <v>34</v>
      </c>
      <c r="B459" s="2" t="str">
        <f>_xlfn.XLOOKUP(Tabla1[[#This Row],[SOCIEDAD]],centros!D:D,centros!E:E)</f>
        <v>VC00</v>
      </c>
      <c r="C459" s="2" t="s">
        <v>1027</v>
      </c>
      <c r="D459" s="2" t="s">
        <v>32</v>
      </c>
      <c r="E459" s="2" t="str">
        <f>IFERROR(INDEX(centros!$H$2:$H$45,MATCH(TRIM(Tabla1[[#This Row],[SOCIEDAD]])&amp;"|"&amp;TRIM(Tabla1[[#This Row],[LOCALIDAD]]),centros!$G$2:$G$45,0)),"REVISAR")</f>
        <v>VC03</v>
      </c>
      <c r="F459" s="2" t="s">
        <v>105</v>
      </c>
      <c r="G459" s="2" t="str">
        <f>_xlfn.XLOOKUP(Tabla1[[#This Row],[MARCA]],MARCAS!E:E,MARCAS!F:F)</f>
        <v>280</v>
      </c>
      <c r="H459" s="2" t="str">
        <f>_xlfn.XLOOKUP(Tabla1[[#This Row],[MARCA]],MARCAS!C:C,MARCAS!A:A)</f>
        <v>F9999</v>
      </c>
      <c r="I459" s="38" t="s">
        <v>1466</v>
      </c>
      <c r="J459" s="37" t="s">
        <v>1467</v>
      </c>
      <c r="K459" s="2" t="s">
        <v>1468</v>
      </c>
    </row>
    <row r="460" spans="1:11" hidden="1" x14ac:dyDescent="0.25">
      <c r="A460" s="2" t="s">
        <v>34</v>
      </c>
      <c r="B460" s="2" t="str">
        <f>_xlfn.XLOOKUP(Tabla1[[#This Row],[SOCIEDAD]],centros!D:D,centros!E:E)</f>
        <v>VC00</v>
      </c>
      <c r="C460" s="2" t="s">
        <v>300</v>
      </c>
      <c r="D460" s="2" t="s">
        <v>32</v>
      </c>
      <c r="E460" s="2" t="str">
        <f>IFERROR(INDEX(centros!$H$2:$H$45,MATCH(TRIM(Tabla1[[#This Row],[SOCIEDAD]])&amp;"|"&amp;TRIM(Tabla1[[#This Row],[LOCALIDAD]]),centros!$G$2:$G$45,0)),"REVISAR")</f>
        <v>VC03</v>
      </c>
      <c r="F460" s="2" t="s">
        <v>105</v>
      </c>
      <c r="G460" s="2" t="str">
        <f>_xlfn.XLOOKUP(Tabla1[[#This Row],[MARCA]],MARCAS!E:E,MARCAS!F:F)</f>
        <v>280</v>
      </c>
      <c r="H460" s="2" t="str">
        <f>_xlfn.XLOOKUP(Tabla1[[#This Row],[MARCA]],MARCAS!C:C,MARCAS!A:A)</f>
        <v>F9999</v>
      </c>
      <c r="I460" s="38" t="s">
        <v>1469</v>
      </c>
      <c r="J460" s="37" t="s">
        <v>1470</v>
      </c>
      <c r="K460" s="2" t="s">
        <v>1471</v>
      </c>
    </row>
    <row r="461" spans="1:11" hidden="1" x14ac:dyDescent="0.25">
      <c r="A461" s="2" t="s">
        <v>34</v>
      </c>
      <c r="B461" s="2" t="str">
        <f>_xlfn.XLOOKUP(Tabla1[[#This Row],[SOCIEDAD]],centros!D:D,centros!E:E)</f>
        <v>VC00</v>
      </c>
      <c r="C461" s="2" t="s">
        <v>263</v>
      </c>
      <c r="D461" s="2" t="s">
        <v>33</v>
      </c>
      <c r="E461" s="2" t="str">
        <f>IFERROR(INDEX(centros!$H$2:$H$45,MATCH(TRIM(Tabla1[[#This Row],[SOCIEDAD]])&amp;"|"&amp;TRIM(Tabla1[[#This Row],[LOCALIDAD]]),centros!$G$2:$G$45,0)),"REVISAR")</f>
        <v>VC07</v>
      </c>
      <c r="F461" s="2" t="s">
        <v>105</v>
      </c>
      <c r="G461" s="2" t="str">
        <f>_xlfn.XLOOKUP(Tabla1[[#This Row],[MARCA]],MARCAS!E:E,MARCAS!F:F)</f>
        <v>280</v>
      </c>
      <c r="H461" s="2" t="str">
        <f>_xlfn.XLOOKUP(Tabla1[[#This Row],[MARCA]],MARCAS!C:C,MARCAS!A:A)</f>
        <v>F9999</v>
      </c>
      <c r="I461" s="38" t="s">
        <v>1472</v>
      </c>
      <c r="J461" s="37" t="s">
        <v>1473</v>
      </c>
      <c r="K461" s="2" t="s">
        <v>1474</v>
      </c>
    </row>
    <row r="462" spans="1:11" hidden="1" x14ac:dyDescent="0.25">
      <c r="A462" s="2" t="s">
        <v>34</v>
      </c>
      <c r="B462" s="2" t="str">
        <f>_xlfn.XLOOKUP(Tabla1[[#This Row],[SOCIEDAD]],centros!D:D,centros!E:E)</f>
        <v>VC00</v>
      </c>
      <c r="C462" s="2" t="s">
        <v>671</v>
      </c>
      <c r="D462" s="2" t="s">
        <v>33</v>
      </c>
      <c r="E462" s="2" t="str">
        <f>IFERROR(INDEX(centros!$H$2:$H$45,MATCH(TRIM(Tabla1[[#This Row],[SOCIEDAD]])&amp;"|"&amp;TRIM(Tabla1[[#This Row],[LOCALIDAD]]),centros!$G$2:$G$45,0)),"REVISAR")</f>
        <v>VC07</v>
      </c>
      <c r="F462" s="2" t="s">
        <v>105</v>
      </c>
      <c r="G462" s="2" t="str">
        <f>_xlfn.XLOOKUP(Tabla1[[#This Row],[MARCA]],MARCAS!E:E,MARCAS!F:F)</f>
        <v>280</v>
      </c>
      <c r="H462" s="2" t="str">
        <f>_xlfn.XLOOKUP(Tabla1[[#This Row],[MARCA]],MARCAS!C:C,MARCAS!A:A)</f>
        <v>F9999</v>
      </c>
      <c r="I462" s="38" t="s">
        <v>1475</v>
      </c>
      <c r="J462" s="37" t="s">
        <v>1476</v>
      </c>
      <c r="K462" s="2" t="s">
        <v>1477</v>
      </c>
    </row>
    <row r="463" spans="1:11" hidden="1" x14ac:dyDescent="0.25">
      <c r="A463" s="2" t="s">
        <v>34</v>
      </c>
      <c r="B463" s="2" t="str">
        <f>_xlfn.XLOOKUP(Tabla1[[#This Row],[SOCIEDAD]],centros!D:D,centros!E:E)</f>
        <v>VC00</v>
      </c>
      <c r="C463" s="2" t="s">
        <v>1027</v>
      </c>
      <c r="D463" s="2" t="s">
        <v>33</v>
      </c>
      <c r="E463" s="2" t="str">
        <f>IFERROR(INDEX(centros!$H$2:$H$45,MATCH(TRIM(Tabla1[[#This Row],[SOCIEDAD]])&amp;"|"&amp;TRIM(Tabla1[[#This Row],[LOCALIDAD]]),centros!$G$2:$G$45,0)),"REVISAR")</f>
        <v>VC07</v>
      </c>
      <c r="F463" s="2" t="s">
        <v>105</v>
      </c>
      <c r="G463" s="2" t="str">
        <f>_xlfn.XLOOKUP(Tabla1[[#This Row],[MARCA]],MARCAS!E:E,MARCAS!F:F)</f>
        <v>280</v>
      </c>
      <c r="H463" s="2" t="str">
        <f>_xlfn.XLOOKUP(Tabla1[[#This Row],[MARCA]],MARCAS!C:C,MARCAS!A:A)</f>
        <v>F9999</v>
      </c>
      <c r="I463" s="38" t="s">
        <v>1478</v>
      </c>
      <c r="J463" s="37" t="s">
        <v>1479</v>
      </c>
      <c r="K463" s="2" t="s">
        <v>1480</v>
      </c>
    </row>
    <row r="464" spans="1:11" hidden="1" x14ac:dyDescent="0.25">
      <c r="A464" s="2" t="s">
        <v>34</v>
      </c>
      <c r="B464" s="2" t="str">
        <f>_xlfn.XLOOKUP(Tabla1[[#This Row],[SOCIEDAD]],centros!D:D,centros!E:E)</f>
        <v>VC00</v>
      </c>
      <c r="C464" s="2" t="s">
        <v>300</v>
      </c>
      <c r="D464" s="2" t="s">
        <v>33</v>
      </c>
      <c r="E464" s="2" t="str">
        <f>IFERROR(INDEX(centros!$H$2:$H$45,MATCH(TRIM(Tabla1[[#This Row],[SOCIEDAD]])&amp;"|"&amp;TRIM(Tabla1[[#This Row],[LOCALIDAD]]),centros!$G$2:$G$45,0)),"REVISAR")</f>
        <v>VC07</v>
      </c>
      <c r="F464" s="2" t="s">
        <v>105</v>
      </c>
      <c r="G464" s="2" t="str">
        <f>_xlfn.XLOOKUP(Tabla1[[#This Row],[MARCA]],MARCAS!E:E,MARCAS!F:F)</f>
        <v>280</v>
      </c>
      <c r="H464" s="2" t="str">
        <f>_xlfn.XLOOKUP(Tabla1[[#This Row],[MARCA]],MARCAS!C:C,MARCAS!A:A)</f>
        <v>F9999</v>
      </c>
      <c r="I464" s="38" t="s">
        <v>1481</v>
      </c>
      <c r="J464" s="37" t="s">
        <v>1482</v>
      </c>
      <c r="K464" s="2" t="s">
        <v>1483</v>
      </c>
    </row>
    <row r="465" spans="1:11" hidden="1" x14ac:dyDescent="0.25">
      <c r="A465" s="2" t="s">
        <v>34</v>
      </c>
      <c r="B465" s="2" t="str">
        <f>_xlfn.XLOOKUP(Tabla1[[#This Row],[SOCIEDAD]],centros!D:D,centros!E:E)</f>
        <v>VC00</v>
      </c>
      <c r="C465" s="2" t="s">
        <v>112</v>
      </c>
      <c r="D465" s="2" t="s">
        <v>15</v>
      </c>
      <c r="E465" s="2" t="str">
        <f>IFERROR(INDEX(centros!$H$2:$H$45,MATCH(TRIM(Tabla1[[#This Row],[SOCIEDAD]])&amp;"|"&amp;TRIM(Tabla1[[#This Row],[LOCALIDAD]]),centros!$G$2:$G$45,0)),"REVISAR")</f>
        <v>VC02</v>
      </c>
      <c r="F465" s="2" t="s">
        <v>45</v>
      </c>
      <c r="G465" s="2" t="str">
        <f>_xlfn.XLOOKUP(Tabla1[[#This Row],[MARCA]],MARCAS!E:E,MARCAS!F:F)</f>
        <v>100</v>
      </c>
      <c r="H465" s="2" t="str">
        <f>_xlfn.XLOOKUP(Tabla1[[#This Row],[MARCA]],MARCAS!C:C,MARCAS!A:A)</f>
        <v>F0012</v>
      </c>
      <c r="I465" s="38" t="s">
        <v>1484</v>
      </c>
      <c r="J465" s="37" t="s">
        <v>1485</v>
      </c>
      <c r="K465" s="2" t="s">
        <v>1486</v>
      </c>
    </row>
    <row r="466" spans="1:11" hidden="1" x14ac:dyDescent="0.25">
      <c r="A466" s="2" t="s">
        <v>34</v>
      </c>
      <c r="B466" s="2" t="str">
        <f>_xlfn.XLOOKUP(Tabla1[[#This Row],[SOCIEDAD]],centros!D:D,centros!E:E)</f>
        <v>VC00</v>
      </c>
      <c r="C466" s="2" t="s">
        <v>112</v>
      </c>
      <c r="D466" s="2" t="s">
        <v>11</v>
      </c>
      <c r="E466" s="2" t="str">
        <f>IFERROR(INDEX(centros!$H$2:$H$45,MATCH(TRIM(Tabla1[[#This Row],[SOCIEDAD]])&amp;"|"&amp;TRIM(Tabla1[[#This Row],[LOCALIDAD]]),centros!$G$2:$G$45,0)),"REVISAR")</f>
        <v>VC00</v>
      </c>
      <c r="F466" s="2" t="s">
        <v>45</v>
      </c>
      <c r="G466" s="2" t="str">
        <f>_xlfn.XLOOKUP(Tabla1[[#This Row],[MARCA]],MARCAS!E:E,MARCAS!F:F)</f>
        <v>100</v>
      </c>
      <c r="H466" s="2" t="str">
        <f>_xlfn.XLOOKUP(Tabla1[[#This Row],[MARCA]],MARCAS!C:C,MARCAS!A:A)</f>
        <v>F0012</v>
      </c>
      <c r="I466" s="38" t="s">
        <v>1487</v>
      </c>
      <c r="J466" s="37" t="s">
        <v>1488</v>
      </c>
      <c r="K466" s="2" t="s">
        <v>1489</v>
      </c>
    </row>
    <row r="467" spans="1:11" hidden="1" x14ac:dyDescent="0.25">
      <c r="A467" s="2" t="s">
        <v>34</v>
      </c>
      <c r="B467" s="2" t="str">
        <f>_xlfn.XLOOKUP(Tabla1[[#This Row],[SOCIEDAD]],centros!D:D,centros!E:E)</f>
        <v>VC00</v>
      </c>
      <c r="C467" s="2" t="s">
        <v>112</v>
      </c>
      <c r="D467" s="2" t="s">
        <v>17</v>
      </c>
      <c r="E467" s="2" t="str">
        <f>IFERROR(INDEX(centros!$H$2:$H$45,MATCH(TRIM(Tabla1[[#This Row],[SOCIEDAD]])&amp;"|"&amp;TRIM(Tabla1[[#This Row],[LOCALIDAD]]),centros!$G$2:$G$45,0)),"REVISAR")</f>
        <v>VC04</v>
      </c>
      <c r="F467" s="2" t="s">
        <v>45</v>
      </c>
      <c r="G467" s="2" t="str">
        <f>_xlfn.XLOOKUP(Tabla1[[#This Row],[MARCA]],MARCAS!E:E,MARCAS!F:F)</f>
        <v>100</v>
      </c>
      <c r="H467" s="2" t="str">
        <f>_xlfn.XLOOKUP(Tabla1[[#This Row],[MARCA]],MARCAS!C:C,MARCAS!A:A)</f>
        <v>F0012</v>
      </c>
      <c r="I467" s="38" t="s">
        <v>1490</v>
      </c>
      <c r="J467" s="37" t="s">
        <v>1491</v>
      </c>
      <c r="K467" s="2" t="s">
        <v>1492</v>
      </c>
    </row>
    <row r="468" spans="1:11" hidden="1" x14ac:dyDescent="0.25">
      <c r="A468" s="2" t="s">
        <v>34</v>
      </c>
      <c r="B468" s="2" t="str">
        <f>_xlfn.XLOOKUP(Tabla1[[#This Row],[SOCIEDAD]],centros!D:D,centros!E:E)</f>
        <v>VC00</v>
      </c>
      <c r="C468" s="2" t="s">
        <v>112</v>
      </c>
      <c r="D468" s="2" t="s">
        <v>19</v>
      </c>
      <c r="E468" s="2" t="str">
        <f>IFERROR(INDEX(centros!$H$2:$H$45,MATCH(TRIM(Tabla1[[#This Row],[SOCIEDAD]])&amp;"|"&amp;TRIM(Tabla1[[#This Row],[LOCALIDAD]]),centros!$G$2:$G$45,0)),"REVISAR")</f>
        <v>VC05</v>
      </c>
      <c r="F468" s="2" t="s">
        <v>45</v>
      </c>
      <c r="G468" s="2" t="str">
        <f>_xlfn.XLOOKUP(Tabla1[[#This Row],[MARCA]],MARCAS!E:E,MARCAS!F:F)</f>
        <v>100</v>
      </c>
      <c r="H468" s="2" t="str">
        <f>_xlfn.XLOOKUP(Tabla1[[#This Row],[MARCA]],MARCAS!C:C,MARCAS!A:A)</f>
        <v>F0012</v>
      </c>
      <c r="I468" s="38" t="s">
        <v>1493</v>
      </c>
      <c r="J468" s="37" t="s">
        <v>1494</v>
      </c>
      <c r="K468" s="2" t="s">
        <v>1495</v>
      </c>
    </row>
    <row r="469" spans="1:11" hidden="1" x14ac:dyDescent="0.25">
      <c r="A469" s="2" t="s">
        <v>34</v>
      </c>
      <c r="B469" s="2" t="str">
        <f>_xlfn.XLOOKUP(Tabla1[[#This Row],[SOCIEDAD]],centros!D:D,centros!E:E)</f>
        <v>VC00</v>
      </c>
      <c r="C469" s="2" t="s">
        <v>112</v>
      </c>
      <c r="D469" s="2" t="s">
        <v>13</v>
      </c>
      <c r="E469" s="2" t="str">
        <f>IFERROR(INDEX(centros!$H$2:$H$45,MATCH(TRIM(Tabla1[[#This Row],[SOCIEDAD]])&amp;"|"&amp;TRIM(Tabla1[[#This Row],[LOCALIDAD]]),centros!$G$2:$G$45,0)),"REVISAR")</f>
        <v>VC01</v>
      </c>
      <c r="F469" s="2" t="s">
        <v>45</v>
      </c>
      <c r="G469" s="2" t="str">
        <f>_xlfn.XLOOKUP(Tabla1[[#This Row],[MARCA]],MARCAS!E:E,MARCAS!F:F)</f>
        <v>100</v>
      </c>
      <c r="H469" s="2" t="str">
        <f>_xlfn.XLOOKUP(Tabla1[[#This Row],[MARCA]],MARCAS!C:C,MARCAS!A:A)</f>
        <v>F0012</v>
      </c>
      <c r="I469" s="38" t="s">
        <v>1496</v>
      </c>
      <c r="J469" s="37" t="s">
        <v>1497</v>
      </c>
      <c r="K469" s="2" t="s">
        <v>1498</v>
      </c>
    </row>
    <row r="470" spans="1:11" hidden="1" x14ac:dyDescent="0.25">
      <c r="A470" s="2" t="s">
        <v>34</v>
      </c>
      <c r="B470" s="2" t="str">
        <f>_xlfn.XLOOKUP(Tabla1[[#This Row],[SOCIEDAD]],centros!D:D,centros!E:E)</f>
        <v>VC00</v>
      </c>
      <c r="C470" s="2" t="s">
        <v>112</v>
      </c>
      <c r="D470" s="2" t="s">
        <v>23</v>
      </c>
      <c r="E470" s="2" t="str">
        <f>IFERROR(INDEX(centros!$H$2:$H$45,MATCH(TRIM(Tabla1[[#This Row],[SOCIEDAD]])&amp;"|"&amp;TRIM(Tabla1[[#This Row],[LOCALIDAD]]),centros!$G$2:$G$45,0)),"REVISAR")</f>
        <v>VC06</v>
      </c>
      <c r="F470" s="2" t="s">
        <v>45</v>
      </c>
      <c r="G470" s="2" t="str">
        <f>_xlfn.XLOOKUP(Tabla1[[#This Row],[MARCA]],MARCAS!E:E,MARCAS!F:F)</f>
        <v>100</v>
      </c>
      <c r="H470" s="2" t="str">
        <f>_xlfn.XLOOKUP(Tabla1[[#This Row],[MARCA]],MARCAS!C:C,MARCAS!A:A)</f>
        <v>F0012</v>
      </c>
      <c r="I470" s="38" t="s">
        <v>1499</v>
      </c>
      <c r="J470" s="37" t="s">
        <v>1500</v>
      </c>
      <c r="K470" s="2" t="s">
        <v>1501</v>
      </c>
    </row>
    <row r="471" spans="1:11" hidden="1" x14ac:dyDescent="0.25">
      <c r="A471" s="2" t="s">
        <v>34</v>
      </c>
      <c r="B471" s="2" t="str">
        <f>_xlfn.XLOOKUP(Tabla1[[#This Row],[SOCIEDAD]],centros!D:D,centros!E:E)</f>
        <v>VC00</v>
      </c>
      <c r="C471" s="2" t="s">
        <v>112</v>
      </c>
      <c r="D471" s="2" t="s">
        <v>32</v>
      </c>
      <c r="E471" s="2" t="str">
        <f>IFERROR(INDEX(centros!$H$2:$H$45,MATCH(TRIM(Tabla1[[#This Row],[SOCIEDAD]])&amp;"|"&amp;TRIM(Tabla1[[#This Row],[LOCALIDAD]]),centros!$G$2:$G$45,0)),"REVISAR")</f>
        <v>VC03</v>
      </c>
      <c r="F471" s="2" t="s">
        <v>45</v>
      </c>
      <c r="G471" s="2" t="str">
        <f>_xlfn.XLOOKUP(Tabla1[[#This Row],[MARCA]],MARCAS!E:E,MARCAS!F:F)</f>
        <v>100</v>
      </c>
      <c r="H471" s="2" t="str">
        <f>_xlfn.XLOOKUP(Tabla1[[#This Row],[MARCA]],MARCAS!C:C,MARCAS!A:A)</f>
        <v>F0012</v>
      </c>
      <c r="I471" s="38" t="s">
        <v>1502</v>
      </c>
      <c r="J471" s="37" t="s">
        <v>1503</v>
      </c>
      <c r="K471" s="2" t="s">
        <v>1504</v>
      </c>
    </row>
    <row r="472" spans="1:11" hidden="1" x14ac:dyDescent="0.25">
      <c r="A472" s="2" t="s">
        <v>34</v>
      </c>
      <c r="B472" s="2" t="str">
        <f>_xlfn.XLOOKUP(Tabla1[[#This Row],[SOCIEDAD]],centros!D:D,centros!E:E)</f>
        <v>VC00</v>
      </c>
      <c r="C472" s="2" t="s">
        <v>112</v>
      </c>
      <c r="D472" s="2" t="s">
        <v>33</v>
      </c>
      <c r="E472" s="2" t="str">
        <f>IFERROR(INDEX(centros!$H$2:$H$45,MATCH(TRIM(Tabla1[[#This Row],[SOCIEDAD]])&amp;"|"&amp;TRIM(Tabla1[[#This Row],[LOCALIDAD]]),centros!$G$2:$G$45,0)),"REVISAR")</f>
        <v>VC07</v>
      </c>
      <c r="F472" s="2" t="s">
        <v>45</v>
      </c>
      <c r="G472" s="2" t="str">
        <f>_xlfn.XLOOKUP(Tabla1[[#This Row],[MARCA]],MARCAS!E:E,MARCAS!F:F)</f>
        <v>100</v>
      </c>
      <c r="H472" s="2" t="str">
        <f>_xlfn.XLOOKUP(Tabla1[[#This Row],[MARCA]],MARCAS!C:C,MARCAS!A:A)</f>
        <v>F0012</v>
      </c>
      <c r="I472" s="38" t="s">
        <v>1505</v>
      </c>
      <c r="J472" s="37" t="s">
        <v>1506</v>
      </c>
      <c r="K472" s="2" t="s">
        <v>1507</v>
      </c>
    </row>
    <row r="473" spans="1:11" hidden="1" x14ac:dyDescent="0.25">
      <c r="A473" s="2" t="s">
        <v>34</v>
      </c>
      <c r="B473" s="2" t="str">
        <f>_xlfn.XLOOKUP(Tabla1[[#This Row],[SOCIEDAD]],centros!D:D,centros!E:E)</f>
        <v>VC00</v>
      </c>
      <c r="C473" s="2" t="s">
        <v>112</v>
      </c>
      <c r="D473" s="2" t="s">
        <v>15</v>
      </c>
      <c r="E473" s="2" t="str">
        <f>IFERROR(INDEX(centros!$H$2:$H$45,MATCH(TRIM(Tabla1[[#This Row],[SOCIEDAD]])&amp;"|"&amp;TRIM(Tabla1[[#This Row],[LOCALIDAD]]),centros!$G$2:$G$45,0)),"REVISAR")</f>
        <v>VC02</v>
      </c>
      <c r="F473" s="2" t="s">
        <v>48</v>
      </c>
      <c r="G473" s="2" t="str">
        <f>_xlfn.XLOOKUP(Tabla1[[#This Row],[MARCA]],MARCAS!E:E,MARCAS!F:F)</f>
        <v>090</v>
      </c>
      <c r="H473" s="2" t="str">
        <f>_xlfn.XLOOKUP(Tabla1[[#This Row],[MARCA]],MARCAS!C:C,MARCAS!A:A)</f>
        <v>F0014</v>
      </c>
      <c r="I473" s="38" t="s">
        <v>1508</v>
      </c>
      <c r="J473" s="37" t="s">
        <v>1509</v>
      </c>
      <c r="K473" s="2" t="s">
        <v>1510</v>
      </c>
    </row>
    <row r="474" spans="1:11" hidden="1" x14ac:dyDescent="0.25">
      <c r="A474" s="2" t="s">
        <v>34</v>
      </c>
      <c r="B474" s="2" t="str">
        <f>_xlfn.XLOOKUP(Tabla1[[#This Row],[SOCIEDAD]],centros!D:D,centros!E:E)</f>
        <v>VC00</v>
      </c>
      <c r="C474" s="2" t="s">
        <v>112</v>
      </c>
      <c r="D474" s="2" t="s">
        <v>11</v>
      </c>
      <c r="E474" s="2" t="str">
        <f>IFERROR(INDEX(centros!$H$2:$H$45,MATCH(TRIM(Tabla1[[#This Row],[SOCIEDAD]])&amp;"|"&amp;TRIM(Tabla1[[#This Row],[LOCALIDAD]]),centros!$G$2:$G$45,0)),"REVISAR")</f>
        <v>VC00</v>
      </c>
      <c r="F474" s="2" t="s">
        <v>48</v>
      </c>
      <c r="G474" s="2" t="str">
        <f>_xlfn.XLOOKUP(Tabla1[[#This Row],[MARCA]],MARCAS!E:E,MARCAS!F:F)</f>
        <v>090</v>
      </c>
      <c r="H474" s="2" t="str">
        <f>_xlfn.XLOOKUP(Tabla1[[#This Row],[MARCA]],MARCAS!C:C,MARCAS!A:A)</f>
        <v>F0014</v>
      </c>
      <c r="I474" s="38" t="s">
        <v>1511</v>
      </c>
      <c r="J474" s="37" t="s">
        <v>1512</v>
      </c>
      <c r="K474" s="2" t="s">
        <v>1513</v>
      </c>
    </row>
    <row r="475" spans="1:11" hidden="1" x14ac:dyDescent="0.25">
      <c r="A475" s="2" t="s">
        <v>34</v>
      </c>
      <c r="B475" s="2" t="str">
        <f>_xlfn.XLOOKUP(Tabla1[[#This Row],[SOCIEDAD]],centros!D:D,centros!E:E)</f>
        <v>VC00</v>
      </c>
      <c r="C475" s="2" t="s">
        <v>112</v>
      </c>
      <c r="D475" s="2" t="s">
        <v>17</v>
      </c>
      <c r="E475" s="2" t="str">
        <f>IFERROR(INDEX(centros!$H$2:$H$45,MATCH(TRIM(Tabla1[[#This Row],[SOCIEDAD]])&amp;"|"&amp;TRIM(Tabla1[[#This Row],[LOCALIDAD]]),centros!$G$2:$G$45,0)),"REVISAR")</f>
        <v>VC04</v>
      </c>
      <c r="F475" s="2" t="s">
        <v>48</v>
      </c>
      <c r="G475" s="2" t="str">
        <f>_xlfn.XLOOKUP(Tabla1[[#This Row],[MARCA]],MARCAS!E:E,MARCAS!F:F)</f>
        <v>090</v>
      </c>
      <c r="H475" s="2" t="str">
        <f>_xlfn.XLOOKUP(Tabla1[[#This Row],[MARCA]],MARCAS!C:C,MARCAS!A:A)</f>
        <v>F0014</v>
      </c>
      <c r="I475" s="38" t="s">
        <v>1514</v>
      </c>
      <c r="J475" s="37" t="s">
        <v>1515</v>
      </c>
      <c r="K475" s="2" t="s">
        <v>1516</v>
      </c>
    </row>
    <row r="476" spans="1:11" hidden="1" x14ac:dyDescent="0.25">
      <c r="A476" s="2" t="s">
        <v>34</v>
      </c>
      <c r="B476" s="2" t="str">
        <f>_xlfn.XLOOKUP(Tabla1[[#This Row],[SOCIEDAD]],centros!D:D,centros!E:E)</f>
        <v>VC00</v>
      </c>
      <c r="C476" s="2" t="s">
        <v>112</v>
      </c>
      <c r="D476" s="2" t="s">
        <v>19</v>
      </c>
      <c r="E476" s="2" t="str">
        <f>IFERROR(INDEX(centros!$H$2:$H$45,MATCH(TRIM(Tabla1[[#This Row],[SOCIEDAD]])&amp;"|"&amp;TRIM(Tabla1[[#This Row],[LOCALIDAD]]),centros!$G$2:$G$45,0)),"REVISAR")</f>
        <v>VC05</v>
      </c>
      <c r="F476" s="2" t="s">
        <v>48</v>
      </c>
      <c r="G476" s="2" t="str">
        <f>_xlfn.XLOOKUP(Tabla1[[#This Row],[MARCA]],MARCAS!E:E,MARCAS!F:F)</f>
        <v>090</v>
      </c>
      <c r="H476" s="2" t="str">
        <f>_xlfn.XLOOKUP(Tabla1[[#This Row],[MARCA]],MARCAS!C:C,MARCAS!A:A)</f>
        <v>F0014</v>
      </c>
      <c r="I476" s="38" t="s">
        <v>1517</v>
      </c>
      <c r="J476" s="37" t="s">
        <v>1518</v>
      </c>
      <c r="K476" s="2" t="s">
        <v>1519</v>
      </c>
    </row>
    <row r="477" spans="1:11" hidden="1" x14ac:dyDescent="0.25">
      <c r="A477" s="2" t="s">
        <v>34</v>
      </c>
      <c r="B477" s="2" t="str">
        <f>_xlfn.XLOOKUP(Tabla1[[#This Row],[SOCIEDAD]],centros!D:D,centros!E:E)</f>
        <v>VC00</v>
      </c>
      <c r="C477" s="2" t="s">
        <v>112</v>
      </c>
      <c r="D477" s="2" t="s">
        <v>13</v>
      </c>
      <c r="E477" s="2" t="str">
        <f>IFERROR(INDEX(centros!$H$2:$H$45,MATCH(TRIM(Tabla1[[#This Row],[SOCIEDAD]])&amp;"|"&amp;TRIM(Tabla1[[#This Row],[LOCALIDAD]]),centros!$G$2:$G$45,0)),"REVISAR")</f>
        <v>VC01</v>
      </c>
      <c r="F477" s="2" t="s">
        <v>48</v>
      </c>
      <c r="G477" s="2" t="str">
        <f>_xlfn.XLOOKUP(Tabla1[[#This Row],[MARCA]],MARCAS!E:E,MARCAS!F:F)</f>
        <v>090</v>
      </c>
      <c r="H477" s="2" t="str">
        <f>_xlfn.XLOOKUP(Tabla1[[#This Row],[MARCA]],MARCAS!C:C,MARCAS!A:A)</f>
        <v>F0014</v>
      </c>
      <c r="I477" s="38" t="s">
        <v>1520</v>
      </c>
      <c r="J477" s="37" t="s">
        <v>1521</v>
      </c>
      <c r="K477" s="2" t="s">
        <v>1522</v>
      </c>
    </row>
    <row r="478" spans="1:11" hidden="1" x14ac:dyDescent="0.25">
      <c r="A478" s="2" t="s">
        <v>34</v>
      </c>
      <c r="B478" s="2" t="str">
        <f>_xlfn.XLOOKUP(Tabla1[[#This Row],[SOCIEDAD]],centros!D:D,centros!E:E)</f>
        <v>VC00</v>
      </c>
      <c r="C478" s="2" t="s">
        <v>112</v>
      </c>
      <c r="D478" s="2" t="s">
        <v>23</v>
      </c>
      <c r="E478" s="2" t="str">
        <f>IFERROR(INDEX(centros!$H$2:$H$45,MATCH(TRIM(Tabla1[[#This Row],[SOCIEDAD]])&amp;"|"&amp;TRIM(Tabla1[[#This Row],[LOCALIDAD]]),centros!$G$2:$G$45,0)),"REVISAR")</f>
        <v>VC06</v>
      </c>
      <c r="F478" s="2" t="s">
        <v>48</v>
      </c>
      <c r="G478" s="2" t="str">
        <f>_xlfn.XLOOKUP(Tabla1[[#This Row],[MARCA]],MARCAS!E:E,MARCAS!F:F)</f>
        <v>090</v>
      </c>
      <c r="H478" s="2" t="str">
        <f>_xlfn.XLOOKUP(Tabla1[[#This Row],[MARCA]],MARCAS!C:C,MARCAS!A:A)</f>
        <v>F0014</v>
      </c>
      <c r="I478" s="38" t="s">
        <v>1523</v>
      </c>
      <c r="J478" s="37" t="s">
        <v>1524</v>
      </c>
      <c r="K478" s="2" t="s">
        <v>1525</v>
      </c>
    </row>
    <row r="479" spans="1:11" hidden="1" x14ac:dyDescent="0.25">
      <c r="A479" s="2" t="s">
        <v>34</v>
      </c>
      <c r="B479" s="2" t="str">
        <f>_xlfn.XLOOKUP(Tabla1[[#This Row],[SOCIEDAD]],centros!D:D,centros!E:E)</f>
        <v>VC00</v>
      </c>
      <c r="C479" s="2" t="s">
        <v>112</v>
      </c>
      <c r="D479" s="2" t="s">
        <v>32</v>
      </c>
      <c r="E479" s="2" t="str">
        <f>IFERROR(INDEX(centros!$H$2:$H$45,MATCH(TRIM(Tabla1[[#This Row],[SOCIEDAD]])&amp;"|"&amp;TRIM(Tabla1[[#This Row],[LOCALIDAD]]),centros!$G$2:$G$45,0)),"REVISAR")</f>
        <v>VC03</v>
      </c>
      <c r="F479" s="2" t="s">
        <v>48</v>
      </c>
      <c r="G479" s="2" t="str">
        <f>_xlfn.XLOOKUP(Tabla1[[#This Row],[MARCA]],MARCAS!E:E,MARCAS!F:F)</f>
        <v>090</v>
      </c>
      <c r="H479" s="2" t="str">
        <f>_xlfn.XLOOKUP(Tabla1[[#This Row],[MARCA]],MARCAS!C:C,MARCAS!A:A)</f>
        <v>F0014</v>
      </c>
      <c r="I479" s="38" t="s">
        <v>1526</v>
      </c>
      <c r="J479" s="37" t="s">
        <v>1527</v>
      </c>
      <c r="K479" s="2" t="s">
        <v>1528</v>
      </c>
    </row>
    <row r="480" spans="1:11" hidden="1" x14ac:dyDescent="0.25">
      <c r="A480" s="2" t="s">
        <v>34</v>
      </c>
      <c r="B480" s="2" t="str">
        <f>_xlfn.XLOOKUP(Tabla1[[#This Row],[SOCIEDAD]],centros!D:D,centros!E:E)</f>
        <v>VC00</v>
      </c>
      <c r="C480" s="2" t="s">
        <v>112</v>
      </c>
      <c r="D480" s="2" t="s">
        <v>33</v>
      </c>
      <c r="E480" s="2" t="str">
        <f>IFERROR(INDEX(centros!$H$2:$H$45,MATCH(TRIM(Tabla1[[#This Row],[SOCIEDAD]])&amp;"|"&amp;TRIM(Tabla1[[#This Row],[LOCALIDAD]]),centros!$G$2:$G$45,0)),"REVISAR")</f>
        <v>VC07</v>
      </c>
      <c r="F480" s="2" t="s">
        <v>48</v>
      </c>
      <c r="G480" s="2" t="str">
        <f>_xlfn.XLOOKUP(Tabla1[[#This Row],[MARCA]],MARCAS!E:E,MARCAS!F:F)</f>
        <v>090</v>
      </c>
      <c r="H480" s="2" t="str">
        <f>_xlfn.XLOOKUP(Tabla1[[#This Row],[MARCA]],MARCAS!C:C,MARCAS!A:A)</f>
        <v>F0014</v>
      </c>
      <c r="I480" s="38" t="s">
        <v>1529</v>
      </c>
      <c r="J480" s="37" t="s">
        <v>1530</v>
      </c>
      <c r="K480" s="2" t="s">
        <v>1531</v>
      </c>
    </row>
    <row r="481" spans="1:11" hidden="1" x14ac:dyDescent="0.25">
      <c r="A481" s="2" t="s">
        <v>34</v>
      </c>
      <c r="B481" s="2" t="str">
        <f>_xlfn.XLOOKUP(Tabla1[[#This Row],[SOCIEDAD]],centros!D:D,centros!E:E)</f>
        <v>VC00</v>
      </c>
      <c r="C481" s="2" t="s">
        <v>112</v>
      </c>
      <c r="D481" s="2" t="s">
        <v>15</v>
      </c>
      <c r="E481" s="2" t="str">
        <f>IFERROR(INDEX(centros!$H$2:$H$45,MATCH(TRIM(Tabla1[[#This Row],[SOCIEDAD]])&amp;"|"&amp;TRIM(Tabla1[[#This Row],[LOCALIDAD]]),centros!$G$2:$G$45,0)),"REVISAR")</f>
        <v>VC02</v>
      </c>
      <c r="F481" s="2" t="s">
        <v>51</v>
      </c>
      <c r="G481" s="2" t="str">
        <f>_xlfn.XLOOKUP(Tabla1[[#This Row],[MARCA]],MARCAS!E:E,MARCAS!F:F)</f>
        <v>230</v>
      </c>
      <c r="H481" s="2" t="str">
        <f>_xlfn.XLOOKUP(Tabla1[[#This Row],[MARCA]],MARCAS!C:C,MARCAS!A:A)</f>
        <v>F0015</v>
      </c>
      <c r="I481" s="38" t="s">
        <v>1532</v>
      </c>
      <c r="J481" s="37" t="s">
        <v>1533</v>
      </c>
      <c r="K481" s="2" t="s">
        <v>1534</v>
      </c>
    </row>
    <row r="482" spans="1:11" hidden="1" x14ac:dyDescent="0.25">
      <c r="A482" s="2" t="s">
        <v>34</v>
      </c>
      <c r="B482" s="2" t="str">
        <f>_xlfn.XLOOKUP(Tabla1[[#This Row],[SOCIEDAD]],centros!D:D,centros!E:E)</f>
        <v>VC00</v>
      </c>
      <c r="C482" s="2" t="s">
        <v>112</v>
      </c>
      <c r="D482" s="2" t="s">
        <v>11</v>
      </c>
      <c r="E482" s="2" t="str">
        <f>IFERROR(INDEX(centros!$H$2:$H$45,MATCH(TRIM(Tabla1[[#This Row],[SOCIEDAD]])&amp;"|"&amp;TRIM(Tabla1[[#This Row],[LOCALIDAD]]),centros!$G$2:$G$45,0)),"REVISAR")</f>
        <v>VC00</v>
      </c>
      <c r="F482" s="2" t="s">
        <v>51</v>
      </c>
      <c r="G482" s="2" t="str">
        <f>_xlfn.XLOOKUP(Tabla1[[#This Row],[MARCA]],MARCAS!E:E,MARCAS!F:F)</f>
        <v>230</v>
      </c>
      <c r="H482" s="2" t="str">
        <f>_xlfn.XLOOKUP(Tabla1[[#This Row],[MARCA]],MARCAS!C:C,MARCAS!A:A)</f>
        <v>F0015</v>
      </c>
      <c r="I482" s="38" t="s">
        <v>1535</v>
      </c>
      <c r="J482" s="37" t="s">
        <v>1536</v>
      </c>
      <c r="K482" s="2" t="s">
        <v>1537</v>
      </c>
    </row>
    <row r="483" spans="1:11" hidden="1" x14ac:dyDescent="0.25">
      <c r="A483" s="2" t="s">
        <v>34</v>
      </c>
      <c r="B483" s="2" t="str">
        <f>_xlfn.XLOOKUP(Tabla1[[#This Row],[SOCIEDAD]],centros!D:D,centros!E:E)</f>
        <v>VC00</v>
      </c>
      <c r="C483" s="2" t="s">
        <v>112</v>
      </c>
      <c r="D483" s="2" t="s">
        <v>17</v>
      </c>
      <c r="E483" s="2" t="str">
        <f>IFERROR(INDEX(centros!$H$2:$H$45,MATCH(TRIM(Tabla1[[#This Row],[SOCIEDAD]])&amp;"|"&amp;TRIM(Tabla1[[#This Row],[LOCALIDAD]]),centros!$G$2:$G$45,0)),"REVISAR")</f>
        <v>VC04</v>
      </c>
      <c r="F483" s="2" t="s">
        <v>51</v>
      </c>
      <c r="G483" s="2" t="str">
        <f>_xlfn.XLOOKUP(Tabla1[[#This Row],[MARCA]],MARCAS!E:E,MARCAS!F:F)</f>
        <v>230</v>
      </c>
      <c r="H483" s="2" t="str">
        <f>_xlfn.XLOOKUP(Tabla1[[#This Row],[MARCA]],MARCAS!C:C,MARCAS!A:A)</f>
        <v>F0015</v>
      </c>
      <c r="I483" s="38" t="s">
        <v>1538</v>
      </c>
      <c r="J483" s="37" t="s">
        <v>1539</v>
      </c>
      <c r="K483" s="2" t="s">
        <v>1540</v>
      </c>
    </row>
    <row r="484" spans="1:11" hidden="1" x14ac:dyDescent="0.25">
      <c r="A484" s="2" t="s">
        <v>34</v>
      </c>
      <c r="B484" s="2" t="str">
        <f>_xlfn.XLOOKUP(Tabla1[[#This Row],[SOCIEDAD]],centros!D:D,centros!E:E)</f>
        <v>VC00</v>
      </c>
      <c r="C484" s="2" t="s">
        <v>112</v>
      </c>
      <c r="D484" s="2" t="s">
        <v>19</v>
      </c>
      <c r="E484" s="2" t="str">
        <f>IFERROR(INDEX(centros!$H$2:$H$45,MATCH(TRIM(Tabla1[[#This Row],[SOCIEDAD]])&amp;"|"&amp;TRIM(Tabla1[[#This Row],[LOCALIDAD]]),centros!$G$2:$G$45,0)),"REVISAR")</f>
        <v>VC05</v>
      </c>
      <c r="F484" s="2" t="s">
        <v>51</v>
      </c>
      <c r="G484" s="2" t="str">
        <f>_xlfn.XLOOKUP(Tabla1[[#This Row],[MARCA]],MARCAS!E:E,MARCAS!F:F)</f>
        <v>230</v>
      </c>
      <c r="H484" s="2" t="str">
        <f>_xlfn.XLOOKUP(Tabla1[[#This Row],[MARCA]],MARCAS!C:C,MARCAS!A:A)</f>
        <v>F0015</v>
      </c>
      <c r="I484" s="38" t="s">
        <v>1541</v>
      </c>
      <c r="J484" s="37" t="s">
        <v>1542</v>
      </c>
      <c r="K484" s="2" t="s">
        <v>1543</v>
      </c>
    </row>
    <row r="485" spans="1:11" hidden="1" x14ac:dyDescent="0.25">
      <c r="A485" s="2" t="s">
        <v>34</v>
      </c>
      <c r="B485" s="2" t="str">
        <f>_xlfn.XLOOKUP(Tabla1[[#This Row],[SOCIEDAD]],centros!D:D,centros!E:E)</f>
        <v>VC00</v>
      </c>
      <c r="C485" s="2" t="s">
        <v>112</v>
      </c>
      <c r="D485" s="2" t="s">
        <v>13</v>
      </c>
      <c r="E485" s="2" t="str">
        <f>IFERROR(INDEX(centros!$H$2:$H$45,MATCH(TRIM(Tabla1[[#This Row],[SOCIEDAD]])&amp;"|"&amp;TRIM(Tabla1[[#This Row],[LOCALIDAD]]),centros!$G$2:$G$45,0)),"REVISAR")</f>
        <v>VC01</v>
      </c>
      <c r="F485" s="2" t="s">
        <v>51</v>
      </c>
      <c r="G485" s="2" t="str">
        <f>_xlfn.XLOOKUP(Tabla1[[#This Row],[MARCA]],MARCAS!E:E,MARCAS!F:F)</f>
        <v>230</v>
      </c>
      <c r="H485" s="2" t="str">
        <f>_xlfn.XLOOKUP(Tabla1[[#This Row],[MARCA]],MARCAS!C:C,MARCAS!A:A)</f>
        <v>F0015</v>
      </c>
      <c r="I485" s="38" t="s">
        <v>1544</v>
      </c>
      <c r="J485" s="37" t="s">
        <v>1545</v>
      </c>
      <c r="K485" s="2" t="s">
        <v>1546</v>
      </c>
    </row>
    <row r="486" spans="1:11" hidden="1" x14ac:dyDescent="0.25">
      <c r="A486" s="2" t="s">
        <v>34</v>
      </c>
      <c r="B486" s="2" t="str">
        <f>_xlfn.XLOOKUP(Tabla1[[#This Row],[SOCIEDAD]],centros!D:D,centros!E:E)</f>
        <v>VC00</v>
      </c>
      <c r="C486" s="2" t="s">
        <v>112</v>
      </c>
      <c r="D486" s="2" t="s">
        <v>23</v>
      </c>
      <c r="E486" s="2" t="str">
        <f>IFERROR(INDEX(centros!$H$2:$H$45,MATCH(TRIM(Tabla1[[#This Row],[SOCIEDAD]])&amp;"|"&amp;TRIM(Tabla1[[#This Row],[LOCALIDAD]]),centros!$G$2:$G$45,0)),"REVISAR")</f>
        <v>VC06</v>
      </c>
      <c r="F486" s="2" t="s">
        <v>51</v>
      </c>
      <c r="G486" s="2" t="str">
        <f>_xlfn.XLOOKUP(Tabla1[[#This Row],[MARCA]],MARCAS!E:E,MARCAS!F:F)</f>
        <v>230</v>
      </c>
      <c r="H486" s="2" t="str">
        <f>_xlfn.XLOOKUP(Tabla1[[#This Row],[MARCA]],MARCAS!C:C,MARCAS!A:A)</f>
        <v>F0015</v>
      </c>
      <c r="I486" s="38" t="s">
        <v>1547</v>
      </c>
      <c r="J486" s="37" t="s">
        <v>1548</v>
      </c>
      <c r="K486" s="2" t="s">
        <v>1549</v>
      </c>
    </row>
    <row r="487" spans="1:11" hidden="1" x14ac:dyDescent="0.25">
      <c r="A487" s="2" t="s">
        <v>34</v>
      </c>
      <c r="B487" s="2" t="str">
        <f>_xlfn.XLOOKUP(Tabla1[[#This Row],[SOCIEDAD]],centros!D:D,centros!E:E)</f>
        <v>VC00</v>
      </c>
      <c r="C487" s="2" t="s">
        <v>112</v>
      </c>
      <c r="D487" s="2" t="s">
        <v>32</v>
      </c>
      <c r="E487" s="2" t="str">
        <f>IFERROR(INDEX(centros!$H$2:$H$45,MATCH(TRIM(Tabla1[[#This Row],[SOCIEDAD]])&amp;"|"&amp;TRIM(Tabla1[[#This Row],[LOCALIDAD]]),centros!$G$2:$G$45,0)),"REVISAR")</f>
        <v>VC03</v>
      </c>
      <c r="F487" s="2" t="s">
        <v>51</v>
      </c>
      <c r="G487" s="2" t="str">
        <f>_xlfn.XLOOKUP(Tabla1[[#This Row],[MARCA]],MARCAS!E:E,MARCAS!F:F)</f>
        <v>230</v>
      </c>
      <c r="H487" s="2" t="str">
        <f>_xlfn.XLOOKUP(Tabla1[[#This Row],[MARCA]],MARCAS!C:C,MARCAS!A:A)</f>
        <v>F0015</v>
      </c>
      <c r="I487" s="38" t="s">
        <v>1550</v>
      </c>
      <c r="J487" s="37" t="s">
        <v>1551</v>
      </c>
      <c r="K487" s="2" t="s">
        <v>1552</v>
      </c>
    </row>
    <row r="488" spans="1:11" hidden="1" x14ac:dyDescent="0.25">
      <c r="A488" s="2" t="s">
        <v>34</v>
      </c>
      <c r="B488" s="2" t="str">
        <f>_xlfn.XLOOKUP(Tabla1[[#This Row],[SOCIEDAD]],centros!D:D,centros!E:E)</f>
        <v>VC00</v>
      </c>
      <c r="C488" s="2" t="s">
        <v>112</v>
      </c>
      <c r="D488" s="2" t="s">
        <v>33</v>
      </c>
      <c r="E488" s="2" t="str">
        <f>IFERROR(INDEX(centros!$H$2:$H$45,MATCH(TRIM(Tabla1[[#This Row],[SOCIEDAD]])&amp;"|"&amp;TRIM(Tabla1[[#This Row],[LOCALIDAD]]),centros!$G$2:$G$45,0)),"REVISAR")</f>
        <v>VC07</v>
      </c>
      <c r="F488" s="2" t="s">
        <v>51</v>
      </c>
      <c r="G488" s="2" t="str">
        <f>_xlfn.XLOOKUP(Tabla1[[#This Row],[MARCA]],MARCAS!E:E,MARCAS!F:F)</f>
        <v>230</v>
      </c>
      <c r="H488" s="2" t="str">
        <f>_xlfn.XLOOKUP(Tabla1[[#This Row],[MARCA]],MARCAS!C:C,MARCAS!A:A)</f>
        <v>F0015</v>
      </c>
      <c r="I488" s="38" t="s">
        <v>1553</v>
      </c>
      <c r="J488" s="37" t="s">
        <v>1554</v>
      </c>
      <c r="K488" s="2" t="s">
        <v>1555</v>
      </c>
    </row>
    <row r="489" spans="1:11" hidden="1" x14ac:dyDescent="0.25">
      <c r="A489" s="2" t="s">
        <v>34</v>
      </c>
      <c r="B489" s="2" t="str">
        <f>_xlfn.XLOOKUP(Tabla1[[#This Row],[SOCIEDAD]],centros!D:D,centros!E:E)</f>
        <v>VC00</v>
      </c>
      <c r="C489" s="2" t="s">
        <v>112</v>
      </c>
      <c r="D489" s="2" t="s">
        <v>15</v>
      </c>
      <c r="E489" s="2" t="str">
        <f>IFERROR(INDEX(centros!$H$2:$H$45,MATCH(TRIM(Tabla1[[#This Row],[SOCIEDAD]])&amp;"|"&amp;TRIM(Tabla1[[#This Row],[LOCALIDAD]]),centros!$G$2:$G$45,0)),"REVISAR")</f>
        <v>VC02</v>
      </c>
      <c r="F489" s="2" t="s">
        <v>29</v>
      </c>
      <c r="G489" s="2" t="str">
        <f>_xlfn.XLOOKUP(Tabla1[[#This Row],[MARCA]],MARCAS!E:E,MARCAS!F:F)</f>
        <v>180</v>
      </c>
      <c r="H489" s="2" t="str">
        <f>_xlfn.XLOOKUP(Tabla1[[#This Row],[MARCA]],MARCAS!C:C,MARCAS!A:A)</f>
        <v>F0010</v>
      </c>
      <c r="I489" s="38" t="s">
        <v>1556</v>
      </c>
      <c r="J489" s="37" t="s">
        <v>1557</v>
      </c>
      <c r="K489" s="2" t="s">
        <v>1558</v>
      </c>
    </row>
    <row r="490" spans="1:11" hidden="1" x14ac:dyDescent="0.25">
      <c r="A490" s="2" t="s">
        <v>34</v>
      </c>
      <c r="B490" s="2" t="str">
        <f>_xlfn.XLOOKUP(Tabla1[[#This Row],[SOCIEDAD]],centros!D:D,centros!E:E)</f>
        <v>VC00</v>
      </c>
      <c r="C490" s="2" t="s">
        <v>112</v>
      </c>
      <c r="D490" s="2" t="s">
        <v>11</v>
      </c>
      <c r="E490" s="2" t="str">
        <f>IFERROR(INDEX(centros!$H$2:$H$45,MATCH(TRIM(Tabla1[[#This Row],[SOCIEDAD]])&amp;"|"&amp;TRIM(Tabla1[[#This Row],[LOCALIDAD]]),centros!$G$2:$G$45,0)),"REVISAR")</f>
        <v>VC00</v>
      </c>
      <c r="F490" s="2" t="s">
        <v>29</v>
      </c>
      <c r="G490" s="2" t="str">
        <f>_xlfn.XLOOKUP(Tabla1[[#This Row],[MARCA]],MARCAS!E:E,MARCAS!F:F)</f>
        <v>180</v>
      </c>
      <c r="H490" s="2" t="str">
        <f>_xlfn.XLOOKUP(Tabla1[[#This Row],[MARCA]],MARCAS!C:C,MARCAS!A:A)</f>
        <v>F0010</v>
      </c>
      <c r="I490" s="38" t="s">
        <v>1559</v>
      </c>
      <c r="J490" s="37" t="s">
        <v>1560</v>
      </c>
      <c r="K490" s="2" t="s">
        <v>1561</v>
      </c>
    </row>
    <row r="491" spans="1:11" hidden="1" x14ac:dyDescent="0.25">
      <c r="A491" s="2" t="s">
        <v>34</v>
      </c>
      <c r="B491" s="2" t="str">
        <f>_xlfn.XLOOKUP(Tabla1[[#This Row],[SOCIEDAD]],centros!D:D,centros!E:E)</f>
        <v>VC00</v>
      </c>
      <c r="C491" s="2" t="s">
        <v>112</v>
      </c>
      <c r="D491" s="2" t="s">
        <v>17</v>
      </c>
      <c r="E491" s="2" t="str">
        <f>IFERROR(INDEX(centros!$H$2:$H$45,MATCH(TRIM(Tabla1[[#This Row],[SOCIEDAD]])&amp;"|"&amp;TRIM(Tabla1[[#This Row],[LOCALIDAD]]),centros!$G$2:$G$45,0)),"REVISAR")</f>
        <v>VC04</v>
      </c>
      <c r="F491" s="2" t="s">
        <v>29</v>
      </c>
      <c r="G491" s="2" t="str">
        <f>_xlfn.XLOOKUP(Tabla1[[#This Row],[MARCA]],MARCAS!E:E,MARCAS!F:F)</f>
        <v>180</v>
      </c>
      <c r="H491" s="2" t="str">
        <f>_xlfn.XLOOKUP(Tabla1[[#This Row],[MARCA]],MARCAS!C:C,MARCAS!A:A)</f>
        <v>F0010</v>
      </c>
      <c r="I491" s="38" t="s">
        <v>1562</v>
      </c>
      <c r="J491" s="37" t="s">
        <v>1563</v>
      </c>
      <c r="K491" s="2" t="s">
        <v>1564</v>
      </c>
    </row>
    <row r="492" spans="1:11" hidden="1" x14ac:dyDescent="0.25">
      <c r="A492" s="2" t="s">
        <v>34</v>
      </c>
      <c r="B492" s="2" t="str">
        <f>_xlfn.XLOOKUP(Tabla1[[#This Row],[SOCIEDAD]],centros!D:D,centros!E:E)</f>
        <v>VC00</v>
      </c>
      <c r="C492" s="2" t="s">
        <v>112</v>
      </c>
      <c r="D492" s="2" t="s">
        <v>19</v>
      </c>
      <c r="E492" s="2" t="str">
        <f>IFERROR(INDEX(centros!$H$2:$H$45,MATCH(TRIM(Tabla1[[#This Row],[SOCIEDAD]])&amp;"|"&amp;TRIM(Tabla1[[#This Row],[LOCALIDAD]]),centros!$G$2:$G$45,0)),"REVISAR")</f>
        <v>VC05</v>
      </c>
      <c r="F492" s="2" t="s">
        <v>29</v>
      </c>
      <c r="G492" s="2" t="str">
        <f>_xlfn.XLOOKUP(Tabla1[[#This Row],[MARCA]],MARCAS!E:E,MARCAS!F:F)</f>
        <v>180</v>
      </c>
      <c r="H492" s="2" t="str">
        <f>_xlfn.XLOOKUP(Tabla1[[#This Row],[MARCA]],MARCAS!C:C,MARCAS!A:A)</f>
        <v>F0010</v>
      </c>
      <c r="I492" s="38" t="s">
        <v>1565</v>
      </c>
      <c r="J492" s="37" t="s">
        <v>1566</v>
      </c>
      <c r="K492" s="2" t="s">
        <v>1567</v>
      </c>
    </row>
    <row r="493" spans="1:11" hidden="1" x14ac:dyDescent="0.25">
      <c r="A493" s="2" t="s">
        <v>34</v>
      </c>
      <c r="B493" s="2" t="str">
        <f>_xlfn.XLOOKUP(Tabla1[[#This Row],[SOCIEDAD]],centros!D:D,centros!E:E)</f>
        <v>VC00</v>
      </c>
      <c r="C493" s="2" t="s">
        <v>112</v>
      </c>
      <c r="D493" s="2" t="s">
        <v>13</v>
      </c>
      <c r="E493" s="2" t="str">
        <f>IFERROR(INDEX(centros!$H$2:$H$45,MATCH(TRIM(Tabla1[[#This Row],[SOCIEDAD]])&amp;"|"&amp;TRIM(Tabla1[[#This Row],[LOCALIDAD]]),centros!$G$2:$G$45,0)),"REVISAR")</f>
        <v>VC01</v>
      </c>
      <c r="F493" s="2" t="s">
        <v>29</v>
      </c>
      <c r="G493" s="2" t="str">
        <f>_xlfn.XLOOKUP(Tabla1[[#This Row],[MARCA]],MARCAS!E:E,MARCAS!F:F)</f>
        <v>180</v>
      </c>
      <c r="H493" s="2" t="str">
        <f>_xlfn.XLOOKUP(Tabla1[[#This Row],[MARCA]],MARCAS!C:C,MARCAS!A:A)</f>
        <v>F0010</v>
      </c>
      <c r="I493" s="38" t="s">
        <v>1568</v>
      </c>
      <c r="J493" s="37" t="s">
        <v>1569</v>
      </c>
      <c r="K493" s="2" t="s">
        <v>1570</v>
      </c>
    </row>
    <row r="494" spans="1:11" hidden="1" x14ac:dyDescent="0.25">
      <c r="A494" s="2" t="s">
        <v>34</v>
      </c>
      <c r="B494" s="2" t="str">
        <f>_xlfn.XLOOKUP(Tabla1[[#This Row],[SOCIEDAD]],centros!D:D,centros!E:E)</f>
        <v>VC00</v>
      </c>
      <c r="C494" s="2" t="s">
        <v>112</v>
      </c>
      <c r="D494" s="2" t="s">
        <v>23</v>
      </c>
      <c r="E494" s="2" t="str">
        <f>IFERROR(INDEX(centros!$H$2:$H$45,MATCH(TRIM(Tabla1[[#This Row],[SOCIEDAD]])&amp;"|"&amp;TRIM(Tabla1[[#This Row],[LOCALIDAD]]),centros!$G$2:$G$45,0)),"REVISAR")</f>
        <v>VC06</v>
      </c>
      <c r="F494" s="2" t="s">
        <v>29</v>
      </c>
      <c r="G494" s="2" t="str">
        <f>_xlfn.XLOOKUP(Tabla1[[#This Row],[MARCA]],MARCAS!E:E,MARCAS!F:F)</f>
        <v>180</v>
      </c>
      <c r="H494" s="2" t="str">
        <f>_xlfn.XLOOKUP(Tabla1[[#This Row],[MARCA]],MARCAS!C:C,MARCAS!A:A)</f>
        <v>F0010</v>
      </c>
      <c r="I494" s="38" t="s">
        <v>1571</v>
      </c>
      <c r="J494" s="37" t="s">
        <v>1572</v>
      </c>
      <c r="K494" s="2" t="s">
        <v>1573</v>
      </c>
    </row>
    <row r="495" spans="1:11" hidden="1" x14ac:dyDescent="0.25">
      <c r="A495" s="2" t="s">
        <v>34</v>
      </c>
      <c r="B495" s="2" t="str">
        <f>_xlfn.XLOOKUP(Tabla1[[#This Row],[SOCIEDAD]],centros!D:D,centros!E:E)</f>
        <v>VC00</v>
      </c>
      <c r="C495" s="2" t="s">
        <v>112</v>
      </c>
      <c r="D495" s="2" t="s">
        <v>32</v>
      </c>
      <c r="E495" s="2" t="str">
        <f>IFERROR(INDEX(centros!$H$2:$H$45,MATCH(TRIM(Tabla1[[#This Row],[SOCIEDAD]])&amp;"|"&amp;TRIM(Tabla1[[#This Row],[LOCALIDAD]]),centros!$G$2:$G$45,0)),"REVISAR")</f>
        <v>VC03</v>
      </c>
      <c r="F495" s="2" t="s">
        <v>29</v>
      </c>
      <c r="G495" s="2" t="str">
        <f>_xlfn.XLOOKUP(Tabla1[[#This Row],[MARCA]],MARCAS!E:E,MARCAS!F:F)</f>
        <v>180</v>
      </c>
      <c r="H495" s="2" t="str">
        <f>_xlfn.XLOOKUP(Tabla1[[#This Row],[MARCA]],MARCAS!C:C,MARCAS!A:A)</f>
        <v>F0010</v>
      </c>
      <c r="I495" s="38" t="s">
        <v>1574</v>
      </c>
      <c r="J495" s="37" t="s">
        <v>1575</v>
      </c>
      <c r="K495" s="2" t="s">
        <v>1576</v>
      </c>
    </row>
    <row r="496" spans="1:11" hidden="1" x14ac:dyDescent="0.25">
      <c r="A496" s="2" t="s">
        <v>34</v>
      </c>
      <c r="B496" s="2" t="str">
        <f>_xlfn.XLOOKUP(Tabla1[[#This Row],[SOCIEDAD]],centros!D:D,centros!E:E)</f>
        <v>VC00</v>
      </c>
      <c r="C496" s="2" t="s">
        <v>112</v>
      </c>
      <c r="D496" s="2" t="s">
        <v>33</v>
      </c>
      <c r="E496" s="2" t="str">
        <f>IFERROR(INDEX(centros!$H$2:$H$45,MATCH(TRIM(Tabla1[[#This Row],[SOCIEDAD]])&amp;"|"&amp;TRIM(Tabla1[[#This Row],[LOCALIDAD]]),centros!$G$2:$G$45,0)),"REVISAR")</f>
        <v>VC07</v>
      </c>
      <c r="F496" s="2" t="s">
        <v>29</v>
      </c>
      <c r="G496" s="2" t="str">
        <f>_xlfn.XLOOKUP(Tabla1[[#This Row],[MARCA]],MARCAS!E:E,MARCAS!F:F)</f>
        <v>180</v>
      </c>
      <c r="H496" s="2" t="str">
        <f>_xlfn.XLOOKUP(Tabla1[[#This Row],[MARCA]],MARCAS!C:C,MARCAS!A:A)</f>
        <v>F0010</v>
      </c>
      <c r="I496" s="38" t="s">
        <v>1577</v>
      </c>
      <c r="J496" s="37" t="s">
        <v>1578</v>
      </c>
      <c r="K496" s="2" t="s">
        <v>1579</v>
      </c>
    </row>
    <row r="497" spans="1:11" hidden="1" x14ac:dyDescent="0.25">
      <c r="A497" s="2" t="s">
        <v>34</v>
      </c>
      <c r="B497" s="2" t="str">
        <f>_xlfn.XLOOKUP(Tabla1[[#This Row],[SOCIEDAD]],centros!D:D,centros!E:E)</f>
        <v>VC00</v>
      </c>
      <c r="C497" s="2" t="s">
        <v>112</v>
      </c>
      <c r="D497" s="2" t="s">
        <v>15</v>
      </c>
      <c r="E497" s="2" t="str">
        <f>IFERROR(INDEX(centros!$H$2:$H$45,MATCH(TRIM(Tabla1[[#This Row],[SOCIEDAD]])&amp;"|"&amp;TRIM(Tabla1[[#This Row],[LOCALIDAD]]),centros!$G$2:$G$45,0)),"REVISAR")</f>
        <v>VC02</v>
      </c>
      <c r="F497" s="2" t="s">
        <v>54</v>
      </c>
      <c r="G497" s="2" t="str">
        <f>_xlfn.XLOOKUP(Tabla1[[#This Row],[MARCA]],MARCAS!E:E,MARCAS!F:F)</f>
        <v>150</v>
      </c>
      <c r="H497" s="2" t="str">
        <f>_xlfn.XLOOKUP(Tabla1[[#This Row],[MARCA]],MARCAS!C:C,MARCAS!A:A)</f>
        <v>F0016</v>
      </c>
      <c r="I497" s="38" t="s">
        <v>1580</v>
      </c>
      <c r="J497" s="37" t="s">
        <v>1581</v>
      </c>
      <c r="K497" s="2" t="s">
        <v>1582</v>
      </c>
    </row>
    <row r="498" spans="1:11" hidden="1" x14ac:dyDescent="0.25">
      <c r="A498" s="2" t="s">
        <v>34</v>
      </c>
      <c r="B498" s="2" t="str">
        <f>_xlfn.XLOOKUP(Tabla1[[#This Row],[SOCIEDAD]],centros!D:D,centros!E:E)</f>
        <v>VC00</v>
      </c>
      <c r="C498" s="2" t="s">
        <v>112</v>
      </c>
      <c r="D498" s="2" t="s">
        <v>11</v>
      </c>
      <c r="E498" s="2" t="str">
        <f>IFERROR(INDEX(centros!$H$2:$H$45,MATCH(TRIM(Tabla1[[#This Row],[SOCIEDAD]])&amp;"|"&amp;TRIM(Tabla1[[#This Row],[LOCALIDAD]]),centros!$G$2:$G$45,0)),"REVISAR")</f>
        <v>VC00</v>
      </c>
      <c r="F498" s="2" t="s">
        <v>54</v>
      </c>
      <c r="G498" s="2" t="str">
        <f>_xlfn.XLOOKUP(Tabla1[[#This Row],[MARCA]],MARCAS!E:E,MARCAS!F:F)</f>
        <v>150</v>
      </c>
      <c r="H498" s="2" t="str">
        <f>_xlfn.XLOOKUP(Tabla1[[#This Row],[MARCA]],MARCAS!C:C,MARCAS!A:A)</f>
        <v>F0016</v>
      </c>
      <c r="I498" s="38" t="s">
        <v>1583</v>
      </c>
      <c r="J498" s="37" t="s">
        <v>1584</v>
      </c>
      <c r="K498" s="2" t="s">
        <v>1585</v>
      </c>
    </row>
    <row r="499" spans="1:11" hidden="1" x14ac:dyDescent="0.25">
      <c r="A499" s="2" t="s">
        <v>34</v>
      </c>
      <c r="B499" s="2" t="str">
        <f>_xlfn.XLOOKUP(Tabla1[[#This Row],[SOCIEDAD]],centros!D:D,centros!E:E)</f>
        <v>VC00</v>
      </c>
      <c r="C499" s="2" t="s">
        <v>112</v>
      </c>
      <c r="D499" s="2" t="s">
        <v>17</v>
      </c>
      <c r="E499" s="2" t="str">
        <f>IFERROR(INDEX(centros!$H$2:$H$45,MATCH(TRIM(Tabla1[[#This Row],[SOCIEDAD]])&amp;"|"&amp;TRIM(Tabla1[[#This Row],[LOCALIDAD]]),centros!$G$2:$G$45,0)),"REVISAR")</f>
        <v>VC04</v>
      </c>
      <c r="F499" s="2" t="s">
        <v>54</v>
      </c>
      <c r="G499" s="2" t="str">
        <f>_xlfn.XLOOKUP(Tabla1[[#This Row],[MARCA]],MARCAS!E:E,MARCAS!F:F)</f>
        <v>150</v>
      </c>
      <c r="H499" s="2" t="str">
        <f>_xlfn.XLOOKUP(Tabla1[[#This Row],[MARCA]],MARCAS!C:C,MARCAS!A:A)</f>
        <v>F0016</v>
      </c>
      <c r="I499" s="38" t="s">
        <v>1586</v>
      </c>
      <c r="J499" s="37" t="s">
        <v>1587</v>
      </c>
      <c r="K499" s="2" t="s">
        <v>1588</v>
      </c>
    </row>
    <row r="500" spans="1:11" hidden="1" x14ac:dyDescent="0.25">
      <c r="A500" s="2" t="s">
        <v>34</v>
      </c>
      <c r="B500" s="2" t="str">
        <f>_xlfn.XLOOKUP(Tabla1[[#This Row],[SOCIEDAD]],centros!D:D,centros!E:E)</f>
        <v>VC00</v>
      </c>
      <c r="C500" s="2" t="s">
        <v>112</v>
      </c>
      <c r="D500" s="2" t="s">
        <v>19</v>
      </c>
      <c r="E500" s="2" t="str">
        <f>IFERROR(INDEX(centros!$H$2:$H$45,MATCH(TRIM(Tabla1[[#This Row],[SOCIEDAD]])&amp;"|"&amp;TRIM(Tabla1[[#This Row],[LOCALIDAD]]),centros!$G$2:$G$45,0)),"REVISAR")</f>
        <v>VC05</v>
      </c>
      <c r="F500" s="2" t="s">
        <v>54</v>
      </c>
      <c r="G500" s="2" t="str">
        <f>_xlfn.XLOOKUP(Tabla1[[#This Row],[MARCA]],MARCAS!E:E,MARCAS!F:F)</f>
        <v>150</v>
      </c>
      <c r="H500" s="2" t="str">
        <f>_xlfn.XLOOKUP(Tabla1[[#This Row],[MARCA]],MARCAS!C:C,MARCAS!A:A)</f>
        <v>F0016</v>
      </c>
      <c r="I500" s="38" t="s">
        <v>1589</v>
      </c>
      <c r="J500" s="37" t="s">
        <v>1590</v>
      </c>
      <c r="K500" s="2" t="s">
        <v>1591</v>
      </c>
    </row>
    <row r="501" spans="1:11" hidden="1" x14ac:dyDescent="0.25">
      <c r="A501" s="2" t="s">
        <v>34</v>
      </c>
      <c r="B501" s="2" t="str">
        <f>_xlfn.XLOOKUP(Tabla1[[#This Row],[SOCIEDAD]],centros!D:D,centros!E:E)</f>
        <v>VC00</v>
      </c>
      <c r="C501" s="2" t="s">
        <v>112</v>
      </c>
      <c r="D501" s="2" t="s">
        <v>13</v>
      </c>
      <c r="E501" s="2" t="str">
        <f>IFERROR(INDEX(centros!$H$2:$H$45,MATCH(TRIM(Tabla1[[#This Row],[SOCIEDAD]])&amp;"|"&amp;TRIM(Tabla1[[#This Row],[LOCALIDAD]]),centros!$G$2:$G$45,0)),"REVISAR")</f>
        <v>VC01</v>
      </c>
      <c r="F501" s="2" t="s">
        <v>54</v>
      </c>
      <c r="G501" s="2" t="str">
        <f>_xlfn.XLOOKUP(Tabla1[[#This Row],[MARCA]],MARCAS!E:E,MARCAS!F:F)</f>
        <v>150</v>
      </c>
      <c r="H501" s="2" t="str">
        <f>_xlfn.XLOOKUP(Tabla1[[#This Row],[MARCA]],MARCAS!C:C,MARCAS!A:A)</f>
        <v>F0016</v>
      </c>
      <c r="I501" s="38" t="s">
        <v>1592</v>
      </c>
      <c r="J501" s="37" t="s">
        <v>1593</v>
      </c>
      <c r="K501" s="2" t="s">
        <v>1594</v>
      </c>
    </row>
    <row r="502" spans="1:11" hidden="1" x14ac:dyDescent="0.25">
      <c r="A502" s="2" t="s">
        <v>34</v>
      </c>
      <c r="B502" s="2" t="str">
        <f>_xlfn.XLOOKUP(Tabla1[[#This Row],[SOCIEDAD]],centros!D:D,centros!E:E)</f>
        <v>VC00</v>
      </c>
      <c r="C502" s="2" t="s">
        <v>112</v>
      </c>
      <c r="D502" s="2" t="s">
        <v>23</v>
      </c>
      <c r="E502" s="2" t="str">
        <f>IFERROR(INDEX(centros!$H$2:$H$45,MATCH(TRIM(Tabla1[[#This Row],[SOCIEDAD]])&amp;"|"&amp;TRIM(Tabla1[[#This Row],[LOCALIDAD]]),centros!$G$2:$G$45,0)),"REVISAR")</f>
        <v>VC06</v>
      </c>
      <c r="F502" s="2" t="s">
        <v>54</v>
      </c>
      <c r="G502" s="2" t="str">
        <f>_xlfn.XLOOKUP(Tabla1[[#This Row],[MARCA]],MARCAS!E:E,MARCAS!F:F)</f>
        <v>150</v>
      </c>
      <c r="H502" s="2" t="str">
        <f>_xlfn.XLOOKUP(Tabla1[[#This Row],[MARCA]],MARCAS!C:C,MARCAS!A:A)</f>
        <v>F0016</v>
      </c>
      <c r="I502" s="38" t="s">
        <v>1595</v>
      </c>
      <c r="J502" s="37" t="s">
        <v>1596</v>
      </c>
      <c r="K502" s="2" t="s">
        <v>1597</v>
      </c>
    </row>
    <row r="503" spans="1:11" hidden="1" x14ac:dyDescent="0.25">
      <c r="A503" s="2" t="s">
        <v>34</v>
      </c>
      <c r="B503" s="2" t="str">
        <f>_xlfn.XLOOKUP(Tabla1[[#This Row],[SOCIEDAD]],centros!D:D,centros!E:E)</f>
        <v>VC00</v>
      </c>
      <c r="C503" s="2" t="s">
        <v>112</v>
      </c>
      <c r="D503" s="2" t="s">
        <v>32</v>
      </c>
      <c r="E503" s="2" t="str">
        <f>IFERROR(INDEX(centros!$H$2:$H$45,MATCH(TRIM(Tabla1[[#This Row],[SOCIEDAD]])&amp;"|"&amp;TRIM(Tabla1[[#This Row],[LOCALIDAD]]),centros!$G$2:$G$45,0)),"REVISAR")</f>
        <v>VC03</v>
      </c>
      <c r="F503" s="2" t="s">
        <v>54</v>
      </c>
      <c r="G503" s="2" t="str">
        <f>_xlfn.XLOOKUP(Tabla1[[#This Row],[MARCA]],MARCAS!E:E,MARCAS!F:F)</f>
        <v>150</v>
      </c>
      <c r="H503" s="2" t="str">
        <f>_xlfn.XLOOKUP(Tabla1[[#This Row],[MARCA]],MARCAS!C:C,MARCAS!A:A)</f>
        <v>F0016</v>
      </c>
      <c r="I503" s="38" t="s">
        <v>1598</v>
      </c>
      <c r="J503" s="37" t="s">
        <v>1599</v>
      </c>
      <c r="K503" s="2" t="s">
        <v>1600</v>
      </c>
    </row>
    <row r="504" spans="1:11" hidden="1" x14ac:dyDescent="0.25">
      <c r="A504" s="2" t="s">
        <v>34</v>
      </c>
      <c r="B504" s="2" t="str">
        <f>_xlfn.XLOOKUP(Tabla1[[#This Row],[SOCIEDAD]],centros!D:D,centros!E:E)</f>
        <v>VC00</v>
      </c>
      <c r="C504" s="2" t="s">
        <v>112</v>
      </c>
      <c r="D504" s="2" t="s">
        <v>33</v>
      </c>
      <c r="E504" s="2" t="str">
        <f>IFERROR(INDEX(centros!$H$2:$H$45,MATCH(TRIM(Tabla1[[#This Row],[SOCIEDAD]])&amp;"|"&amp;TRIM(Tabla1[[#This Row],[LOCALIDAD]]),centros!$G$2:$G$45,0)),"REVISAR")</f>
        <v>VC07</v>
      </c>
      <c r="F504" s="2" t="s">
        <v>54</v>
      </c>
      <c r="G504" s="2" t="str">
        <f>_xlfn.XLOOKUP(Tabla1[[#This Row],[MARCA]],MARCAS!E:E,MARCAS!F:F)</f>
        <v>150</v>
      </c>
      <c r="H504" s="2" t="str">
        <f>_xlfn.XLOOKUP(Tabla1[[#This Row],[MARCA]],MARCAS!C:C,MARCAS!A:A)</f>
        <v>F0016</v>
      </c>
      <c r="I504" s="38" t="s">
        <v>1601</v>
      </c>
      <c r="J504" s="37" t="s">
        <v>1602</v>
      </c>
      <c r="K504" s="2" t="s">
        <v>1603</v>
      </c>
    </row>
    <row r="505" spans="1:11" hidden="1" x14ac:dyDescent="0.25">
      <c r="A505" s="2" t="s">
        <v>34</v>
      </c>
      <c r="B505" s="2" t="str">
        <f>_xlfn.XLOOKUP(Tabla1[[#This Row],[SOCIEDAD]],centros!D:D,centros!E:E)</f>
        <v>VC00</v>
      </c>
      <c r="C505" s="2" t="s">
        <v>112</v>
      </c>
      <c r="D505" s="2" t="s">
        <v>15</v>
      </c>
      <c r="E505" s="2" t="str">
        <f>IFERROR(INDEX(centros!$H$2:$H$45,MATCH(TRIM(Tabla1[[#This Row],[SOCIEDAD]])&amp;"|"&amp;TRIM(Tabla1[[#This Row],[LOCALIDAD]]),centros!$G$2:$G$45,0)),"REVISAR")</f>
        <v>VC02</v>
      </c>
      <c r="F505" s="2" t="s">
        <v>105</v>
      </c>
      <c r="G505" s="2" t="str">
        <f>_xlfn.XLOOKUP(Tabla1[[#This Row],[MARCA]],MARCAS!E:E,MARCAS!F:F)</f>
        <v>280</v>
      </c>
      <c r="H505" s="2" t="str">
        <f>_xlfn.XLOOKUP(Tabla1[[#This Row],[MARCA]],MARCAS!C:C,MARCAS!A:A)</f>
        <v>F9999</v>
      </c>
      <c r="I505" s="38" t="s">
        <v>1604</v>
      </c>
      <c r="J505" s="37" t="s">
        <v>1605</v>
      </c>
      <c r="K505" s="2" t="s">
        <v>1606</v>
      </c>
    </row>
    <row r="506" spans="1:11" hidden="1" x14ac:dyDescent="0.25">
      <c r="A506" s="2" t="s">
        <v>34</v>
      </c>
      <c r="B506" s="2" t="str">
        <f>_xlfn.XLOOKUP(Tabla1[[#This Row],[SOCIEDAD]],centros!D:D,centros!E:E)</f>
        <v>VC00</v>
      </c>
      <c r="C506" s="2" t="s">
        <v>112</v>
      </c>
      <c r="D506" s="2" t="s">
        <v>11</v>
      </c>
      <c r="E506" s="2" t="str">
        <f>IFERROR(INDEX(centros!$H$2:$H$45,MATCH(TRIM(Tabla1[[#This Row],[SOCIEDAD]])&amp;"|"&amp;TRIM(Tabla1[[#This Row],[LOCALIDAD]]),centros!$G$2:$G$45,0)),"REVISAR")</f>
        <v>VC00</v>
      </c>
      <c r="F506" s="2" t="s">
        <v>105</v>
      </c>
      <c r="G506" s="2" t="str">
        <f>_xlfn.XLOOKUP(Tabla1[[#This Row],[MARCA]],MARCAS!E:E,MARCAS!F:F)</f>
        <v>280</v>
      </c>
      <c r="H506" s="2" t="str">
        <f>_xlfn.XLOOKUP(Tabla1[[#This Row],[MARCA]],MARCAS!C:C,MARCAS!A:A)</f>
        <v>F9999</v>
      </c>
      <c r="I506" s="38" t="s">
        <v>1607</v>
      </c>
      <c r="J506" s="37" t="s">
        <v>1608</v>
      </c>
      <c r="K506" s="2" t="s">
        <v>1609</v>
      </c>
    </row>
    <row r="507" spans="1:11" hidden="1" x14ac:dyDescent="0.25">
      <c r="A507" s="2" t="s">
        <v>34</v>
      </c>
      <c r="B507" s="2" t="str">
        <f>_xlfn.XLOOKUP(Tabla1[[#This Row],[SOCIEDAD]],centros!D:D,centros!E:E)</f>
        <v>VC00</v>
      </c>
      <c r="C507" s="2" t="s">
        <v>112</v>
      </c>
      <c r="D507" s="2" t="s">
        <v>17</v>
      </c>
      <c r="E507" s="2" t="str">
        <f>IFERROR(INDEX(centros!$H$2:$H$45,MATCH(TRIM(Tabla1[[#This Row],[SOCIEDAD]])&amp;"|"&amp;TRIM(Tabla1[[#This Row],[LOCALIDAD]]),centros!$G$2:$G$45,0)),"REVISAR")</f>
        <v>VC04</v>
      </c>
      <c r="F507" s="2" t="s">
        <v>105</v>
      </c>
      <c r="G507" s="2" t="str">
        <f>_xlfn.XLOOKUP(Tabla1[[#This Row],[MARCA]],MARCAS!E:E,MARCAS!F:F)</f>
        <v>280</v>
      </c>
      <c r="H507" s="2" t="str">
        <f>_xlfn.XLOOKUP(Tabla1[[#This Row],[MARCA]],MARCAS!C:C,MARCAS!A:A)</f>
        <v>F9999</v>
      </c>
      <c r="I507" s="38" t="s">
        <v>1610</v>
      </c>
      <c r="J507" s="37" t="s">
        <v>1611</v>
      </c>
      <c r="K507" s="2" t="s">
        <v>1612</v>
      </c>
    </row>
    <row r="508" spans="1:11" hidden="1" x14ac:dyDescent="0.25">
      <c r="A508" s="2" t="s">
        <v>34</v>
      </c>
      <c r="B508" s="2" t="str">
        <f>_xlfn.XLOOKUP(Tabla1[[#This Row],[SOCIEDAD]],centros!D:D,centros!E:E)</f>
        <v>VC00</v>
      </c>
      <c r="C508" s="2" t="s">
        <v>112</v>
      </c>
      <c r="D508" s="2" t="s">
        <v>19</v>
      </c>
      <c r="E508" s="2" t="str">
        <f>IFERROR(INDEX(centros!$H$2:$H$45,MATCH(TRIM(Tabla1[[#This Row],[SOCIEDAD]])&amp;"|"&amp;TRIM(Tabla1[[#This Row],[LOCALIDAD]]),centros!$G$2:$G$45,0)),"REVISAR")</f>
        <v>VC05</v>
      </c>
      <c r="F508" s="2" t="s">
        <v>105</v>
      </c>
      <c r="G508" s="2" t="str">
        <f>_xlfn.XLOOKUP(Tabla1[[#This Row],[MARCA]],MARCAS!E:E,MARCAS!F:F)</f>
        <v>280</v>
      </c>
      <c r="H508" s="2" t="str">
        <f>_xlfn.XLOOKUP(Tabla1[[#This Row],[MARCA]],MARCAS!C:C,MARCAS!A:A)</f>
        <v>F9999</v>
      </c>
      <c r="I508" s="38" t="s">
        <v>1613</v>
      </c>
      <c r="J508" s="37" t="s">
        <v>1614</v>
      </c>
      <c r="K508" s="2" t="s">
        <v>1615</v>
      </c>
    </row>
    <row r="509" spans="1:11" hidden="1" x14ac:dyDescent="0.25">
      <c r="A509" s="2" t="s">
        <v>34</v>
      </c>
      <c r="B509" s="2" t="str">
        <f>_xlfn.XLOOKUP(Tabla1[[#This Row],[SOCIEDAD]],centros!D:D,centros!E:E)</f>
        <v>VC00</v>
      </c>
      <c r="C509" s="2" t="s">
        <v>112</v>
      </c>
      <c r="D509" s="2" t="s">
        <v>13</v>
      </c>
      <c r="E509" s="2" t="str">
        <f>IFERROR(INDEX(centros!$H$2:$H$45,MATCH(TRIM(Tabla1[[#This Row],[SOCIEDAD]])&amp;"|"&amp;TRIM(Tabla1[[#This Row],[LOCALIDAD]]),centros!$G$2:$G$45,0)),"REVISAR")</f>
        <v>VC01</v>
      </c>
      <c r="F509" s="2" t="s">
        <v>105</v>
      </c>
      <c r="G509" s="2" t="str">
        <f>_xlfn.XLOOKUP(Tabla1[[#This Row],[MARCA]],MARCAS!E:E,MARCAS!F:F)</f>
        <v>280</v>
      </c>
      <c r="H509" s="2" t="str">
        <f>_xlfn.XLOOKUP(Tabla1[[#This Row],[MARCA]],MARCAS!C:C,MARCAS!A:A)</f>
        <v>F9999</v>
      </c>
      <c r="I509" s="38" t="s">
        <v>1616</v>
      </c>
      <c r="J509" s="37" t="s">
        <v>1617</v>
      </c>
      <c r="K509" s="2" t="s">
        <v>1618</v>
      </c>
    </row>
    <row r="510" spans="1:11" hidden="1" x14ac:dyDescent="0.25">
      <c r="A510" s="2" t="s">
        <v>34</v>
      </c>
      <c r="B510" s="2" t="str">
        <f>_xlfn.XLOOKUP(Tabla1[[#This Row],[SOCIEDAD]],centros!D:D,centros!E:E)</f>
        <v>VC00</v>
      </c>
      <c r="C510" s="2" t="s">
        <v>112</v>
      </c>
      <c r="D510" s="2" t="s">
        <v>23</v>
      </c>
      <c r="E510" s="2" t="str">
        <f>IFERROR(INDEX(centros!$H$2:$H$45,MATCH(TRIM(Tabla1[[#This Row],[SOCIEDAD]])&amp;"|"&amp;TRIM(Tabla1[[#This Row],[LOCALIDAD]]),centros!$G$2:$G$45,0)),"REVISAR")</f>
        <v>VC06</v>
      </c>
      <c r="F510" s="2" t="s">
        <v>105</v>
      </c>
      <c r="G510" s="2" t="str">
        <f>_xlfn.XLOOKUP(Tabla1[[#This Row],[MARCA]],MARCAS!E:E,MARCAS!F:F)</f>
        <v>280</v>
      </c>
      <c r="H510" s="2" t="str">
        <f>_xlfn.XLOOKUP(Tabla1[[#This Row],[MARCA]],MARCAS!C:C,MARCAS!A:A)</f>
        <v>F9999</v>
      </c>
      <c r="I510" s="38" t="s">
        <v>1619</v>
      </c>
      <c r="J510" s="37" t="s">
        <v>1620</v>
      </c>
      <c r="K510" s="2" t="s">
        <v>1621</v>
      </c>
    </row>
    <row r="511" spans="1:11" hidden="1" x14ac:dyDescent="0.25">
      <c r="A511" s="2" t="s">
        <v>34</v>
      </c>
      <c r="B511" s="2" t="str">
        <f>_xlfn.XLOOKUP(Tabla1[[#This Row],[SOCIEDAD]],centros!D:D,centros!E:E)</f>
        <v>VC00</v>
      </c>
      <c r="C511" s="2" t="s">
        <v>112</v>
      </c>
      <c r="D511" s="2" t="s">
        <v>32</v>
      </c>
      <c r="E511" s="2" t="str">
        <f>IFERROR(INDEX(centros!$H$2:$H$45,MATCH(TRIM(Tabla1[[#This Row],[SOCIEDAD]])&amp;"|"&amp;TRIM(Tabla1[[#This Row],[LOCALIDAD]]),centros!$G$2:$G$45,0)),"REVISAR")</f>
        <v>VC03</v>
      </c>
      <c r="F511" s="2" t="s">
        <v>105</v>
      </c>
      <c r="G511" s="2" t="str">
        <f>_xlfn.XLOOKUP(Tabla1[[#This Row],[MARCA]],MARCAS!E:E,MARCAS!F:F)</f>
        <v>280</v>
      </c>
      <c r="H511" s="2" t="str">
        <f>_xlfn.XLOOKUP(Tabla1[[#This Row],[MARCA]],MARCAS!C:C,MARCAS!A:A)</f>
        <v>F9999</v>
      </c>
      <c r="I511" s="38" t="s">
        <v>1622</v>
      </c>
      <c r="J511" s="37" t="s">
        <v>1623</v>
      </c>
      <c r="K511" s="2" t="s">
        <v>1624</v>
      </c>
    </row>
    <row r="512" spans="1:11" hidden="1" x14ac:dyDescent="0.25">
      <c r="A512" s="2" t="s">
        <v>34</v>
      </c>
      <c r="B512" s="2" t="str">
        <f>_xlfn.XLOOKUP(Tabla1[[#This Row],[SOCIEDAD]],centros!D:D,centros!E:E)</f>
        <v>VC00</v>
      </c>
      <c r="C512" s="2" t="s">
        <v>112</v>
      </c>
      <c r="D512" s="2" t="s">
        <v>33</v>
      </c>
      <c r="E512" s="2" t="str">
        <f>IFERROR(INDEX(centros!$H$2:$H$45,MATCH(TRIM(Tabla1[[#This Row],[SOCIEDAD]])&amp;"|"&amp;TRIM(Tabla1[[#This Row],[LOCALIDAD]]),centros!$G$2:$G$45,0)),"REVISAR")</f>
        <v>VC07</v>
      </c>
      <c r="F512" s="2" t="s">
        <v>105</v>
      </c>
      <c r="G512" s="2" t="str">
        <f>_xlfn.XLOOKUP(Tabla1[[#This Row],[MARCA]],MARCAS!E:E,MARCAS!F:F)</f>
        <v>280</v>
      </c>
      <c r="H512" s="2" t="str">
        <f>_xlfn.XLOOKUP(Tabla1[[#This Row],[MARCA]],MARCAS!C:C,MARCAS!A:A)</f>
        <v>F9999</v>
      </c>
      <c r="I512" s="38" t="s">
        <v>1625</v>
      </c>
      <c r="J512" s="37" t="s">
        <v>1626</v>
      </c>
      <c r="K512" s="2" t="s">
        <v>1627</v>
      </c>
    </row>
    <row r="513" spans="1:11" hidden="1" x14ac:dyDescent="0.25">
      <c r="A513" s="2" t="s">
        <v>34</v>
      </c>
      <c r="B513" s="2" t="str">
        <f>_xlfn.XLOOKUP(Tabla1[[#This Row],[SOCIEDAD]],centros!D:D,centros!E:E)</f>
        <v>VC00</v>
      </c>
      <c r="C513" s="2" t="s">
        <v>930</v>
      </c>
      <c r="D513" s="2" t="s">
        <v>15</v>
      </c>
      <c r="E513" s="2" t="str">
        <f>IFERROR(INDEX(centros!$H$2:$H$45,MATCH(TRIM(Tabla1[[#This Row],[SOCIEDAD]])&amp;"|"&amp;TRIM(Tabla1[[#This Row],[LOCALIDAD]]),centros!$G$2:$G$45,0)),"REVISAR")</f>
        <v>VC02</v>
      </c>
      <c r="F513" s="2" t="s">
        <v>105</v>
      </c>
      <c r="G513" s="2" t="str">
        <f>_xlfn.XLOOKUP(Tabla1[[#This Row],[MARCA]],MARCAS!E:E,MARCAS!F:F)</f>
        <v>280</v>
      </c>
      <c r="H513" s="2" t="str">
        <f>_xlfn.XLOOKUP(Tabla1[[#This Row],[MARCA]],MARCAS!C:C,MARCAS!A:A)</f>
        <v>F9999</v>
      </c>
      <c r="I513" s="38" t="s">
        <v>1628</v>
      </c>
      <c r="J513" s="37" t="s">
        <v>1629</v>
      </c>
      <c r="K513" s="2" t="s">
        <v>1630</v>
      </c>
    </row>
    <row r="514" spans="1:11" hidden="1" x14ac:dyDescent="0.25">
      <c r="A514" s="2" t="s">
        <v>34</v>
      </c>
      <c r="B514" s="2" t="str">
        <f>_xlfn.XLOOKUP(Tabla1[[#This Row],[SOCIEDAD]],centros!D:D,centros!E:E)</f>
        <v>VC00</v>
      </c>
      <c r="C514" s="2" t="s">
        <v>930</v>
      </c>
      <c r="D514" s="2" t="s">
        <v>11</v>
      </c>
      <c r="E514" s="2" t="str">
        <f>IFERROR(INDEX(centros!$H$2:$H$45,MATCH(TRIM(Tabla1[[#This Row],[SOCIEDAD]])&amp;"|"&amp;TRIM(Tabla1[[#This Row],[LOCALIDAD]]),centros!$G$2:$G$45,0)),"REVISAR")</f>
        <v>VC00</v>
      </c>
      <c r="F514" s="2" t="s">
        <v>105</v>
      </c>
      <c r="G514" s="2" t="str">
        <f>_xlfn.XLOOKUP(Tabla1[[#This Row],[MARCA]],MARCAS!E:E,MARCAS!F:F)</f>
        <v>280</v>
      </c>
      <c r="H514" s="2" t="str">
        <f>_xlfn.XLOOKUP(Tabla1[[#This Row],[MARCA]],MARCAS!C:C,MARCAS!A:A)</f>
        <v>F9999</v>
      </c>
      <c r="I514" s="38" t="s">
        <v>1631</v>
      </c>
      <c r="J514" s="37" t="s">
        <v>1632</v>
      </c>
      <c r="K514" s="2" t="s">
        <v>1633</v>
      </c>
    </row>
    <row r="515" spans="1:11" hidden="1" x14ac:dyDescent="0.25">
      <c r="A515" s="2" t="s">
        <v>34</v>
      </c>
      <c r="B515" s="2" t="str">
        <f>_xlfn.XLOOKUP(Tabla1[[#This Row],[SOCIEDAD]],centros!D:D,centros!E:E)</f>
        <v>VC00</v>
      </c>
      <c r="C515" s="2" t="s">
        <v>930</v>
      </c>
      <c r="D515" s="2" t="s">
        <v>17</v>
      </c>
      <c r="E515" s="2" t="str">
        <f>IFERROR(INDEX(centros!$H$2:$H$45,MATCH(TRIM(Tabla1[[#This Row],[SOCIEDAD]])&amp;"|"&amp;TRIM(Tabla1[[#This Row],[LOCALIDAD]]),centros!$G$2:$G$45,0)),"REVISAR")</f>
        <v>VC04</v>
      </c>
      <c r="F515" s="2" t="s">
        <v>105</v>
      </c>
      <c r="G515" s="2" t="str">
        <f>_xlfn.XLOOKUP(Tabla1[[#This Row],[MARCA]],MARCAS!E:E,MARCAS!F:F)</f>
        <v>280</v>
      </c>
      <c r="H515" s="2" t="str">
        <f>_xlfn.XLOOKUP(Tabla1[[#This Row],[MARCA]],MARCAS!C:C,MARCAS!A:A)</f>
        <v>F9999</v>
      </c>
      <c r="I515" s="38" t="s">
        <v>1634</v>
      </c>
      <c r="J515" s="37" t="s">
        <v>1635</v>
      </c>
      <c r="K515" s="2" t="s">
        <v>1636</v>
      </c>
    </row>
    <row r="516" spans="1:11" hidden="1" x14ac:dyDescent="0.25">
      <c r="A516" s="2" t="s">
        <v>34</v>
      </c>
      <c r="B516" s="2" t="str">
        <f>_xlfn.XLOOKUP(Tabla1[[#This Row],[SOCIEDAD]],centros!D:D,centros!E:E)</f>
        <v>VC00</v>
      </c>
      <c r="C516" s="2" t="s">
        <v>930</v>
      </c>
      <c r="D516" s="2" t="s">
        <v>19</v>
      </c>
      <c r="E516" s="2" t="str">
        <f>IFERROR(INDEX(centros!$H$2:$H$45,MATCH(TRIM(Tabla1[[#This Row],[SOCIEDAD]])&amp;"|"&amp;TRIM(Tabla1[[#This Row],[LOCALIDAD]]),centros!$G$2:$G$45,0)),"REVISAR")</f>
        <v>VC05</v>
      </c>
      <c r="F516" s="2" t="s">
        <v>105</v>
      </c>
      <c r="G516" s="2" t="str">
        <f>_xlfn.XLOOKUP(Tabla1[[#This Row],[MARCA]],MARCAS!E:E,MARCAS!F:F)</f>
        <v>280</v>
      </c>
      <c r="H516" s="2" t="str">
        <f>_xlfn.XLOOKUP(Tabla1[[#This Row],[MARCA]],MARCAS!C:C,MARCAS!A:A)</f>
        <v>F9999</v>
      </c>
      <c r="I516" s="38" t="s">
        <v>1637</v>
      </c>
      <c r="J516" s="37" t="s">
        <v>1638</v>
      </c>
      <c r="K516" s="2" t="s">
        <v>1639</v>
      </c>
    </row>
    <row r="517" spans="1:11" hidden="1" x14ac:dyDescent="0.25">
      <c r="A517" s="2" t="s">
        <v>34</v>
      </c>
      <c r="B517" s="2" t="str">
        <f>_xlfn.XLOOKUP(Tabla1[[#This Row],[SOCIEDAD]],centros!D:D,centros!E:E)</f>
        <v>VC00</v>
      </c>
      <c r="C517" s="2" t="s">
        <v>930</v>
      </c>
      <c r="D517" s="2" t="s">
        <v>13</v>
      </c>
      <c r="E517" s="2" t="str">
        <f>IFERROR(INDEX(centros!$H$2:$H$45,MATCH(TRIM(Tabla1[[#This Row],[SOCIEDAD]])&amp;"|"&amp;TRIM(Tabla1[[#This Row],[LOCALIDAD]]),centros!$G$2:$G$45,0)),"REVISAR")</f>
        <v>VC01</v>
      </c>
      <c r="F517" s="2" t="s">
        <v>105</v>
      </c>
      <c r="G517" s="2" t="str">
        <f>_xlfn.XLOOKUP(Tabla1[[#This Row],[MARCA]],MARCAS!E:E,MARCAS!F:F)</f>
        <v>280</v>
      </c>
      <c r="H517" s="2" t="str">
        <f>_xlfn.XLOOKUP(Tabla1[[#This Row],[MARCA]],MARCAS!C:C,MARCAS!A:A)</f>
        <v>F9999</v>
      </c>
      <c r="I517" s="38" t="s">
        <v>1640</v>
      </c>
      <c r="J517" s="37" t="s">
        <v>1641</v>
      </c>
      <c r="K517" s="2" t="s">
        <v>1642</v>
      </c>
    </row>
    <row r="518" spans="1:11" hidden="1" x14ac:dyDescent="0.25">
      <c r="A518" s="2" t="s">
        <v>34</v>
      </c>
      <c r="B518" s="2" t="str">
        <f>_xlfn.XLOOKUP(Tabla1[[#This Row],[SOCIEDAD]],centros!D:D,centros!E:E)</f>
        <v>VC00</v>
      </c>
      <c r="C518" s="2" t="s">
        <v>930</v>
      </c>
      <c r="D518" s="2" t="s">
        <v>23</v>
      </c>
      <c r="E518" s="2" t="str">
        <f>IFERROR(INDEX(centros!$H$2:$H$45,MATCH(TRIM(Tabla1[[#This Row],[SOCIEDAD]])&amp;"|"&amp;TRIM(Tabla1[[#This Row],[LOCALIDAD]]),centros!$G$2:$G$45,0)),"REVISAR")</f>
        <v>VC06</v>
      </c>
      <c r="F518" s="2" t="s">
        <v>105</v>
      </c>
      <c r="G518" s="2" t="str">
        <f>_xlfn.XLOOKUP(Tabla1[[#This Row],[MARCA]],MARCAS!E:E,MARCAS!F:F)</f>
        <v>280</v>
      </c>
      <c r="H518" s="2" t="str">
        <f>_xlfn.XLOOKUP(Tabla1[[#This Row],[MARCA]],MARCAS!C:C,MARCAS!A:A)</f>
        <v>F9999</v>
      </c>
      <c r="I518" s="38" t="s">
        <v>1643</v>
      </c>
      <c r="J518" s="37" t="s">
        <v>1644</v>
      </c>
      <c r="K518" s="2" t="s">
        <v>1645</v>
      </c>
    </row>
    <row r="519" spans="1:11" hidden="1" x14ac:dyDescent="0.25">
      <c r="A519" s="2" t="s">
        <v>34</v>
      </c>
      <c r="B519" s="2" t="str">
        <f>_xlfn.XLOOKUP(Tabla1[[#This Row],[SOCIEDAD]],centros!D:D,centros!E:E)</f>
        <v>VC00</v>
      </c>
      <c r="C519" s="2" t="s">
        <v>930</v>
      </c>
      <c r="D519" s="2" t="s">
        <v>32</v>
      </c>
      <c r="E519" s="2" t="str">
        <f>IFERROR(INDEX(centros!$H$2:$H$45,MATCH(TRIM(Tabla1[[#This Row],[SOCIEDAD]])&amp;"|"&amp;TRIM(Tabla1[[#This Row],[LOCALIDAD]]),centros!$G$2:$G$45,0)),"REVISAR")</f>
        <v>VC03</v>
      </c>
      <c r="F519" s="2" t="s">
        <v>105</v>
      </c>
      <c r="G519" s="2" t="str">
        <f>_xlfn.XLOOKUP(Tabla1[[#This Row],[MARCA]],MARCAS!E:E,MARCAS!F:F)</f>
        <v>280</v>
      </c>
      <c r="H519" s="2" t="str">
        <f>_xlfn.XLOOKUP(Tabla1[[#This Row],[MARCA]],MARCAS!C:C,MARCAS!A:A)</f>
        <v>F9999</v>
      </c>
      <c r="I519" s="38" t="s">
        <v>1646</v>
      </c>
      <c r="J519" s="37" t="s">
        <v>1647</v>
      </c>
      <c r="K519" s="2" t="s">
        <v>1648</v>
      </c>
    </row>
    <row r="520" spans="1:11" hidden="1" x14ac:dyDescent="0.25">
      <c r="A520" s="2" t="s">
        <v>34</v>
      </c>
      <c r="B520" s="2" t="str">
        <f>_xlfn.XLOOKUP(Tabla1[[#This Row],[SOCIEDAD]],centros!D:D,centros!E:E)</f>
        <v>VC00</v>
      </c>
      <c r="C520" s="2" t="s">
        <v>930</v>
      </c>
      <c r="D520" s="2" t="s">
        <v>33</v>
      </c>
      <c r="E520" s="2" t="str">
        <f>IFERROR(INDEX(centros!$H$2:$H$45,MATCH(TRIM(Tabla1[[#This Row],[SOCIEDAD]])&amp;"|"&amp;TRIM(Tabla1[[#This Row],[LOCALIDAD]]),centros!$G$2:$G$45,0)),"REVISAR")</f>
        <v>VC07</v>
      </c>
      <c r="F520" s="2" t="s">
        <v>105</v>
      </c>
      <c r="G520" s="2" t="str">
        <f>_xlfn.XLOOKUP(Tabla1[[#This Row],[MARCA]],MARCAS!E:E,MARCAS!F:F)</f>
        <v>280</v>
      </c>
      <c r="H520" s="2" t="str">
        <f>_xlfn.XLOOKUP(Tabla1[[#This Row],[MARCA]],MARCAS!C:C,MARCAS!A:A)</f>
        <v>F9999</v>
      </c>
      <c r="I520" s="38" t="s">
        <v>1649</v>
      </c>
      <c r="J520" s="37" t="s">
        <v>1650</v>
      </c>
      <c r="K520" s="2" t="s">
        <v>1651</v>
      </c>
    </row>
    <row r="521" spans="1:11" hidden="1" x14ac:dyDescent="0.25">
      <c r="A521" s="2" t="s">
        <v>34</v>
      </c>
      <c r="B521" s="2" t="str">
        <f>_xlfn.XLOOKUP(Tabla1[[#This Row],[SOCIEDAD]],centros!D:D,centros!E:E)</f>
        <v>VC00</v>
      </c>
      <c r="C521" s="2" t="s">
        <v>219</v>
      </c>
      <c r="D521" s="2" t="s">
        <v>15</v>
      </c>
      <c r="E521" s="2" t="str">
        <f>IFERROR(INDEX(centros!$H$2:$H$45,MATCH(TRIM(Tabla1[[#This Row],[SOCIEDAD]])&amp;"|"&amp;TRIM(Tabla1[[#This Row],[LOCALIDAD]]),centros!$G$2:$G$45,0)),"REVISAR")</f>
        <v>VC02</v>
      </c>
      <c r="F521" s="2" t="s">
        <v>45</v>
      </c>
      <c r="G521" s="2" t="str">
        <f>_xlfn.XLOOKUP(Tabla1[[#This Row],[MARCA]],MARCAS!E:E,MARCAS!F:F)</f>
        <v>100</v>
      </c>
      <c r="H521" s="2" t="str">
        <f>_xlfn.XLOOKUP(Tabla1[[#This Row],[MARCA]],MARCAS!C:C,MARCAS!A:A)</f>
        <v>F0012</v>
      </c>
      <c r="I521" s="38" t="s">
        <v>1652</v>
      </c>
      <c r="J521" s="37" t="s">
        <v>1653</v>
      </c>
      <c r="K521" s="2" t="s">
        <v>1654</v>
      </c>
    </row>
    <row r="522" spans="1:11" hidden="1" x14ac:dyDescent="0.25">
      <c r="A522" s="2" t="s">
        <v>34</v>
      </c>
      <c r="B522" s="2" t="str">
        <f>_xlfn.XLOOKUP(Tabla1[[#This Row],[SOCIEDAD]],centros!D:D,centros!E:E)</f>
        <v>VC00</v>
      </c>
      <c r="C522" s="2" t="s">
        <v>219</v>
      </c>
      <c r="D522" s="2" t="s">
        <v>11</v>
      </c>
      <c r="E522" s="2" t="str">
        <f>IFERROR(INDEX(centros!$H$2:$H$45,MATCH(TRIM(Tabla1[[#This Row],[SOCIEDAD]])&amp;"|"&amp;TRIM(Tabla1[[#This Row],[LOCALIDAD]]),centros!$G$2:$G$45,0)),"REVISAR")</f>
        <v>VC00</v>
      </c>
      <c r="F522" s="2" t="s">
        <v>45</v>
      </c>
      <c r="G522" s="2" t="str">
        <f>_xlfn.XLOOKUP(Tabla1[[#This Row],[MARCA]],MARCAS!E:E,MARCAS!F:F)</f>
        <v>100</v>
      </c>
      <c r="H522" s="2" t="str">
        <f>_xlfn.XLOOKUP(Tabla1[[#This Row],[MARCA]],MARCAS!C:C,MARCAS!A:A)</f>
        <v>F0012</v>
      </c>
      <c r="I522" s="38" t="s">
        <v>1655</v>
      </c>
      <c r="J522" s="37" t="s">
        <v>1656</v>
      </c>
      <c r="K522" s="2" t="s">
        <v>1657</v>
      </c>
    </row>
    <row r="523" spans="1:11" hidden="1" x14ac:dyDescent="0.25">
      <c r="A523" s="2" t="s">
        <v>34</v>
      </c>
      <c r="B523" s="2" t="str">
        <f>_xlfn.XLOOKUP(Tabla1[[#This Row],[SOCIEDAD]],centros!D:D,centros!E:E)</f>
        <v>VC00</v>
      </c>
      <c r="C523" s="2" t="s">
        <v>219</v>
      </c>
      <c r="D523" s="2" t="s">
        <v>17</v>
      </c>
      <c r="E523" s="2" t="str">
        <f>IFERROR(INDEX(centros!$H$2:$H$45,MATCH(TRIM(Tabla1[[#This Row],[SOCIEDAD]])&amp;"|"&amp;TRIM(Tabla1[[#This Row],[LOCALIDAD]]),centros!$G$2:$G$45,0)),"REVISAR")</f>
        <v>VC04</v>
      </c>
      <c r="F523" s="2" t="s">
        <v>45</v>
      </c>
      <c r="G523" s="2" t="str">
        <f>_xlfn.XLOOKUP(Tabla1[[#This Row],[MARCA]],MARCAS!E:E,MARCAS!F:F)</f>
        <v>100</v>
      </c>
      <c r="H523" s="2" t="str">
        <f>_xlfn.XLOOKUP(Tabla1[[#This Row],[MARCA]],MARCAS!C:C,MARCAS!A:A)</f>
        <v>F0012</v>
      </c>
      <c r="I523" s="38" t="s">
        <v>1658</v>
      </c>
      <c r="J523" s="37" t="s">
        <v>1659</v>
      </c>
      <c r="K523" s="2" t="s">
        <v>1660</v>
      </c>
    </row>
    <row r="524" spans="1:11" hidden="1" x14ac:dyDescent="0.25">
      <c r="A524" s="2" t="s">
        <v>34</v>
      </c>
      <c r="B524" s="2" t="str">
        <f>_xlfn.XLOOKUP(Tabla1[[#This Row],[SOCIEDAD]],centros!D:D,centros!E:E)</f>
        <v>VC00</v>
      </c>
      <c r="C524" s="2" t="s">
        <v>219</v>
      </c>
      <c r="D524" s="2" t="s">
        <v>19</v>
      </c>
      <c r="E524" s="2" t="str">
        <f>IFERROR(INDEX(centros!$H$2:$H$45,MATCH(TRIM(Tabla1[[#This Row],[SOCIEDAD]])&amp;"|"&amp;TRIM(Tabla1[[#This Row],[LOCALIDAD]]),centros!$G$2:$G$45,0)),"REVISAR")</f>
        <v>VC05</v>
      </c>
      <c r="F524" s="2" t="s">
        <v>45</v>
      </c>
      <c r="G524" s="2" t="str">
        <f>_xlfn.XLOOKUP(Tabla1[[#This Row],[MARCA]],MARCAS!E:E,MARCAS!F:F)</f>
        <v>100</v>
      </c>
      <c r="H524" s="2" t="str">
        <f>_xlfn.XLOOKUP(Tabla1[[#This Row],[MARCA]],MARCAS!C:C,MARCAS!A:A)</f>
        <v>F0012</v>
      </c>
      <c r="I524" s="38" t="s">
        <v>1661</v>
      </c>
      <c r="J524" s="37" t="s">
        <v>1662</v>
      </c>
      <c r="K524" s="2" t="s">
        <v>1663</v>
      </c>
    </row>
    <row r="525" spans="1:11" hidden="1" x14ac:dyDescent="0.25">
      <c r="A525" s="2" t="s">
        <v>34</v>
      </c>
      <c r="B525" s="2" t="str">
        <f>_xlfn.XLOOKUP(Tabla1[[#This Row],[SOCIEDAD]],centros!D:D,centros!E:E)</f>
        <v>VC00</v>
      </c>
      <c r="C525" s="2" t="s">
        <v>219</v>
      </c>
      <c r="D525" s="2" t="s">
        <v>13</v>
      </c>
      <c r="E525" s="2" t="str">
        <f>IFERROR(INDEX(centros!$H$2:$H$45,MATCH(TRIM(Tabla1[[#This Row],[SOCIEDAD]])&amp;"|"&amp;TRIM(Tabla1[[#This Row],[LOCALIDAD]]),centros!$G$2:$G$45,0)),"REVISAR")</f>
        <v>VC01</v>
      </c>
      <c r="F525" s="2" t="s">
        <v>45</v>
      </c>
      <c r="G525" s="2" t="str">
        <f>_xlfn.XLOOKUP(Tabla1[[#This Row],[MARCA]],MARCAS!E:E,MARCAS!F:F)</f>
        <v>100</v>
      </c>
      <c r="H525" s="2" t="str">
        <f>_xlfn.XLOOKUP(Tabla1[[#This Row],[MARCA]],MARCAS!C:C,MARCAS!A:A)</f>
        <v>F0012</v>
      </c>
      <c r="I525" s="38" t="s">
        <v>1664</v>
      </c>
      <c r="J525" s="37" t="s">
        <v>1665</v>
      </c>
      <c r="K525" s="2" t="s">
        <v>1666</v>
      </c>
    </row>
    <row r="526" spans="1:11" hidden="1" x14ac:dyDescent="0.25">
      <c r="A526" s="2" t="s">
        <v>34</v>
      </c>
      <c r="B526" s="2" t="str">
        <f>_xlfn.XLOOKUP(Tabla1[[#This Row],[SOCIEDAD]],centros!D:D,centros!E:E)</f>
        <v>VC00</v>
      </c>
      <c r="C526" s="2" t="s">
        <v>219</v>
      </c>
      <c r="D526" s="2" t="s">
        <v>23</v>
      </c>
      <c r="E526" s="2" t="str">
        <f>IFERROR(INDEX(centros!$H$2:$H$45,MATCH(TRIM(Tabla1[[#This Row],[SOCIEDAD]])&amp;"|"&amp;TRIM(Tabla1[[#This Row],[LOCALIDAD]]),centros!$G$2:$G$45,0)),"REVISAR")</f>
        <v>VC06</v>
      </c>
      <c r="F526" s="2" t="s">
        <v>45</v>
      </c>
      <c r="G526" s="2" t="str">
        <f>_xlfn.XLOOKUP(Tabla1[[#This Row],[MARCA]],MARCAS!E:E,MARCAS!F:F)</f>
        <v>100</v>
      </c>
      <c r="H526" s="2" t="str">
        <f>_xlfn.XLOOKUP(Tabla1[[#This Row],[MARCA]],MARCAS!C:C,MARCAS!A:A)</f>
        <v>F0012</v>
      </c>
      <c r="I526" s="38" t="s">
        <v>1667</v>
      </c>
      <c r="J526" s="37" t="s">
        <v>1668</v>
      </c>
      <c r="K526" s="2" t="s">
        <v>1669</v>
      </c>
    </row>
    <row r="527" spans="1:11" hidden="1" x14ac:dyDescent="0.25">
      <c r="A527" s="2" t="s">
        <v>34</v>
      </c>
      <c r="B527" s="2" t="str">
        <f>_xlfn.XLOOKUP(Tabla1[[#This Row],[SOCIEDAD]],centros!D:D,centros!E:E)</f>
        <v>VC00</v>
      </c>
      <c r="C527" s="2" t="s">
        <v>219</v>
      </c>
      <c r="D527" s="2" t="s">
        <v>32</v>
      </c>
      <c r="E527" s="2" t="str">
        <f>IFERROR(INDEX(centros!$H$2:$H$45,MATCH(TRIM(Tabla1[[#This Row],[SOCIEDAD]])&amp;"|"&amp;TRIM(Tabla1[[#This Row],[LOCALIDAD]]),centros!$G$2:$G$45,0)),"REVISAR")</f>
        <v>VC03</v>
      </c>
      <c r="F527" s="2" t="s">
        <v>45</v>
      </c>
      <c r="G527" s="2" t="str">
        <f>_xlfn.XLOOKUP(Tabla1[[#This Row],[MARCA]],MARCAS!E:E,MARCAS!F:F)</f>
        <v>100</v>
      </c>
      <c r="H527" s="2" t="str">
        <f>_xlfn.XLOOKUP(Tabla1[[#This Row],[MARCA]],MARCAS!C:C,MARCAS!A:A)</f>
        <v>F0012</v>
      </c>
      <c r="I527" s="38" t="s">
        <v>1670</v>
      </c>
      <c r="J527" s="37" t="s">
        <v>1671</v>
      </c>
      <c r="K527" s="2" t="s">
        <v>1672</v>
      </c>
    </row>
    <row r="528" spans="1:11" hidden="1" x14ac:dyDescent="0.25">
      <c r="A528" s="2" t="s">
        <v>34</v>
      </c>
      <c r="B528" s="2" t="str">
        <f>_xlfn.XLOOKUP(Tabla1[[#This Row],[SOCIEDAD]],centros!D:D,centros!E:E)</f>
        <v>VC00</v>
      </c>
      <c r="C528" s="2" t="s">
        <v>219</v>
      </c>
      <c r="D528" s="2" t="s">
        <v>33</v>
      </c>
      <c r="E528" s="2" t="str">
        <f>IFERROR(INDEX(centros!$H$2:$H$45,MATCH(TRIM(Tabla1[[#This Row],[SOCIEDAD]])&amp;"|"&amp;TRIM(Tabla1[[#This Row],[LOCALIDAD]]),centros!$G$2:$G$45,0)),"REVISAR")</f>
        <v>VC07</v>
      </c>
      <c r="F528" s="2" t="s">
        <v>45</v>
      </c>
      <c r="G528" s="2" t="str">
        <f>_xlfn.XLOOKUP(Tabla1[[#This Row],[MARCA]],MARCAS!E:E,MARCAS!F:F)</f>
        <v>100</v>
      </c>
      <c r="H528" s="2" t="str">
        <f>_xlfn.XLOOKUP(Tabla1[[#This Row],[MARCA]],MARCAS!C:C,MARCAS!A:A)</f>
        <v>F0012</v>
      </c>
      <c r="I528" s="38" t="s">
        <v>1673</v>
      </c>
      <c r="J528" s="37" t="s">
        <v>1674</v>
      </c>
      <c r="K528" s="2" t="s">
        <v>1675</v>
      </c>
    </row>
    <row r="529" spans="1:11" hidden="1" x14ac:dyDescent="0.25">
      <c r="A529" s="2" t="s">
        <v>34</v>
      </c>
      <c r="B529" s="2" t="str">
        <f>_xlfn.XLOOKUP(Tabla1[[#This Row],[SOCIEDAD]],centros!D:D,centros!E:E)</f>
        <v>VC00</v>
      </c>
      <c r="C529" s="2" t="s">
        <v>219</v>
      </c>
      <c r="D529" s="2" t="s">
        <v>15</v>
      </c>
      <c r="E529" s="2" t="str">
        <f>IFERROR(INDEX(centros!$H$2:$H$45,MATCH(TRIM(Tabla1[[#This Row],[SOCIEDAD]])&amp;"|"&amp;TRIM(Tabla1[[#This Row],[LOCALIDAD]]),centros!$G$2:$G$45,0)),"REVISAR")</f>
        <v>VC02</v>
      </c>
      <c r="F529" s="2" t="s">
        <v>54</v>
      </c>
      <c r="G529" s="2" t="str">
        <f>_xlfn.XLOOKUP(Tabla1[[#This Row],[MARCA]],MARCAS!E:E,MARCAS!F:F)</f>
        <v>150</v>
      </c>
      <c r="H529" s="2" t="str">
        <f>_xlfn.XLOOKUP(Tabla1[[#This Row],[MARCA]],MARCAS!C:C,MARCAS!A:A)</f>
        <v>F0016</v>
      </c>
      <c r="I529" s="38" t="s">
        <v>1676</v>
      </c>
      <c r="J529" s="37" t="s">
        <v>1677</v>
      </c>
      <c r="K529" s="2" t="s">
        <v>1678</v>
      </c>
    </row>
    <row r="530" spans="1:11" hidden="1" x14ac:dyDescent="0.25">
      <c r="A530" s="2" t="s">
        <v>34</v>
      </c>
      <c r="B530" s="2" t="str">
        <f>_xlfn.XLOOKUP(Tabla1[[#This Row],[SOCIEDAD]],centros!D:D,centros!E:E)</f>
        <v>VC00</v>
      </c>
      <c r="C530" s="2" t="s">
        <v>219</v>
      </c>
      <c r="D530" s="2" t="s">
        <v>11</v>
      </c>
      <c r="E530" s="2" t="str">
        <f>IFERROR(INDEX(centros!$H$2:$H$45,MATCH(TRIM(Tabla1[[#This Row],[SOCIEDAD]])&amp;"|"&amp;TRIM(Tabla1[[#This Row],[LOCALIDAD]]),centros!$G$2:$G$45,0)),"REVISAR")</f>
        <v>VC00</v>
      </c>
      <c r="F530" s="2" t="s">
        <v>54</v>
      </c>
      <c r="G530" s="2" t="str">
        <f>_xlfn.XLOOKUP(Tabla1[[#This Row],[MARCA]],MARCAS!E:E,MARCAS!F:F)</f>
        <v>150</v>
      </c>
      <c r="H530" s="2" t="str">
        <f>_xlfn.XLOOKUP(Tabla1[[#This Row],[MARCA]],MARCAS!C:C,MARCAS!A:A)</f>
        <v>F0016</v>
      </c>
      <c r="I530" s="38" t="s">
        <v>1679</v>
      </c>
      <c r="J530" s="37" t="s">
        <v>1680</v>
      </c>
      <c r="K530" s="2" t="s">
        <v>1681</v>
      </c>
    </row>
    <row r="531" spans="1:11" hidden="1" x14ac:dyDescent="0.25">
      <c r="A531" s="2" t="s">
        <v>34</v>
      </c>
      <c r="B531" s="2" t="str">
        <f>_xlfn.XLOOKUP(Tabla1[[#This Row],[SOCIEDAD]],centros!D:D,centros!E:E)</f>
        <v>VC00</v>
      </c>
      <c r="C531" s="2" t="s">
        <v>219</v>
      </c>
      <c r="D531" s="2" t="s">
        <v>17</v>
      </c>
      <c r="E531" s="2" t="str">
        <f>IFERROR(INDEX(centros!$H$2:$H$45,MATCH(TRIM(Tabla1[[#This Row],[SOCIEDAD]])&amp;"|"&amp;TRIM(Tabla1[[#This Row],[LOCALIDAD]]),centros!$G$2:$G$45,0)),"REVISAR")</f>
        <v>VC04</v>
      </c>
      <c r="F531" s="2" t="s">
        <v>54</v>
      </c>
      <c r="G531" s="2" t="str">
        <f>_xlfn.XLOOKUP(Tabla1[[#This Row],[MARCA]],MARCAS!E:E,MARCAS!F:F)</f>
        <v>150</v>
      </c>
      <c r="H531" s="2" t="str">
        <f>_xlfn.XLOOKUP(Tabla1[[#This Row],[MARCA]],MARCAS!C:C,MARCAS!A:A)</f>
        <v>F0016</v>
      </c>
      <c r="I531" s="38" t="s">
        <v>1682</v>
      </c>
      <c r="J531" s="37" t="s">
        <v>1683</v>
      </c>
      <c r="K531" s="2" t="s">
        <v>1684</v>
      </c>
    </row>
    <row r="532" spans="1:11" hidden="1" x14ac:dyDescent="0.25">
      <c r="A532" s="2" t="s">
        <v>34</v>
      </c>
      <c r="B532" s="2" t="str">
        <f>_xlfn.XLOOKUP(Tabla1[[#This Row],[SOCIEDAD]],centros!D:D,centros!E:E)</f>
        <v>VC00</v>
      </c>
      <c r="C532" s="2" t="s">
        <v>219</v>
      </c>
      <c r="D532" s="2" t="s">
        <v>19</v>
      </c>
      <c r="E532" s="2" t="str">
        <f>IFERROR(INDEX(centros!$H$2:$H$45,MATCH(TRIM(Tabla1[[#This Row],[SOCIEDAD]])&amp;"|"&amp;TRIM(Tabla1[[#This Row],[LOCALIDAD]]),centros!$G$2:$G$45,0)),"REVISAR")</f>
        <v>VC05</v>
      </c>
      <c r="F532" s="2" t="s">
        <v>54</v>
      </c>
      <c r="G532" s="2" t="str">
        <f>_xlfn.XLOOKUP(Tabla1[[#This Row],[MARCA]],MARCAS!E:E,MARCAS!F:F)</f>
        <v>150</v>
      </c>
      <c r="H532" s="2" t="str">
        <f>_xlfn.XLOOKUP(Tabla1[[#This Row],[MARCA]],MARCAS!C:C,MARCAS!A:A)</f>
        <v>F0016</v>
      </c>
      <c r="I532" s="38" t="s">
        <v>1685</v>
      </c>
      <c r="J532" s="37" t="s">
        <v>1686</v>
      </c>
      <c r="K532" s="2" t="s">
        <v>1687</v>
      </c>
    </row>
    <row r="533" spans="1:11" hidden="1" x14ac:dyDescent="0.25">
      <c r="A533" s="2" t="s">
        <v>34</v>
      </c>
      <c r="B533" s="2" t="str">
        <f>_xlfn.XLOOKUP(Tabla1[[#This Row],[SOCIEDAD]],centros!D:D,centros!E:E)</f>
        <v>VC00</v>
      </c>
      <c r="C533" s="2" t="s">
        <v>219</v>
      </c>
      <c r="D533" s="2" t="s">
        <v>13</v>
      </c>
      <c r="E533" s="2" t="str">
        <f>IFERROR(INDEX(centros!$H$2:$H$45,MATCH(TRIM(Tabla1[[#This Row],[SOCIEDAD]])&amp;"|"&amp;TRIM(Tabla1[[#This Row],[LOCALIDAD]]),centros!$G$2:$G$45,0)),"REVISAR")</f>
        <v>VC01</v>
      </c>
      <c r="F533" s="2" t="s">
        <v>54</v>
      </c>
      <c r="G533" s="2" t="str">
        <f>_xlfn.XLOOKUP(Tabla1[[#This Row],[MARCA]],MARCAS!E:E,MARCAS!F:F)</f>
        <v>150</v>
      </c>
      <c r="H533" s="2" t="str">
        <f>_xlfn.XLOOKUP(Tabla1[[#This Row],[MARCA]],MARCAS!C:C,MARCAS!A:A)</f>
        <v>F0016</v>
      </c>
      <c r="I533" s="38" t="s">
        <v>1688</v>
      </c>
      <c r="J533" s="37" t="s">
        <v>1689</v>
      </c>
      <c r="K533" s="2" t="s">
        <v>1690</v>
      </c>
    </row>
    <row r="534" spans="1:11" hidden="1" x14ac:dyDescent="0.25">
      <c r="A534" s="2" t="s">
        <v>34</v>
      </c>
      <c r="B534" s="2" t="str">
        <f>_xlfn.XLOOKUP(Tabla1[[#This Row],[SOCIEDAD]],centros!D:D,centros!E:E)</f>
        <v>VC00</v>
      </c>
      <c r="C534" s="2" t="s">
        <v>219</v>
      </c>
      <c r="D534" s="2" t="s">
        <v>23</v>
      </c>
      <c r="E534" s="2" t="str">
        <f>IFERROR(INDEX(centros!$H$2:$H$45,MATCH(TRIM(Tabla1[[#This Row],[SOCIEDAD]])&amp;"|"&amp;TRIM(Tabla1[[#This Row],[LOCALIDAD]]),centros!$G$2:$G$45,0)),"REVISAR")</f>
        <v>VC06</v>
      </c>
      <c r="F534" s="2" t="s">
        <v>54</v>
      </c>
      <c r="G534" s="2" t="str">
        <f>_xlfn.XLOOKUP(Tabla1[[#This Row],[MARCA]],MARCAS!E:E,MARCAS!F:F)</f>
        <v>150</v>
      </c>
      <c r="H534" s="2" t="str">
        <f>_xlfn.XLOOKUP(Tabla1[[#This Row],[MARCA]],MARCAS!C:C,MARCAS!A:A)</f>
        <v>F0016</v>
      </c>
      <c r="I534" s="38" t="s">
        <v>1691</v>
      </c>
      <c r="J534" s="37" t="s">
        <v>1692</v>
      </c>
      <c r="K534" s="2" t="s">
        <v>1693</v>
      </c>
    </row>
    <row r="535" spans="1:11" hidden="1" x14ac:dyDescent="0.25">
      <c r="A535" s="2" t="s">
        <v>34</v>
      </c>
      <c r="B535" s="2" t="str">
        <f>_xlfn.XLOOKUP(Tabla1[[#This Row],[SOCIEDAD]],centros!D:D,centros!E:E)</f>
        <v>VC00</v>
      </c>
      <c r="C535" s="2" t="s">
        <v>219</v>
      </c>
      <c r="D535" s="2" t="s">
        <v>32</v>
      </c>
      <c r="E535" s="2" t="str">
        <f>IFERROR(INDEX(centros!$H$2:$H$45,MATCH(TRIM(Tabla1[[#This Row],[SOCIEDAD]])&amp;"|"&amp;TRIM(Tabla1[[#This Row],[LOCALIDAD]]),centros!$G$2:$G$45,0)),"REVISAR")</f>
        <v>VC03</v>
      </c>
      <c r="F535" s="2" t="s">
        <v>54</v>
      </c>
      <c r="G535" s="2" t="str">
        <f>_xlfn.XLOOKUP(Tabla1[[#This Row],[MARCA]],MARCAS!E:E,MARCAS!F:F)</f>
        <v>150</v>
      </c>
      <c r="H535" s="2" t="str">
        <f>_xlfn.XLOOKUP(Tabla1[[#This Row],[MARCA]],MARCAS!C:C,MARCAS!A:A)</f>
        <v>F0016</v>
      </c>
      <c r="I535" s="38" t="s">
        <v>1694</v>
      </c>
      <c r="J535" s="37" t="s">
        <v>1695</v>
      </c>
      <c r="K535" s="2" t="s">
        <v>1696</v>
      </c>
    </row>
    <row r="536" spans="1:11" hidden="1" x14ac:dyDescent="0.25">
      <c r="A536" s="2" t="s">
        <v>34</v>
      </c>
      <c r="B536" s="2" t="str">
        <f>_xlfn.XLOOKUP(Tabla1[[#This Row],[SOCIEDAD]],centros!D:D,centros!E:E)</f>
        <v>VC00</v>
      </c>
      <c r="C536" s="2" t="s">
        <v>219</v>
      </c>
      <c r="D536" s="2" t="s">
        <v>33</v>
      </c>
      <c r="E536" s="2" t="str">
        <f>IFERROR(INDEX(centros!$H$2:$H$45,MATCH(TRIM(Tabla1[[#This Row],[SOCIEDAD]])&amp;"|"&amp;TRIM(Tabla1[[#This Row],[LOCALIDAD]]),centros!$G$2:$G$45,0)),"REVISAR")</f>
        <v>VC07</v>
      </c>
      <c r="F536" s="2" t="s">
        <v>54</v>
      </c>
      <c r="G536" s="2" t="str">
        <f>_xlfn.XLOOKUP(Tabla1[[#This Row],[MARCA]],MARCAS!E:E,MARCAS!F:F)</f>
        <v>150</v>
      </c>
      <c r="H536" s="2" t="str">
        <f>_xlfn.XLOOKUP(Tabla1[[#This Row],[MARCA]],MARCAS!C:C,MARCAS!A:A)</f>
        <v>F0016</v>
      </c>
      <c r="I536" s="38" t="s">
        <v>1697</v>
      </c>
      <c r="J536" s="37" t="s">
        <v>1698</v>
      </c>
      <c r="K536" s="2" t="s">
        <v>1699</v>
      </c>
    </row>
    <row r="537" spans="1:11" hidden="1" x14ac:dyDescent="0.25">
      <c r="A537" s="2" t="s">
        <v>34</v>
      </c>
      <c r="B537" s="2" t="str">
        <f>_xlfn.XLOOKUP(Tabla1[[#This Row],[SOCIEDAD]],centros!D:D,centros!E:E)</f>
        <v>VC00</v>
      </c>
      <c r="C537" s="2" t="s">
        <v>219</v>
      </c>
      <c r="D537" s="2" t="s">
        <v>15</v>
      </c>
      <c r="E537" s="2" t="str">
        <f>IFERROR(INDEX(centros!$H$2:$H$45,MATCH(TRIM(Tabla1[[#This Row],[SOCIEDAD]])&amp;"|"&amp;TRIM(Tabla1[[#This Row],[LOCALIDAD]]),centros!$G$2:$G$45,0)),"REVISAR")</f>
        <v>VC02</v>
      </c>
      <c r="F537" s="2" t="s">
        <v>51</v>
      </c>
      <c r="G537" s="2" t="str">
        <f>_xlfn.XLOOKUP(Tabla1[[#This Row],[MARCA]],MARCAS!E:E,MARCAS!F:F)</f>
        <v>230</v>
      </c>
      <c r="H537" s="2" t="str">
        <f>_xlfn.XLOOKUP(Tabla1[[#This Row],[MARCA]],MARCAS!C:C,MARCAS!A:A)</f>
        <v>F0015</v>
      </c>
      <c r="I537" s="38" t="s">
        <v>1700</v>
      </c>
      <c r="J537" s="37" t="s">
        <v>1701</v>
      </c>
      <c r="K537" s="2" t="s">
        <v>1702</v>
      </c>
    </row>
    <row r="538" spans="1:11" hidden="1" x14ac:dyDescent="0.25">
      <c r="A538" s="2" t="s">
        <v>34</v>
      </c>
      <c r="B538" s="2" t="str">
        <f>_xlfn.XLOOKUP(Tabla1[[#This Row],[SOCIEDAD]],centros!D:D,centros!E:E)</f>
        <v>VC00</v>
      </c>
      <c r="C538" s="2" t="s">
        <v>219</v>
      </c>
      <c r="D538" s="2" t="s">
        <v>11</v>
      </c>
      <c r="E538" s="2" t="str">
        <f>IFERROR(INDEX(centros!$H$2:$H$45,MATCH(TRIM(Tabla1[[#This Row],[SOCIEDAD]])&amp;"|"&amp;TRIM(Tabla1[[#This Row],[LOCALIDAD]]),centros!$G$2:$G$45,0)),"REVISAR")</f>
        <v>VC00</v>
      </c>
      <c r="F538" s="2" t="s">
        <v>51</v>
      </c>
      <c r="G538" s="2" t="str">
        <f>_xlfn.XLOOKUP(Tabla1[[#This Row],[MARCA]],MARCAS!E:E,MARCAS!F:F)</f>
        <v>230</v>
      </c>
      <c r="H538" s="2" t="str">
        <f>_xlfn.XLOOKUP(Tabla1[[#This Row],[MARCA]],MARCAS!C:C,MARCAS!A:A)</f>
        <v>F0015</v>
      </c>
      <c r="I538" s="38" t="s">
        <v>1703</v>
      </c>
      <c r="J538" s="37" t="s">
        <v>1704</v>
      </c>
      <c r="K538" s="2" t="s">
        <v>1705</v>
      </c>
    </row>
    <row r="539" spans="1:11" hidden="1" x14ac:dyDescent="0.25">
      <c r="A539" s="2" t="s">
        <v>34</v>
      </c>
      <c r="B539" s="2" t="str">
        <f>_xlfn.XLOOKUP(Tabla1[[#This Row],[SOCIEDAD]],centros!D:D,centros!E:E)</f>
        <v>VC00</v>
      </c>
      <c r="C539" s="2" t="s">
        <v>219</v>
      </c>
      <c r="D539" s="2" t="s">
        <v>17</v>
      </c>
      <c r="E539" s="2" t="str">
        <f>IFERROR(INDEX(centros!$H$2:$H$45,MATCH(TRIM(Tabla1[[#This Row],[SOCIEDAD]])&amp;"|"&amp;TRIM(Tabla1[[#This Row],[LOCALIDAD]]),centros!$G$2:$G$45,0)),"REVISAR")</f>
        <v>VC04</v>
      </c>
      <c r="F539" s="2" t="s">
        <v>51</v>
      </c>
      <c r="G539" s="2" t="str">
        <f>_xlfn.XLOOKUP(Tabla1[[#This Row],[MARCA]],MARCAS!E:E,MARCAS!F:F)</f>
        <v>230</v>
      </c>
      <c r="H539" s="2" t="str">
        <f>_xlfn.XLOOKUP(Tabla1[[#This Row],[MARCA]],MARCAS!C:C,MARCAS!A:A)</f>
        <v>F0015</v>
      </c>
      <c r="I539" s="38" t="s">
        <v>1706</v>
      </c>
      <c r="J539" s="37" t="s">
        <v>1707</v>
      </c>
      <c r="K539" s="2" t="s">
        <v>1708</v>
      </c>
    </row>
    <row r="540" spans="1:11" hidden="1" x14ac:dyDescent="0.25">
      <c r="A540" s="2" t="s">
        <v>34</v>
      </c>
      <c r="B540" s="2" t="str">
        <f>_xlfn.XLOOKUP(Tabla1[[#This Row],[SOCIEDAD]],centros!D:D,centros!E:E)</f>
        <v>VC00</v>
      </c>
      <c r="C540" s="2" t="s">
        <v>219</v>
      </c>
      <c r="D540" s="2" t="s">
        <v>19</v>
      </c>
      <c r="E540" s="2" t="str">
        <f>IFERROR(INDEX(centros!$H$2:$H$45,MATCH(TRIM(Tabla1[[#This Row],[SOCIEDAD]])&amp;"|"&amp;TRIM(Tabla1[[#This Row],[LOCALIDAD]]),centros!$G$2:$G$45,0)),"REVISAR")</f>
        <v>VC05</v>
      </c>
      <c r="F540" s="2" t="s">
        <v>51</v>
      </c>
      <c r="G540" s="2" t="str">
        <f>_xlfn.XLOOKUP(Tabla1[[#This Row],[MARCA]],MARCAS!E:E,MARCAS!F:F)</f>
        <v>230</v>
      </c>
      <c r="H540" s="2" t="str">
        <f>_xlfn.XLOOKUP(Tabla1[[#This Row],[MARCA]],MARCAS!C:C,MARCAS!A:A)</f>
        <v>F0015</v>
      </c>
      <c r="I540" s="38" t="s">
        <v>1709</v>
      </c>
      <c r="J540" s="37" t="s">
        <v>1710</v>
      </c>
      <c r="K540" s="2" t="s">
        <v>1711</v>
      </c>
    </row>
    <row r="541" spans="1:11" hidden="1" x14ac:dyDescent="0.25">
      <c r="A541" s="2" t="s">
        <v>34</v>
      </c>
      <c r="B541" s="2" t="str">
        <f>_xlfn.XLOOKUP(Tabla1[[#This Row],[SOCIEDAD]],centros!D:D,centros!E:E)</f>
        <v>VC00</v>
      </c>
      <c r="C541" s="2" t="s">
        <v>219</v>
      </c>
      <c r="D541" s="2" t="s">
        <v>13</v>
      </c>
      <c r="E541" s="2" t="str">
        <f>IFERROR(INDEX(centros!$H$2:$H$45,MATCH(TRIM(Tabla1[[#This Row],[SOCIEDAD]])&amp;"|"&amp;TRIM(Tabla1[[#This Row],[LOCALIDAD]]),centros!$G$2:$G$45,0)),"REVISAR")</f>
        <v>VC01</v>
      </c>
      <c r="F541" s="2" t="s">
        <v>51</v>
      </c>
      <c r="G541" s="2" t="str">
        <f>_xlfn.XLOOKUP(Tabla1[[#This Row],[MARCA]],MARCAS!E:E,MARCAS!F:F)</f>
        <v>230</v>
      </c>
      <c r="H541" s="2" t="str">
        <f>_xlfn.XLOOKUP(Tabla1[[#This Row],[MARCA]],MARCAS!C:C,MARCAS!A:A)</f>
        <v>F0015</v>
      </c>
      <c r="I541" s="38" t="s">
        <v>1712</v>
      </c>
      <c r="J541" s="37" t="s">
        <v>1713</v>
      </c>
      <c r="K541" s="2" t="s">
        <v>1714</v>
      </c>
    </row>
    <row r="542" spans="1:11" hidden="1" x14ac:dyDescent="0.25">
      <c r="A542" s="2" t="s">
        <v>34</v>
      </c>
      <c r="B542" s="2" t="str">
        <f>_xlfn.XLOOKUP(Tabla1[[#This Row],[SOCIEDAD]],centros!D:D,centros!E:E)</f>
        <v>VC00</v>
      </c>
      <c r="C542" s="2" t="s">
        <v>219</v>
      </c>
      <c r="D542" s="2" t="s">
        <v>23</v>
      </c>
      <c r="E542" s="2" t="str">
        <f>IFERROR(INDEX(centros!$H$2:$H$45,MATCH(TRIM(Tabla1[[#This Row],[SOCIEDAD]])&amp;"|"&amp;TRIM(Tabla1[[#This Row],[LOCALIDAD]]),centros!$G$2:$G$45,0)),"REVISAR")</f>
        <v>VC06</v>
      </c>
      <c r="F542" s="2" t="s">
        <v>51</v>
      </c>
      <c r="G542" s="2" t="str">
        <f>_xlfn.XLOOKUP(Tabla1[[#This Row],[MARCA]],MARCAS!E:E,MARCAS!F:F)</f>
        <v>230</v>
      </c>
      <c r="H542" s="2" t="str">
        <f>_xlfn.XLOOKUP(Tabla1[[#This Row],[MARCA]],MARCAS!C:C,MARCAS!A:A)</f>
        <v>F0015</v>
      </c>
      <c r="I542" s="38" t="s">
        <v>1715</v>
      </c>
      <c r="J542" s="37" t="s">
        <v>1716</v>
      </c>
      <c r="K542" s="2" t="s">
        <v>1717</v>
      </c>
    </row>
    <row r="543" spans="1:11" hidden="1" x14ac:dyDescent="0.25">
      <c r="A543" s="2" t="s">
        <v>34</v>
      </c>
      <c r="B543" s="2" t="str">
        <f>_xlfn.XLOOKUP(Tabla1[[#This Row],[SOCIEDAD]],centros!D:D,centros!E:E)</f>
        <v>VC00</v>
      </c>
      <c r="C543" s="2" t="s">
        <v>219</v>
      </c>
      <c r="D543" s="2" t="s">
        <v>32</v>
      </c>
      <c r="E543" s="2" t="str">
        <f>IFERROR(INDEX(centros!$H$2:$H$45,MATCH(TRIM(Tabla1[[#This Row],[SOCIEDAD]])&amp;"|"&amp;TRIM(Tabla1[[#This Row],[LOCALIDAD]]),centros!$G$2:$G$45,0)),"REVISAR")</f>
        <v>VC03</v>
      </c>
      <c r="F543" s="2" t="s">
        <v>51</v>
      </c>
      <c r="G543" s="2" t="str">
        <f>_xlfn.XLOOKUP(Tabla1[[#This Row],[MARCA]],MARCAS!E:E,MARCAS!F:F)</f>
        <v>230</v>
      </c>
      <c r="H543" s="2" t="str">
        <f>_xlfn.XLOOKUP(Tabla1[[#This Row],[MARCA]],MARCAS!C:C,MARCAS!A:A)</f>
        <v>F0015</v>
      </c>
      <c r="I543" s="38" t="s">
        <v>1718</v>
      </c>
      <c r="J543" s="37" t="s">
        <v>1719</v>
      </c>
      <c r="K543" s="2" t="s">
        <v>1720</v>
      </c>
    </row>
    <row r="544" spans="1:11" hidden="1" x14ac:dyDescent="0.25">
      <c r="A544" s="2" t="s">
        <v>34</v>
      </c>
      <c r="B544" s="2" t="str">
        <f>_xlfn.XLOOKUP(Tabla1[[#This Row],[SOCIEDAD]],centros!D:D,centros!E:E)</f>
        <v>VC00</v>
      </c>
      <c r="C544" s="2" t="s">
        <v>219</v>
      </c>
      <c r="D544" s="2" t="s">
        <v>33</v>
      </c>
      <c r="E544" s="2" t="str">
        <f>IFERROR(INDEX(centros!$H$2:$H$45,MATCH(TRIM(Tabla1[[#This Row],[SOCIEDAD]])&amp;"|"&amp;TRIM(Tabla1[[#This Row],[LOCALIDAD]]),centros!$G$2:$G$45,0)),"REVISAR")</f>
        <v>VC07</v>
      </c>
      <c r="F544" s="2" t="s">
        <v>51</v>
      </c>
      <c r="G544" s="2" t="str">
        <f>_xlfn.XLOOKUP(Tabla1[[#This Row],[MARCA]],MARCAS!E:E,MARCAS!F:F)</f>
        <v>230</v>
      </c>
      <c r="H544" s="2" t="str">
        <f>_xlfn.XLOOKUP(Tabla1[[#This Row],[MARCA]],MARCAS!C:C,MARCAS!A:A)</f>
        <v>F0015</v>
      </c>
      <c r="I544" s="38" t="s">
        <v>1721</v>
      </c>
      <c r="J544" s="37" t="s">
        <v>1722</v>
      </c>
      <c r="K544" s="2" t="s">
        <v>1723</v>
      </c>
    </row>
    <row r="545" spans="1:11" hidden="1" x14ac:dyDescent="0.25">
      <c r="A545" s="2" t="s">
        <v>34</v>
      </c>
      <c r="B545" s="2" t="str">
        <f>_xlfn.XLOOKUP(Tabla1[[#This Row],[SOCIEDAD]],centros!D:D,centros!E:E)</f>
        <v>VC00</v>
      </c>
      <c r="C545" s="2" t="s">
        <v>219</v>
      </c>
      <c r="D545" s="2" t="s">
        <v>15</v>
      </c>
      <c r="E545" s="2" t="str">
        <f>IFERROR(INDEX(centros!$H$2:$H$45,MATCH(TRIM(Tabla1[[#This Row],[SOCIEDAD]])&amp;"|"&amp;TRIM(Tabla1[[#This Row],[LOCALIDAD]]),centros!$G$2:$G$45,0)),"REVISAR")</f>
        <v>VC02</v>
      </c>
      <c r="F545" s="2" t="s">
        <v>29</v>
      </c>
      <c r="G545" s="2" t="str">
        <f>_xlfn.XLOOKUP(Tabla1[[#This Row],[MARCA]],MARCAS!E:E,MARCAS!F:F)</f>
        <v>180</v>
      </c>
      <c r="H545" s="2" t="str">
        <f>_xlfn.XLOOKUP(Tabla1[[#This Row],[MARCA]],MARCAS!C:C,MARCAS!A:A)</f>
        <v>F0010</v>
      </c>
      <c r="I545" s="38" t="s">
        <v>1724</v>
      </c>
      <c r="J545" s="37" t="s">
        <v>1725</v>
      </c>
      <c r="K545" s="2" t="s">
        <v>1726</v>
      </c>
    </row>
    <row r="546" spans="1:11" hidden="1" x14ac:dyDescent="0.25">
      <c r="A546" s="2" t="s">
        <v>34</v>
      </c>
      <c r="B546" s="2" t="str">
        <f>_xlfn.XLOOKUP(Tabla1[[#This Row],[SOCIEDAD]],centros!D:D,centros!E:E)</f>
        <v>VC00</v>
      </c>
      <c r="C546" s="2" t="s">
        <v>219</v>
      </c>
      <c r="D546" s="2" t="s">
        <v>11</v>
      </c>
      <c r="E546" s="2" t="str">
        <f>IFERROR(INDEX(centros!$H$2:$H$45,MATCH(TRIM(Tabla1[[#This Row],[SOCIEDAD]])&amp;"|"&amp;TRIM(Tabla1[[#This Row],[LOCALIDAD]]),centros!$G$2:$G$45,0)),"REVISAR")</f>
        <v>VC00</v>
      </c>
      <c r="F546" s="2" t="s">
        <v>29</v>
      </c>
      <c r="G546" s="2" t="str">
        <f>_xlfn.XLOOKUP(Tabla1[[#This Row],[MARCA]],MARCAS!E:E,MARCAS!F:F)</f>
        <v>180</v>
      </c>
      <c r="H546" s="2" t="str">
        <f>_xlfn.XLOOKUP(Tabla1[[#This Row],[MARCA]],MARCAS!C:C,MARCAS!A:A)</f>
        <v>F0010</v>
      </c>
      <c r="I546" s="38" t="s">
        <v>1727</v>
      </c>
      <c r="J546" s="37" t="s">
        <v>1728</v>
      </c>
      <c r="K546" s="2" t="s">
        <v>1729</v>
      </c>
    </row>
    <row r="547" spans="1:11" hidden="1" x14ac:dyDescent="0.25">
      <c r="A547" s="2" t="s">
        <v>34</v>
      </c>
      <c r="B547" s="2" t="str">
        <f>_xlfn.XLOOKUP(Tabla1[[#This Row],[SOCIEDAD]],centros!D:D,centros!E:E)</f>
        <v>VC00</v>
      </c>
      <c r="C547" s="2" t="s">
        <v>219</v>
      </c>
      <c r="D547" s="2" t="s">
        <v>17</v>
      </c>
      <c r="E547" s="2" t="str">
        <f>IFERROR(INDEX(centros!$H$2:$H$45,MATCH(TRIM(Tabla1[[#This Row],[SOCIEDAD]])&amp;"|"&amp;TRIM(Tabla1[[#This Row],[LOCALIDAD]]),centros!$G$2:$G$45,0)),"REVISAR")</f>
        <v>VC04</v>
      </c>
      <c r="F547" s="2" t="s">
        <v>29</v>
      </c>
      <c r="G547" s="2" t="str">
        <f>_xlfn.XLOOKUP(Tabla1[[#This Row],[MARCA]],MARCAS!E:E,MARCAS!F:F)</f>
        <v>180</v>
      </c>
      <c r="H547" s="2" t="str">
        <f>_xlfn.XLOOKUP(Tabla1[[#This Row],[MARCA]],MARCAS!C:C,MARCAS!A:A)</f>
        <v>F0010</v>
      </c>
      <c r="I547" s="38" t="s">
        <v>1730</v>
      </c>
      <c r="J547" s="37" t="s">
        <v>1731</v>
      </c>
      <c r="K547" s="2" t="s">
        <v>1732</v>
      </c>
    </row>
    <row r="548" spans="1:11" hidden="1" x14ac:dyDescent="0.25">
      <c r="A548" s="2" t="s">
        <v>34</v>
      </c>
      <c r="B548" s="2" t="str">
        <f>_xlfn.XLOOKUP(Tabla1[[#This Row],[SOCIEDAD]],centros!D:D,centros!E:E)</f>
        <v>VC00</v>
      </c>
      <c r="C548" s="2" t="s">
        <v>219</v>
      </c>
      <c r="D548" s="2" t="s">
        <v>19</v>
      </c>
      <c r="E548" s="2" t="str">
        <f>IFERROR(INDEX(centros!$H$2:$H$45,MATCH(TRIM(Tabla1[[#This Row],[SOCIEDAD]])&amp;"|"&amp;TRIM(Tabla1[[#This Row],[LOCALIDAD]]),centros!$G$2:$G$45,0)),"REVISAR")</f>
        <v>VC05</v>
      </c>
      <c r="F548" s="2" t="s">
        <v>29</v>
      </c>
      <c r="G548" s="2" t="str">
        <f>_xlfn.XLOOKUP(Tabla1[[#This Row],[MARCA]],MARCAS!E:E,MARCAS!F:F)</f>
        <v>180</v>
      </c>
      <c r="H548" s="2" t="str">
        <f>_xlfn.XLOOKUP(Tabla1[[#This Row],[MARCA]],MARCAS!C:C,MARCAS!A:A)</f>
        <v>F0010</v>
      </c>
      <c r="I548" s="38" t="s">
        <v>1733</v>
      </c>
      <c r="J548" s="37" t="s">
        <v>1734</v>
      </c>
      <c r="K548" s="2" t="s">
        <v>1735</v>
      </c>
    </row>
    <row r="549" spans="1:11" hidden="1" x14ac:dyDescent="0.25">
      <c r="A549" s="2" t="s">
        <v>34</v>
      </c>
      <c r="B549" s="2" t="str">
        <f>_xlfn.XLOOKUP(Tabla1[[#This Row],[SOCIEDAD]],centros!D:D,centros!E:E)</f>
        <v>VC00</v>
      </c>
      <c r="C549" s="2" t="s">
        <v>219</v>
      </c>
      <c r="D549" s="2" t="s">
        <v>13</v>
      </c>
      <c r="E549" s="2" t="str">
        <f>IFERROR(INDEX(centros!$H$2:$H$45,MATCH(TRIM(Tabla1[[#This Row],[SOCIEDAD]])&amp;"|"&amp;TRIM(Tabla1[[#This Row],[LOCALIDAD]]),centros!$G$2:$G$45,0)),"REVISAR")</f>
        <v>VC01</v>
      </c>
      <c r="F549" s="2" t="s">
        <v>29</v>
      </c>
      <c r="G549" s="2" t="str">
        <f>_xlfn.XLOOKUP(Tabla1[[#This Row],[MARCA]],MARCAS!E:E,MARCAS!F:F)</f>
        <v>180</v>
      </c>
      <c r="H549" s="2" t="str">
        <f>_xlfn.XLOOKUP(Tabla1[[#This Row],[MARCA]],MARCAS!C:C,MARCAS!A:A)</f>
        <v>F0010</v>
      </c>
      <c r="I549" s="38" t="s">
        <v>1736</v>
      </c>
      <c r="J549" s="37" t="s">
        <v>1737</v>
      </c>
      <c r="K549" s="2" t="s">
        <v>1738</v>
      </c>
    </row>
    <row r="550" spans="1:11" hidden="1" x14ac:dyDescent="0.25">
      <c r="A550" s="2" t="s">
        <v>34</v>
      </c>
      <c r="B550" s="2" t="str">
        <f>_xlfn.XLOOKUP(Tabla1[[#This Row],[SOCIEDAD]],centros!D:D,centros!E:E)</f>
        <v>VC00</v>
      </c>
      <c r="C550" s="2" t="s">
        <v>219</v>
      </c>
      <c r="D550" s="2" t="s">
        <v>23</v>
      </c>
      <c r="E550" s="2" t="str">
        <f>IFERROR(INDEX(centros!$H$2:$H$45,MATCH(TRIM(Tabla1[[#This Row],[SOCIEDAD]])&amp;"|"&amp;TRIM(Tabla1[[#This Row],[LOCALIDAD]]),centros!$G$2:$G$45,0)),"REVISAR")</f>
        <v>VC06</v>
      </c>
      <c r="F550" s="2" t="s">
        <v>29</v>
      </c>
      <c r="G550" s="2" t="str">
        <f>_xlfn.XLOOKUP(Tabla1[[#This Row],[MARCA]],MARCAS!E:E,MARCAS!F:F)</f>
        <v>180</v>
      </c>
      <c r="H550" s="2" t="str">
        <f>_xlfn.XLOOKUP(Tabla1[[#This Row],[MARCA]],MARCAS!C:C,MARCAS!A:A)</f>
        <v>F0010</v>
      </c>
      <c r="I550" s="38" t="s">
        <v>1739</v>
      </c>
      <c r="J550" s="37" t="s">
        <v>1740</v>
      </c>
      <c r="K550" s="2" t="s">
        <v>1741</v>
      </c>
    </row>
    <row r="551" spans="1:11" hidden="1" x14ac:dyDescent="0.25">
      <c r="A551" s="2" t="s">
        <v>34</v>
      </c>
      <c r="B551" s="2" t="str">
        <f>_xlfn.XLOOKUP(Tabla1[[#This Row],[SOCIEDAD]],centros!D:D,centros!E:E)</f>
        <v>VC00</v>
      </c>
      <c r="C551" s="2" t="s">
        <v>219</v>
      </c>
      <c r="D551" s="2" t="s">
        <v>32</v>
      </c>
      <c r="E551" s="2" t="str">
        <f>IFERROR(INDEX(centros!$H$2:$H$45,MATCH(TRIM(Tabla1[[#This Row],[SOCIEDAD]])&amp;"|"&amp;TRIM(Tabla1[[#This Row],[LOCALIDAD]]),centros!$G$2:$G$45,0)),"REVISAR")</f>
        <v>VC03</v>
      </c>
      <c r="F551" s="2" t="s">
        <v>29</v>
      </c>
      <c r="G551" s="2" t="str">
        <f>_xlfn.XLOOKUP(Tabla1[[#This Row],[MARCA]],MARCAS!E:E,MARCAS!F:F)</f>
        <v>180</v>
      </c>
      <c r="H551" s="2" t="str">
        <f>_xlfn.XLOOKUP(Tabla1[[#This Row],[MARCA]],MARCAS!C:C,MARCAS!A:A)</f>
        <v>F0010</v>
      </c>
      <c r="I551" s="38" t="s">
        <v>1742</v>
      </c>
      <c r="J551" s="37" t="s">
        <v>1743</v>
      </c>
      <c r="K551" s="2" t="s">
        <v>1744</v>
      </c>
    </row>
    <row r="552" spans="1:11" hidden="1" x14ac:dyDescent="0.25">
      <c r="A552" s="2" t="s">
        <v>34</v>
      </c>
      <c r="B552" s="2" t="str">
        <f>_xlfn.XLOOKUP(Tabla1[[#This Row],[SOCIEDAD]],centros!D:D,centros!E:E)</f>
        <v>VC00</v>
      </c>
      <c r="C552" s="2" t="s">
        <v>219</v>
      </c>
      <c r="D552" s="2" t="s">
        <v>33</v>
      </c>
      <c r="E552" s="2" t="str">
        <f>IFERROR(INDEX(centros!$H$2:$H$45,MATCH(TRIM(Tabla1[[#This Row],[SOCIEDAD]])&amp;"|"&amp;TRIM(Tabla1[[#This Row],[LOCALIDAD]]),centros!$G$2:$G$45,0)),"REVISAR")</f>
        <v>VC07</v>
      </c>
      <c r="F552" s="2" t="s">
        <v>29</v>
      </c>
      <c r="G552" s="2" t="str">
        <f>_xlfn.XLOOKUP(Tabla1[[#This Row],[MARCA]],MARCAS!E:E,MARCAS!F:F)</f>
        <v>180</v>
      </c>
      <c r="H552" s="2" t="str">
        <f>_xlfn.XLOOKUP(Tabla1[[#This Row],[MARCA]],MARCAS!C:C,MARCAS!A:A)</f>
        <v>F0010</v>
      </c>
      <c r="I552" s="38" t="s">
        <v>1745</v>
      </c>
      <c r="J552" s="37" t="s">
        <v>1746</v>
      </c>
      <c r="K552" s="2" t="s">
        <v>1747</v>
      </c>
    </row>
    <row r="553" spans="1:11" hidden="1" x14ac:dyDescent="0.25">
      <c r="A553" s="2" t="s">
        <v>55</v>
      </c>
      <c r="B553" s="2" t="str">
        <f>_xlfn.XLOOKUP(Tabla1[[#This Row],[SOCIEDAD]],centros!D:D,centros!E:E)</f>
        <v>VD00</v>
      </c>
      <c r="C553" s="2" t="s">
        <v>263</v>
      </c>
      <c r="D553" s="2" t="s">
        <v>15</v>
      </c>
      <c r="E553" s="2" t="str">
        <f>IFERROR(INDEX(centros!$H$2:$H$45,MATCH(TRIM(Tabla1[[#This Row],[SOCIEDAD]])&amp;"|"&amp;TRIM(Tabla1[[#This Row],[LOCALIDAD]]),centros!$G$2:$G$45,0)),"REVISAR")</f>
        <v>VD02</v>
      </c>
      <c r="F553" s="2" t="s">
        <v>54</v>
      </c>
      <c r="G553" s="2" t="str">
        <f>_xlfn.XLOOKUP(Tabla1[[#This Row],[MARCA]],MARCAS!E:E,MARCAS!F:F)</f>
        <v>150</v>
      </c>
      <c r="H553" s="2" t="str">
        <f>_xlfn.XLOOKUP(Tabla1[[#This Row],[MARCA]],MARCAS!C:C,MARCAS!A:A)</f>
        <v>F0016</v>
      </c>
      <c r="I553" s="38" t="s">
        <v>1748</v>
      </c>
      <c r="J553" s="37" t="s">
        <v>1311</v>
      </c>
      <c r="K553" s="2" t="s">
        <v>1312</v>
      </c>
    </row>
    <row r="554" spans="1:11" hidden="1" x14ac:dyDescent="0.25">
      <c r="A554" s="2" t="s">
        <v>55</v>
      </c>
      <c r="B554" s="2" t="str">
        <f>_xlfn.XLOOKUP(Tabla1[[#This Row],[SOCIEDAD]],centros!D:D,centros!E:E)</f>
        <v>VD00</v>
      </c>
      <c r="C554" s="2" t="s">
        <v>671</v>
      </c>
      <c r="D554" s="2" t="s">
        <v>15</v>
      </c>
      <c r="E554" s="2" t="str">
        <f>IFERROR(INDEX(centros!$H$2:$H$45,MATCH(TRIM(Tabla1[[#This Row],[SOCIEDAD]])&amp;"|"&amp;TRIM(Tabla1[[#This Row],[LOCALIDAD]]),centros!$G$2:$G$45,0)),"REVISAR")</f>
        <v>VD02</v>
      </c>
      <c r="F554" s="2" t="s">
        <v>54</v>
      </c>
      <c r="G554" s="2" t="str">
        <f>_xlfn.XLOOKUP(Tabla1[[#This Row],[MARCA]],MARCAS!E:E,MARCAS!F:F)</f>
        <v>150</v>
      </c>
      <c r="H554" s="2" t="str">
        <f>_xlfn.XLOOKUP(Tabla1[[#This Row],[MARCA]],MARCAS!C:C,MARCAS!A:A)</f>
        <v>F0016</v>
      </c>
      <c r="I554" s="38" t="s">
        <v>1749</v>
      </c>
      <c r="J554" s="37" t="s">
        <v>1314</v>
      </c>
      <c r="K554" s="2" t="s">
        <v>1315</v>
      </c>
    </row>
    <row r="555" spans="1:11" hidden="1" x14ac:dyDescent="0.25">
      <c r="A555" s="2" t="s">
        <v>55</v>
      </c>
      <c r="B555" s="2" t="str">
        <f>_xlfn.XLOOKUP(Tabla1[[#This Row],[SOCIEDAD]],centros!D:D,centros!E:E)</f>
        <v>VD00</v>
      </c>
      <c r="C555" s="2" t="s">
        <v>1027</v>
      </c>
      <c r="D555" s="2" t="s">
        <v>15</v>
      </c>
      <c r="E555" s="2" t="str">
        <f>IFERROR(INDEX(centros!$H$2:$H$45,MATCH(TRIM(Tabla1[[#This Row],[SOCIEDAD]])&amp;"|"&amp;TRIM(Tabla1[[#This Row],[LOCALIDAD]]),centros!$G$2:$G$45,0)),"REVISAR")</f>
        <v>VD02</v>
      </c>
      <c r="F555" s="2" t="s">
        <v>54</v>
      </c>
      <c r="G555" s="2" t="str">
        <f>_xlfn.XLOOKUP(Tabla1[[#This Row],[MARCA]],MARCAS!E:E,MARCAS!F:F)</f>
        <v>150</v>
      </c>
      <c r="H555" s="2" t="str">
        <f>_xlfn.XLOOKUP(Tabla1[[#This Row],[MARCA]],MARCAS!C:C,MARCAS!A:A)</f>
        <v>F0016</v>
      </c>
      <c r="I555" s="38" t="s">
        <v>1750</v>
      </c>
      <c r="J555" s="37" t="s">
        <v>1317</v>
      </c>
      <c r="K555" s="2" t="s">
        <v>1318</v>
      </c>
    </row>
    <row r="556" spans="1:11" hidden="1" x14ac:dyDescent="0.25">
      <c r="A556" s="2" t="s">
        <v>55</v>
      </c>
      <c r="B556" s="2" t="str">
        <f>_xlfn.XLOOKUP(Tabla1[[#This Row],[SOCIEDAD]],centros!D:D,centros!E:E)</f>
        <v>VD00</v>
      </c>
      <c r="C556" s="2" t="s">
        <v>300</v>
      </c>
      <c r="D556" s="2" t="s">
        <v>15</v>
      </c>
      <c r="E556" s="2" t="str">
        <f>IFERROR(INDEX(centros!$H$2:$H$45,MATCH(TRIM(Tabla1[[#This Row],[SOCIEDAD]])&amp;"|"&amp;TRIM(Tabla1[[#This Row],[LOCALIDAD]]),centros!$G$2:$G$45,0)),"REVISAR")</f>
        <v>VD02</v>
      </c>
      <c r="F556" s="2" t="s">
        <v>54</v>
      </c>
      <c r="G556" s="2" t="str">
        <f>_xlfn.XLOOKUP(Tabla1[[#This Row],[MARCA]],MARCAS!E:E,MARCAS!F:F)</f>
        <v>150</v>
      </c>
      <c r="H556" s="2" t="str">
        <f>_xlfn.XLOOKUP(Tabla1[[#This Row],[MARCA]],MARCAS!C:C,MARCAS!A:A)</f>
        <v>F0016</v>
      </c>
      <c r="I556" s="38" t="s">
        <v>1751</v>
      </c>
      <c r="J556" s="37" t="s">
        <v>1320</v>
      </c>
      <c r="K556" s="2" t="s">
        <v>1321</v>
      </c>
    </row>
    <row r="557" spans="1:11" hidden="1" x14ac:dyDescent="0.25">
      <c r="A557" s="2" t="s">
        <v>55</v>
      </c>
      <c r="B557" s="2" t="str">
        <f>_xlfn.XLOOKUP(Tabla1[[#This Row],[SOCIEDAD]],centros!D:D,centros!E:E)</f>
        <v>VD00</v>
      </c>
      <c r="C557" s="2" t="s">
        <v>263</v>
      </c>
      <c r="D557" s="2" t="s">
        <v>11</v>
      </c>
      <c r="E557" s="2" t="str">
        <f>IFERROR(INDEX(centros!$H$2:$H$45,MATCH(TRIM(Tabla1[[#This Row],[SOCIEDAD]])&amp;"|"&amp;TRIM(Tabla1[[#This Row],[LOCALIDAD]]),centros!$G$2:$G$45,0)),"REVISAR")</f>
        <v>VD00</v>
      </c>
      <c r="F557" s="2" t="s">
        <v>54</v>
      </c>
      <c r="G557" s="2" t="str">
        <f>_xlfn.XLOOKUP(Tabla1[[#This Row],[MARCA]],MARCAS!E:E,MARCAS!F:F)</f>
        <v>150</v>
      </c>
      <c r="H557" s="2" t="str">
        <f>_xlfn.XLOOKUP(Tabla1[[#This Row],[MARCA]],MARCAS!C:C,MARCAS!A:A)</f>
        <v>F0016</v>
      </c>
      <c r="I557" s="38" t="s">
        <v>1752</v>
      </c>
      <c r="J557" s="37" t="s">
        <v>1323</v>
      </c>
      <c r="K557" s="2" t="s">
        <v>1324</v>
      </c>
    </row>
    <row r="558" spans="1:11" hidden="1" x14ac:dyDescent="0.25">
      <c r="A558" s="2" t="s">
        <v>55</v>
      </c>
      <c r="B558" s="2" t="str">
        <f>_xlfn.XLOOKUP(Tabla1[[#This Row],[SOCIEDAD]],centros!D:D,centros!E:E)</f>
        <v>VD00</v>
      </c>
      <c r="C558" s="2" t="s">
        <v>671</v>
      </c>
      <c r="D558" s="2" t="s">
        <v>11</v>
      </c>
      <c r="E558" s="2" t="str">
        <f>IFERROR(INDEX(centros!$H$2:$H$45,MATCH(TRIM(Tabla1[[#This Row],[SOCIEDAD]])&amp;"|"&amp;TRIM(Tabla1[[#This Row],[LOCALIDAD]]),centros!$G$2:$G$45,0)),"REVISAR")</f>
        <v>VD00</v>
      </c>
      <c r="F558" s="2" t="s">
        <v>54</v>
      </c>
      <c r="G558" s="2" t="str">
        <f>_xlfn.XLOOKUP(Tabla1[[#This Row],[MARCA]],MARCAS!E:E,MARCAS!F:F)</f>
        <v>150</v>
      </c>
      <c r="H558" s="2" t="str">
        <f>_xlfn.XLOOKUP(Tabla1[[#This Row],[MARCA]],MARCAS!C:C,MARCAS!A:A)</f>
        <v>F0016</v>
      </c>
      <c r="I558" s="38" t="s">
        <v>1753</v>
      </c>
      <c r="J558" s="37" t="s">
        <v>1326</v>
      </c>
      <c r="K558" s="2" t="s">
        <v>1327</v>
      </c>
    </row>
    <row r="559" spans="1:11" hidden="1" x14ac:dyDescent="0.25">
      <c r="A559" s="2" t="s">
        <v>55</v>
      </c>
      <c r="B559" s="2" t="str">
        <f>_xlfn.XLOOKUP(Tabla1[[#This Row],[SOCIEDAD]],centros!D:D,centros!E:E)</f>
        <v>VD00</v>
      </c>
      <c r="C559" s="2" t="s">
        <v>1027</v>
      </c>
      <c r="D559" s="2" t="s">
        <v>11</v>
      </c>
      <c r="E559" s="2" t="str">
        <f>IFERROR(INDEX(centros!$H$2:$H$45,MATCH(TRIM(Tabla1[[#This Row],[SOCIEDAD]])&amp;"|"&amp;TRIM(Tabla1[[#This Row],[LOCALIDAD]]),centros!$G$2:$G$45,0)),"REVISAR")</f>
        <v>VD00</v>
      </c>
      <c r="F559" s="2" t="s">
        <v>54</v>
      </c>
      <c r="G559" s="2" t="str">
        <f>_xlfn.XLOOKUP(Tabla1[[#This Row],[MARCA]],MARCAS!E:E,MARCAS!F:F)</f>
        <v>150</v>
      </c>
      <c r="H559" s="2" t="str">
        <f>_xlfn.XLOOKUP(Tabla1[[#This Row],[MARCA]],MARCAS!C:C,MARCAS!A:A)</f>
        <v>F0016</v>
      </c>
      <c r="I559" s="38" t="s">
        <v>1754</v>
      </c>
      <c r="J559" s="37" t="s">
        <v>1329</v>
      </c>
      <c r="K559" s="2" t="s">
        <v>1330</v>
      </c>
    </row>
    <row r="560" spans="1:11" hidden="1" x14ac:dyDescent="0.25">
      <c r="A560" s="2" t="s">
        <v>55</v>
      </c>
      <c r="B560" s="2" t="str">
        <f>_xlfn.XLOOKUP(Tabla1[[#This Row],[SOCIEDAD]],centros!D:D,centros!E:E)</f>
        <v>VD00</v>
      </c>
      <c r="C560" s="2" t="s">
        <v>300</v>
      </c>
      <c r="D560" s="2" t="s">
        <v>11</v>
      </c>
      <c r="E560" s="2" t="str">
        <f>IFERROR(INDEX(centros!$H$2:$H$45,MATCH(TRIM(Tabla1[[#This Row],[SOCIEDAD]])&amp;"|"&amp;TRIM(Tabla1[[#This Row],[LOCALIDAD]]),centros!$G$2:$G$45,0)),"REVISAR")</f>
        <v>VD00</v>
      </c>
      <c r="F560" s="2" t="s">
        <v>54</v>
      </c>
      <c r="G560" s="2" t="str">
        <f>_xlfn.XLOOKUP(Tabla1[[#This Row],[MARCA]],MARCAS!E:E,MARCAS!F:F)</f>
        <v>150</v>
      </c>
      <c r="H560" s="2" t="str">
        <f>_xlfn.XLOOKUP(Tabla1[[#This Row],[MARCA]],MARCAS!C:C,MARCAS!A:A)</f>
        <v>F0016</v>
      </c>
      <c r="I560" s="38" t="s">
        <v>1755</v>
      </c>
      <c r="J560" s="37" t="s">
        <v>1332</v>
      </c>
      <c r="K560" s="2" t="s">
        <v>1333</v>
      </c>
    </row>
    <row r="561" spans="1:11" hidden="1" x14ac:dyDescent="0.25">
      <c r="A561" s="2" t="s">
        <v>55</v>
      </c>
      <c r="B561" s="2" t="str">
        <f>_xlfn.XLOOKUP(Tabla1[[#This Row],[SOCIEDAD]],centros!D:D,centros!E:E)</f>
        <v>VD00</v>
      </c>
      <c r="C561" s="2" t="s">
        <v>263</v>
      </c>
      <c r="D561" s="2" t="s">
        <v>17</v>
      </c>
      <c r="E561" s="2" t="str">
        <f>IFERROR(INDEX(centros!$H$2:$H$45,MATCH(TRIM(Tabla1[[#This Row],[SOCIEDAD]])&amp;"|"&amp;TRIM(Tabla1[[#This Row],[LOCALIDAD]]),centros!$G$2:$G$45,0)),"REVISAR")</f>
        <v>VD04</v>
      </c>
      <c r="F561" s="2" t="s">
        <v>54</v>
      </c>
      <c r="G561" s="2" t="str">
        <f>_xlfn.XLOOKUP(Tabla1[[#This Row],[MARCA]],MARCAS!E:E,MARCAS!F:F)</f>
        <v>150</v>
      </c>
      <c r="H561" s="2" t="str">
        <f>_xlfn.XLOOKUP(Tabla1[[#This Row],[MARCA]],MARCAS!C:C,MARCAS!A:A)</f>
        <v>F0016</v>
      </c>
      <c r="I561" s="38" t="s">
        <v>1756</v>
      </c>
      <c r="J561" s="37" t="s">
        <v>1335</v>
      </c>
      <c r="K561" s="2" t="s">
        <v>1336</v>
      </c>
    </row>
    <row r="562" spans="1:11" hidden="1" x14ac:dyDescent="0.25">
      <c r="A562" s="2" t="s">
        <v>55</v>
      </c>
      <c r="B562" s="2" t="str">
        <f>_xlfn.XLOOKUP(Tabla1[[#This Row],[SOCIEDAD]],centros!D:D,centros!E:E)</f>
        <v>VD00</v>
      </c>
      <c r="C562" s="2" t="s">
        <v>671</v>
      </c>
      <c r="D562" s="2" t="s">
        <v>17</v>
      </c>
      <c r="E562" s="2" t="str">
        <f>IFERROR(INDEX(centros!$H$2:$H$45,MATCH(TRIM(Tabla1[[#This Row],[SOCIEDAD]])&amp;"|"&amp;TRIM(Tabla1[[#This Row],[LOCALIDAD]]),centros!$G$2:$G$45,0)),"REVISAR")</f>
        <v>VD04</v>
      </c>
      <c r="F562" s="2" t="s">
        <v>54</v>
      </c>
      <c r="G562" s="2" t="str">
        <f>_xlfn.XLOOKUP(Tabla1[[#This Row],[MARCA]],MARCAS!E:E,MARCAS!F:F)</f>
        <v>150</v>
      </c>
      <c r="H562" s="2" t="str">
        <f>_xlfn.XLOOKUP(Tabla1[[#This Row],[MARCA]],MARCAS!C:C,MARCAS!A:A)</f>
        <v>F0016</v>
      </c>
      <c r="I562" s="38" t="s">
        <v>1757</v>
      </c>
      <c r="J562" s="37" t="s">
        <v>1338</v>
      </c>
      <c r="K562" s="2" t="s">
        <v>1339</v>
      </c>
    </row>
    <row r="563" spans="1:11" hidden="1" x14ac:dyDescent="0.25">
      <c r="A563" s="2" t="s">
        <v>55</v>
      </c>
      <c r="B563" s="2" t="str">
        <f>_xlfn.XLOOKUP(Tabla1[[#This Row],[SOCIEDAD]],centros!D:D,centros!E:E)</f>
        <v>VD00</v>
      </c>
      <c r="C563" s="2" t="s">
        <v>1027</v>
      </c>
      <c r="D563" s="2" t="s">
        <v>17</v>
      </c>
      <c r="E563" s="2" t="str">
        <f>IFERROR(INDEX(centros!$H$2:$H$45,MATCH(TRIM(Tabla1[[#This Row],[SOCIEDAD]])&amp;"|"&amp;TRIM(Tabla1[[#This Row],[LOCALIDAD]]),centros!$G$2:$G$45,0)),"REVISAR")</f>
        <v>VD04</v>
      </c>
      <c r="F563" s="2" t="s">
        <v>54</v>
      </c>
      <c r="G563" s="2" t="str">
        <f>_xlfn.XLOOKUP(Tabla1[[#This Row],[MARCA]],MARCAS!E:E,MARCAS!F:F)</f>
        <v>150</v>
      </c>
      <c r="H563" s="2" t="str">
        <f>_xlfn.XLOOKUP(Tabla1[[#This Row],[MARCA]],MARCAS!C:C,MARCAS!A:A)</f>
        <v>F0016</v>
      </c>
      <c r="I563" s="38" t="s">
        <v>1758</v>
      </c>
      <c r="J563" s="37" t="s">
        <v>1341</v>
      </c>
      <c r="K563" s="2" t="s">
        <v>1342</v>
      </c>
    </row>
    <row r="564" spans="1:11" hidden="1" x14ac:dyDescent="0.25">
      <c r="A564" s="2" t="s">
        <v>55</v>
      </c>
      <c r="B564" s="2" t="str">
        <f>_xlfn.XLOOKUP(Tabla1[[#This Row],[SOCIEDAD]],centros!D:D,centros!E:E)</f>
        <v>VD00</v>
      </c>
      <c r="C564" s="2" t="s">
        <v>300</v>
      </c>
      <c r="D564" s="2" t="s">
        <v>17</v>
      </c>
      <c r="E564" s="2" t="str">
        <f>IFERROR(INDEX(centros!$H$2:$H$45,MATCH(TRIM(Tabla1[[#This Row],[SOCIEDAD]])&amp;"|"&amp;TRIM(Tabla1[[#This Row],[LOCALIDAD]]),centros!$G$2:$G$45,0)),"REVISAR")</f>
        <v>VD04</v>
      </c>
      <c r="F564" s="2" t="s">
        <v>54</v>
      </c>
      <c r="G564" s="2" t="str">
        <f>_xlfn.XLOOKUP(Tabla1[[#This Row],[MARCA]],MARCAS!E:E,MARCAS!F:F)</f>
        <v>150</v>
      </c>
      <c r="H564" s="2" t="str">
        <f>_xlfn.XLOOKUP(Tabla1[[#This Row],[MARCA]],MARCAS!C:C,MARCAS!A:A)</f>
        <v>F0016</v>
      </c>
      <c r="I564" s="38" t="s">
        <v>1759</v>
      </c>
      <c r="J564" s="37" t="s">
        <v>1344</v>
      </c>
      <c r="K564" s="2" t="s">
        <v>1345</v>
      </c>
    </row>
    <row r="565" spans="1:11" hidden="1" x14ac:dyDescent="0.25">
      <c r="A565" s="2" t="s">
        <v>55</v>
      </c>
      <c r="B565" s="2" t="str">
        <f>_xlfn.XLOOKUP(Tabla1[[#This Row],[SOCIEDAD]],centros!D:D,centros!E:E)</f>
        <v>VD00</v>
      </c>
      <c r="C565" s="2" t="s">
        <v>263</v>
      </c>
      <c r="D565" s="2" t="s">
        <v>19</v>
      </c>
      <c r="E565" s="2" t="str">
        <f>IFERROR(INDEX(centros!$H$2:$H$45,MATCH(TRIM(Tabla1[[#This Row],[SOCIEDAD]])&amp;"|"&amp;TRIM(Tabla1[[#This Row],[LOCALIDAD]]),centros!$G$2:$G$45,0)),"REVISAR")</f>
        <v>VD05</v>
      </c>
      <c r="F565" s="2" t="s">
        <v>54</v>
      </c>
      <c r="G565" s="2" t="str">
        <f>_xlfn.XLOOKUP(Tabla1[[#This Row],[MARCA]],MARCAS!E:E,MARCAS!F:F)</f>
        <v>150</v>
      </c>
      <c r="H565" s="2" t="str">
        <f>_xlfn.XLOOKUP(Tabla1[[#This Row],[MARCA]],MARCAS!C:C,MARCAS!A:A)</f>
        <v>F0016</v>
      </c>
      <c r="I565" s="38" t="s">
        <v>1760</v>
      </c>
      <c r="J565" s="37" t="s">
        <v>1347</v>
      </c>
      <c r="K565" s="2" t="s">
        <v>1348</v>
      </c>
    </row>
    <row r="566" spans="1:11" hidden="1" x14ac:dyDescent="0.25">
      <c r="A566" s="2" t="s">
        <v>55</v>
      </c>
      <c r="B566" s="2" t="str">
        <f>_xlfn.XLOOKUP(Tabla1[[#This Row],[SOCIEDAD]],centros!D:D,centros!E:E)</f>
        <v>VD00</v>
      </c>
      <c r="C566" s="2" t="s">
        <v>671</v>
      </c>
      <c r="D566" s="2" t="s">
        <v>19</v>
      </c>
      <c r="E566" s="2" t="str">
        <f>IFERROR(INDEX(centros!$H$2:$H$45,MATCH(TRIM(Tabla1[[#This Row],[SOCIEDAD]])&amp;"|"&amp;TRIM(Tabla1[[#This Row],[LOCALIDAD]]),centros!$G$2:$G$45,0)),"REVISAR")</f>
        <v>VD05</v>
      </c>
      <c r="F566" s="2" t="s">
        <v>54</v>
      </c>
      <c r="G566" s="2" t="str">
        <f>_xlfn.XLOOKUP(Tabla1[[#This Row],[MARCA]],MARCAS!E:E,MARCAS!F:F)</f>
        <v>150</v>
      </c>
      <c r="H566" s="2" t="str">
        <f>_xlfn.XLOOKUP(Tabla1[[#This Row],[MARCA]],MARCAS!C:C,MARCAS!A:A)</f>
        <v>F0016</v>
      </c>
      <c r="I566" s="38" t="s">
        <v>1761</v>
      </c>
      <c r="J566" s="37" t="s">
        <v>1350</v>
      </c>
      <c r="K566" s="2" t="s">
        <v>1351</v>
      </c>
    </row>
    <row r="567" spans="1:11" hidden="1" x14ac:dyDescent="0.25">
      <c r="A567" s="2" t="s">
        <v>55</v>
      </c>
      <c r="B567" s="2" t="str">
        <f>_xlfn.XLOOKUP(Tabla1[[#This Row],[SOCIEDAD]],centros!D:D,centros!E:E)</f>
        <v>VD00</v>
      </c>
      <c r="C567" s="2" t="s">
        <v>1027</v>
      </c>
      <c r="D567" s="2" t="s">
        <v>19</v>
      </c>
      <c r="E567" s="2" t="str">
        <f>IFERROR(INDEX(centros!$H$2:$H$45,MATCH(TRIM(Tabla1[[#This Row],[SOCIEDAD]])&amp;"|"&amp;TRIM(Tabla1[[#This Row],[LOCALIDAD]]),centros!$G$2:$G$45,0)),"REVISAR")</f>
        <v>VD05</v>
      </c>
      <c r="F567" s="2" t="s">
        <v>54</v>
      </c>
      <c r="G567" s="2" t="str">
        <f>_xlfn.XLOOKUP(Tabla1[[#This Row],[MARCA]],MARCAS!E:E,MARCAS!F:F)</f>
        <v>150</v>
      </c>
      <c r="H567" s="2" t="str">
        <f>_xlfn.XLOOKUP(Tabla1[[#This Row],[MARCA]],MARCAS!C:C,MARCAS!A:A)</f>
        <v>F0016</v>
      </c>
      <c r="I567" s="38" t="s">
        <v>1762</v>
      </c>
      <c r="J567" s="37" t="s">
        <v>1353</v>
      </c>
      <c r="K567" s="2" t="s">
        <v>1354</v>
      </c>
    </row>
    <row r="568" spans="1:11" hidden="1" x14ac:dyDescent="0.25">
      <c r="A568" s="2" t="s">
        <v>55</v>
      </c>
      <c r="B568" s="2" t="str">
        <f>_xlfn.XLOOKUP(Tabla1[[#This Row],[SOCIEDAD]],centros!D:D,centros!E:E)</f>
        <v>VD00</v>
      </c>
      <c r="C568" s="2" t="s">
        <v>300</v>
      </c>
      <c r="D568" s="2" t="s">
        <v>19</v>
      </c>
      <c r="E568" s="2" t="str">
        <f>IFERROR(INDEX(centros!$H$2:$H$45,MATCH(TRIM(Tabla1[[#This Row],[SOCIEDAD]])&amp;"|"&amp;TRIM(Tabla1[[#This Row],[LOCALIDAD]]),centros!$G$2:$G$45,0)),"REVISAR")</f>
        <v>VD05</v>
      </c>
      <c r="F568" s="2" t="s">
        <v>54</v>
      </c>
      <c r="G568" s="2" t="str">
        <f>_xlfn.XLOOKUP(Tabla1[[#This Row],[MARCA]],MARCAS!E:E,MARCAS!F:F)</f>
        <v>150</v>
      </c>
      <c r="H568" s="2" t="str">
        <f>_xlfn.XLOOKUP(Tabla1[[#This Row],[MARCA]],MARCAS!C:C,MARCAS!A:A)</f>
        <v>F0016</v>
      </c>
      <c r="I568" s="38" t="s">
        <v>1763</v>
      </c>
      <c r="J568" s="37" t="s">
        <v>1356</v>
      </c>
      <c r="K568" s="2" t="s">
        <v>1357</v>
      </c>
    </row>
    <row r="569" spans="1:11" hidden="1" x14ac:dyDescent="0.25">
      <c r="A569" s="2" t="s">
        <v>55</v>
      </c>
      <c r="B569" s="2" t="str">
        <f>_xlfn.XLOOKUP(Tabla1[[#This Row],[SOCIEDAD]],centros!D:D,centros!E:E)</f>
        <v>VD00</v>
      </c>
      <c r="C569" s="2" t="s">
        <v>263</v>
      </c>
      <c r="D569" s="2" t="s">
        <v>13</v>
      </c>
      <c r="E569" s="2" t="str">
        <f>IFERROR(INDEX(centros!$H$2:$H$45,MATCH(TRIM(Tabla1[[#This Row],[SOCIEDAD]])&amp;"|"&amp;TRIM(Tabla1[[#This Row],[LOCALIDAD]]),centros!$G$2:$G$45,0)),"REVISAR")</f>
        <v>VD01</v>
      </c>
      <c r="F569" s="2" t="s">
        <v>54</v>
      </c>
      <c r="G569" s="2" t="str">
        <f>_xlfn.XLOOKUP(Tabla1[[#This Row],[MARCA]],MARCAS!E:E,MARCAS!F:F)</f>
        <v>150</v>
      </c>
      <c r="H569" s="2" t="str">
        <f>_xlfn.XLOOKUP(Tabla1[[#This Row],[MARCA]],MARCAS!C:C,MARCAS!A:A)</f>
        <v>F0016</v>
      </c>
      <c r="I569" s="38" t="s">
        <v>1764</v>
      </c>
      <c r="J569" s="37" t="s">
        <v>1359</v>
      </c>
      <c r="K569" s="2" t="s">
        <v>1360</v>
      </c>
    </row>
    <row r="570" spans="1:11" hidden="1" x14ac:dyDescent="0.25">
      <c r="A570" s="2" t="s">
        <v>55</v>
      </c>
      <c r="B570" s="2" t="str">
        <f>_xlfn.XLOOKUP(Tabla1[[#This Row],[SOCIEDAD]],centros!D:D,centros!E:E)</f>
        <v>VD00</v>
      </c>
      <c r="C570" s="2" t="s">
        <v>671</v>
      </c>
      <c r="D570" s="2" t="s">
        <v>13</v>
      </c>
      <c r="E570" s="2" t="str">
        <f>IFERROR(INDEX(centros!$H$2:$H$45,MATCH(TRIM(Tabla1[[#This Row],[SOCIEDAD]])&amp;"|"&amp;TRIM(Tabla1[[#This Row],[LOCALIDAD]]),centros!$G$2:$G$45,0)),"REVISAR")</f>
        <v>VD01</v>
      </c>
      <c r="F570" s="2" t="s">
        <v>54</v>
      </c>
      <c r="G570" s="2" t="str">
        <f>_xlfn.XLOOKUP(Tabla1[[#This Row],[MARCA]],MARCAS!E:E,MARCAS!F:F)</f>
        <v>150</v>
      </c>
      <c r="H570" s="2" t="str">
        <f>_xlfn.XLOOKUP(Tabla1[[#This Row],[MARCA]],MARCAS!C:C,MARCAS!A:A)</f>
        <v>F0016</v>
      </c>
      <c r="I570" s="38" t="s">
        <v>1765</v>
      </c>
      <c r="J570" s="37" t="s">
        <v>1362</v>
      </c>
      <c r="K570" s="2" t="s">
        <v>1363</v>
      </c>
    </row>
    <row r="571" spans="1:11" hidden="1" x14ac:dyDescent="0.25">
      <c r="A571" s="2" t="s">
        <v>55</v>
      </c>
      <c r="B571" s="2" t="str">
        <f>_xlfn.XLOOKUP(Tabla1[[#This Row],[SOCIEDAD]],centros!D:D,centros!E:E)</f>
        <v>VD00</v>
      </c>
      <c r="C571" s="2" t="s">
        <v>1027</v>
      </c>
      <c r="D571" s="2" t="s">
        <v>13</v>
      </c>
      <c r="E571" s="2" t="str">
        <f>IFERROR(INDEX(centros!$H$2:$H$45,MATCH(TRIM(Tabla1[[#This Row],[SOCIEDAD]])&amp;"|"&amp;TRIM(Tabla1[[#This Row],[LOCALIDAD]]),centros!$G$2:$G$45,0)),"REVISAR")</f>
        <v>VD01</v>
      </c>
      <c r="F571" s="2" t="s">
        <v>54</v>
      </c>
      <c r="G571" s="2" t="str">
        <f>_xlfn.XLOOKUP(Tabla1[[#This Row],[MARCA]],MARCAS!E:E,MARCAS!F:F)</f>
        <v>150</v>
      </c>
      <c r="H571" s="2" t="str">
        <f>_xlfn.XLOOKUP(Tabla1[[#This Row],[MARCA]],MARCAS!C:C,MARCAS!A:A)</f>
        <v>F0016</v>
      </c>
      <c r="I571" s="38" t="s">
        <v>1766</v>
      </c>
      <c r="J571" s="37" t="s">
        <v>1365</v>
      </c>
      <c r="K571" s="2" t="s">
        <v>1366</v>
      </c>
    </row>
    <row r="572" spans="1:11" hidden="1" x14ac:dyDescent="0.25">
      <c r="A572" s="2" t="s">
        <v>55</v>
      </c>
      <c r="B572" s="2" t="str">
        <f>_xlfn.XLOOKUP(Tabla1[[#This Row],[SOCIEDAD]],centros!D:D,centros!E:E)</f>
        <v>VD00</v>
      </c>
      <c r="C572" s="2" t="s">
        <v>300</v>
      </c>
      <c r="D572" s="2" t="s">
        <v>13</v>
      </c>
      <c r="E572" s="2" t="str">
        <f>IFERROR(INDEX(centros!$H$2:$H$45,MATCH(TRIM(Tabla1[[#This Row],[SOCIEDAD]])&amp;"|"&amp;TRIM(Tabla1[[#This Row],[LOCALIDAD]]),centros!$G$2:$G$45,0)),"REVISAR")</f>
        <v>VD01</v>
      </c>
      <c r="F572" s="2" t="s">
        <v>54</v>
      </c>
      <c r="G572" s="2" t="str">
        <f>_xlfn.XLOOKUP(Tabla1[[#This Row],[MARCA]],MARCAS!E:E,MARCAS!F:F)</f>
        <v>150</v>
      </c>
      <c r="H572" s="2" t="str">
        <f>_xlfn.XLOOKUP(Tabla1[[#This Row],[MARCA]],MARCAS!C:C,MARCAS!A:A)</f>
        <v>F0016</v>
      </c>
      <c r="I572" s="38" t="s">
        <v>1767</v>
      </c>
      <c r="J572" s="37" t="s">
        <v>1368</v>
      </c>
      <c r="K572" s="2" t="s">
        <v>1369</v>
      </c>
    </row>
    <row r="573" spans="1:11" hidden="1" x14ac:dyDescent="0.25">
      <c r="A573" s="2" t="s">
        <v>55</v>
      </c>
      <c r="B573" s="2" t="str">
        <f>_xlfn.XLOOKUP(Tabla1[[#This Row],[SOCIEDAD]],centros!D:D,centros!E:E)</f>
        <v>VD00</v>
      </c>
      <c r="C573" s="2" t="s">
        <v>263</v>
      </c>
      <c r="D573" s="2" t="s">
        <v>23</v>
      </c>
      <c r="E573" s="2" t="str">
        <f>IFERROR(INDEX(centros!$H$2:$H$45,MATCH(TRIM(Tabla1[[#This Row],[SOCIEDAD]])&amp;"|"&amp;TRIM(Tabla1[[#This Row],[LOCALIDAD]]),centros!$G$2:$G$45,0)),"REVISAR")</f>
        <v>VD06</v>
      </c>
      <c r="F573" s="2" t="s">
        <v>54</v>
      </c>
      <c r="G573" s="2" t="str">
        <f>_xlfn.XLOOKUP(Tabla1[[#This Row],[MARCA]],MARCAS!E:E,MARCAS!F:F)</f>
        <v>150</v>
      </c>
      <c r="H573" s="2" t="str">
        <f>_xlfn.XLOOKUP(Tabla1[[#This Row],[MARCA]],MARCAS!C:C,MARCAS!A:A)</f>
        <v>F0016</v>
      </c>
      <c r="I573" s="38" t="s">
        <v>1768</v>
      </c>
      <c r="J573" s="37" t="s">
        <v>1371</v>
      </c>
      <c r="K573" s="2" t="s">
        <v>1372</v>
      </c>
    </row>
    <row r="574" spans="1:11" hidden="1" x14ac:dyDescent="0.25">
      <c r="A574" s="2" t="s">
        <v>55</v>
      </c>
      <c r="B574" s="2" t="str">
        <f>_xlfn.XLOOKUP(Tabla1[[#This Row],[SOCIEDAD]],centros!D:D,centros!E:E)</f>
        <v>VD00</v>
      </c>
      <c r="C574" s="2" t="s">
        <v>671</v>
      </c>
      <c r="D574" s="2" t="s">
        <v>23</v>
      </c>
      <c r="E574" s="2" t="str">
        <f>IFERROR(INDEX(centros!$H$2:$H$45,MATCH(TRIM(Tabla1[[#This Row],[SOCIEDAD]])&amp;"|"&amp;TRIM(Tabla1[[#This Row],[LOCALIDAD]]),centros!$G$2:$G$45,0)),"REVISAR")</f>
        <v>VD06</v>
      </c>
      <c r="F574" s="2" t="s">
        <v>54</v>
      </c>
      <c r="G574" s="2" t="str">
        <f>_xlfn.XLOOKUP(Tabla1[[#This Row],[MARCA]],MARCAS!E:E,MARCAS!F:F)</f>
        <v>150</v>
      </c>
      <c r="H574" s="2" t="str">
        <f>_xlfn.XLOOKUP(Tabla1[[#This Row],[MARCA]],MARCAS!C:C,MARCAS!A:A)</f>
        <v>F0016</v>
      </c>
      <c r="I574" s="38" t="s">
        <v>1769</v>
      </c>
      <c r="J574" s="37" t="s">
        <v>1374</v>
      </c>
      <c r="K574" s="2" t="s">
        <v>1375</v>
      </c>
    </row>
    <row r="575" spans="1:11" hidden="1" x14ac:dyDescent="0.25">
      <c r="A575" s="2" t="s">
        <v>55</v>
      </c>
      <c r="B575" s="2" t="str">
        <f>_xlfn.XLOOKUP(Tabla1[[#This Row],[SOCIEDAD]],centros!D:D,centros!E:E)</f>
        <v>VD00</v>
      </c>
      <c r="C575" s="2" t="s">
        <v>1027</v>
      </c>
      <c r="D575" s="2" t="s">
        <v>23</v>
      </c>
      <c r="E575" s="2" t="str">
        <f>IFERROR(INDEX(centros!$H$2:$H$45,MATCH(TRIM(Tabla1[[#This Row],[SOCIEDAD]])&amp;"|"&amp;TRIM(Tabla1[[#This Row],[LOCALIDAD]]),centros!$G$2:$G$45,0)),"REVISAR")</f>
        <v>VD06</v>
      </c>
      <c r="F575" s="2" t="s">
        <v>54</v>
      </c>
      <c r="G575" s="2" t="str">
        <f>_xlfn.XLOOKUP(Tabla1[[#This Row],[MARCA]],MARCAS!E:E,MARCAS!F:F)</f>
        <v>150</v>
      </c>
      <c r="H575" s="2" t="str">
        <f>_xlfn.XLOOKUP(Tabla1[[#This Row],[MARCA]],MARCAS!C:C,MARCAS!A:A)</f>
        <v>F0016</v>
      </c>
      <c r="I575" s="38" t="s">
        <v>1770</v>
      </c>
      <c r="J575" s="37" t="s">
        <v>1377</v>
      </c>
      <c r="K575" s="2" t="s">
        <v>1378</v>
      </c>
    </row>
    <row r="576" spans="1:11" hidden="1" x14ac:dyDescent="0.25">
      <c r="A576" s="2" t="s">
        <v>55</v>
      </c>
      <c r="B576" s="2" t="str">
        <f>_xlfn.XLOOKUP(Tabla1[[#This Row],[SOCIEDAD]],centros!D:D,centros!E:E)</f>
        <v>VD00</v>
      </c>
      <c r="C576" s="2" t="s">
        <v>300</v>
      </c>
      <c r="D576" s="2" t="s">
        <v>23</v>
      </c>
      <c r="E576" s="2" t="str">
        <f>IFERROR(INDEX(centros!$H$2:$H$45,MATCH(TRIM(Tabla1[[#This Row],[SOCIEDAD]])&amp;"|"&amp;TRIM(Tabla1[[#This Row],[LOCALIDAD]]),centros!$G$2:$G$45,0)),"REVISAR")</f>
        <v>VD06</v>
      </c>
      <c r="F576" s="2" t="s">
        <v>54</v>
      </c>
      <c r="G576" s="2" t="str">
        <f>_xlfn.XLOOKUP(Tabla1[[#This Row],[MARCA]],MARCAS!E:E,MARCAS!F:F)</f>
        <v>150</v>
      </c>
      <c r="H576" s="2" t="str">
        <f>_xlfn.XLOOKUP(Tabla1[[#This Row],[MARCA]],MARCAS!C:C,MARCAS!A:A)</f>
        <v>F0016</v>
      </c>
      <c r="I576" s="38" t="s">
        <v>1771</v>
      </c>
      <c r="J576" s="37" t="s">
        <v>1772</v>
      </c>
      <c r="K576" s="2" t="s">
        <v>1381</v>
      </c>
    </row>
    <row r="577" spans="1:11" hidden="1" x14ac:dyDescent="0.25">
      <c r="A577" s="2" t="s">
        <v>55</v>
      </c>
      <c r="B577" s="2" t="str">
        <f>_xlfn.XLOOKUP(Tabla1[[#This Row],[SOCIEDAD]],centros!D:D,centros!E:E)</f>
        <v>VD00</v>
      </c>
      <c r="C577" s="2" t="s">
        <v>263</v>
      </c>
      <c r="D577" s="2" t="s">
        <v>32</v>
      </c>
      <c r="E577" s="2" t="str">
        <f>IFERROR(INDEX(centros!$H$2:$H$45,MATCH(TRIM(Tabla1[[#This Row],[SOCIEDAD]])&amp;"|"&amp;TRIM(Tabla1[[#This Row],[LOCALIDAD]]),centros!$G$2:$G$45,0)),"REVISAR")</f>
        <v>VD03</v>
      </c>
      <c r="F577" s="2" t="s">
        <v>54</v>
      </c>
      <c r="G577" s="2" t="str">
        <f>_xlfn.XLOOKUP(Tabla1[[#This Row],[MARCA]],MARCAS!E:E,MARCAS!F:F)</f>
        <v>150</v>
      </c>
      <c r="H577" s="2" t="str">
        <f>_xlfn.XLOOKUP(Tabla1[[#This Row],[MARCA]],MARCAS!C:C,MARCAS!A:A)</f>
        <v>F0016</v>
      </c>
      <c r="I577" s="38" t="s">
        <v>1773</v>
      </c>
      <c r="J577" s="37" t="s">
        <v>1383</v>
      </c>
      <c r="K577" s="2" t="s">
        <v>1384</v>
      </c>
    </row>
    <row r="578" spans="1:11" hidden="1" x14ac:dyDescent="0.25">
      <c r="A578" s="2" t="s">
        <v>55</v>
      </c>
      <c r="B578" s="2" t="str">
        <f>_xlfn.XLOOKUP(Tabla1[[#This Row],[SOCIEDAD]],centros!D:D,centros!E:E)</f>
        <v>VD00</v>
      </c>
      <c r="C578" s="2" t="s">
        <v>671</v>
      </c>
      <c r="D578" s="2" t="s">
        <v>32</v>
      </c>
      <c r="E578" s="2" t="str">
        <f>IFERROR(INDEX(centros!$H$2:$H$45,MATCH(TRIM(Tabla1[[#This Row],[SOCIEDAD]])&amp;"|"&amp;TRIM(Tabla1[[#This Row],[LOCALIDAD]]),centros!$G$2:$G$45,0)),"REVISAR")</f>
        <v>VD03</v>
      </c>
      <c r="F578" s="2" t="s">
        <v>54</v>
      </c>
      <c r="G578" s="2" t="str">
        <f>_xlfn.XLOOKUP(Tabla1[[#This Row],[MARCA]],MARCAS!E:E,MARCAS!F:F)</f>
        <v>150</v>
      </c>
      <c r="H578" s="2" t="str">
        <f>_xlfn.XLOOKUP(Tabla1[[#This Row],[MARCA]],MARCAS!C:C,MARCAS!A:A)</f>
        <v>F0016</v>
      </c>
      <c r="I578" s="38" t="s">
        <v>1774</v>
      </c>
      <c r="J578" s="37" t="s">
        <v>1386</v>
      </c>
      <c r="K578" s="2" t="s">
        <v>1387</v>
      </c>
    </row>
    <row r="579" spans="1:11" hidden="1" x14ac:dyDescent="0.25">
      <c r="A579" s="2" t="s">
        <v>55</v>
      </c>
      <c r="B579" s="2" t="str">
        <f>_xlfn.XLOOKUP(Tabla1[[#This Row],[SOCIEDAD]],centros!D:D,centros!E:E)</f>
        <v>VD00</v>
      </c>
      <c r="C579" s="2" t="s">
        <v>1027</v>
      </c>
      <c r="D579" s="2" t="s">
        <v>32</v>
      </c>
      <c r="E579" s="2" t="str">
        <f>IFERROR(INDEX(centros!$H$2:$H$45,MATCH(TRIM(Tabla1[[#This Row],[SOCIEDAD]])&amp;"|"&amp;TRIM(Tabla1[[#This Row],[LOCALIDAD]]),centros!$G$2:$G$45,0)),"REVISAR")</f>
        <v>VD03</v>
      </c>
      <c r="F579" s="2" t="s">
        <v>54</v>
      </c>
      <c r="G579" s="2" t="str">
        <f>_xlfn.XLOOKUP(Tabla1[[#This Row],[MARCA]],MARCAS!E:E,MARCAS!F:F)</f>
        <v>150</v>
      </c>
      <c r="H579" s="2" t="str">
        <f>_xlfn.XLOOKUP(Tabla1[[#This Row],[MARCA]],MARCAS!C:C,MARCAS!A:A)</f>
        <v>F0016</v>
      </c>
      <c r="I579" s="38" t="s">
        <v>1775</v>
      </c>
      <c r="J579" s="37" t="s">
        <v>1389</v>
      </c>
      <c r="K579" s="2" t="s">
        <v>1390</v>
      </c>
    </row>
    <row r="580" spans="1:11" hidden="1" x14ac:dyDescent="0.25">
      <c r="A580" s="2" t="s">
        <v>55</v>
      </c>
      <c r="B580" s="2" t="str">
        <f>_xlfn.XLOOKUP(Tabla1[[#This Row],[SOCIEDAD]],centros!D:D,centros!E:E)</f>
        <v>VD00</v>
      </c>
      <c r="C580" s="2" t="s">
        <v>300</v>
      </c>
      <c r="D580" s="2" t="s">
        <v>32</v>
      </c>
      <c r="E580" s="2" t="str">
        <f>IFERROR(INDEX(centros!$H$2:$H$45,MATCH(TRIM(Tabla1[[#This Row],[SOCIEDAD]])&amp;"|"&amp;TRIM(Tabla1[[#This Row],[LOCALIDAD]]),centros!$G$2:$G$45,0)),"REVISAR")</f>
        <v>VD03</v>
      </c>
      <c r="F580" s="2" t="s">
        <v>54</v>
      </c>
      <c r="G580" s="2" t="str">
        <f>_xlfn.XLOOKUP(Tabla1[[#This Row],[MARCA]],MARCAS!E:E,MARCAS!F:F)</f>
        <v>150</v>
      </c>
      <c r="H580" s="2" t="str">
        <f>_xlfn.XLOOKUP(Tabla1[[#This Row],[MARCA]],MARCAS!C:C,MARCAS!A:A)</f>
        <v>F0016</v>
      </c>
      <c r="I580" s="38" t="s">
        <v>1776</v>
      </c>
      <c r="J580" s="37" t="s">
        <v>1392</v>
      </c>
      <c r="K580" s="2" t="s">
        <v>1393</v>
      </c>
    </row>
    <row r="581" spans="1:11" hidden="1" x14ac:dyDescent="0.25">
      <c r="A581" s="2" t="s">
        <v>55</v>
      </c>
      <c r="B581" s="2" t="str">
        <f>_xlfn.XLOOKUP(Tabla1[[#This Row],[SOCIEDAD]],centros!D:D,centros!E:E)</f>
        <v>VD00</v>
      </c>
      <c r="C581" s="2" t="s">
        <v>263</v>
      </c>
      <c r="D581" s="2" t="s">
        <v>33</v>
      </c>
      <c r="E581" s="2" t="str">
        <f>IFERROR(INDEX(centros!$H$2:$H$45,MATCH(TRIM(Tabla1[[#This Row],[SOCIEDAD]])&amp;"|"&amp;TRIM(Tabla1[[#This Row],[LOCALIDAD]]),centros!$G$2:$G$45,0)),"REVISAR")</f>
        <v>VD07</v>
      </c>
      <c r="F581" s="2" t="s">
        <v>54</v>
      </c>
      <c r="G581" s="2" t="str">
        <f>_xlfn.XLOOKUP(Tabla1[[#This Row],[MARCA]],MARCAS!E:E,MARCAS!F:F)</f>
        <v>150</v>
      </c>
      <c r="H581" s="2" t="str">
        <f>_xlfn.XLOOKUP(Tabla1[[#This Row],[MARCA]],MARCAS!C:C,MARCAS!A:A)</f>
        <v>F0016</v>
      </c>
      <c r="I581" s="38" t="s">
        <v>1777</v>
      </c>
      <c r="J581" s="37" t="s">
        <v>1395</v>
      </c>
      <c r="K581" s="2" t="s">
        <v>1396</v>
      </c>
    </row>
    <row r="582" spans="1:11" hidden="1" x14ac:dyDescent="0.25">
      <c r="A582" s="2" t="s">
        <v>55</v>
      </c>
      <c r="B582" s="2" t="str">
        <f>_xlfn.XLOOKUP(Tabla1[[#This Row],[SOCIEDAD]],centros!D:D,centros!E:E)</f>
        <v>VD00</v>
      </c>
      <c r="C582" s="2" t="s">
        <v>671</v>
      </c>
      <c r="D582" s="2" t="s">
        <v>33</v>
      </c>
      <c r="E582" s="2" t="str">
        <f>IFERROR(INDEX(centros!$H$2:$H$45,MATCH(TRIM(Tabla1[[#This Row],[SOCIEDAD]])&amp;"|"&amp;TRIM(Tabla1[[#This Row],[LOCALIDAD]]),centros!$G$2:$G$45,0)),"REVISAR")</f>
        <v>VD07</v>
      </c>
      <c r="F582" s="2" t="s">
        <v>54</v>
      </c>
      <c r="G582" s="2" t="str">
        <f>_xlfn.XLOOKUP(Tabla1[[#This Row],[MARCA]],MARCAS!E:E,MARCAS!F:F)</f>
        <v>150</v>
      </c>
      <c r="H582" s="2" t="str">
        <f>_xlfn.XLOOKUP(Tabla1[[#This Row],[MARCA]],MARCAS!C:C,MARCAS!A:A)</f>
        <v>F0016</v>
      </c>
      <c r="I582" s="38" t="s">
        <v>1778</v>
      </c>
      <c r="J582" s="37" t="s">
        <v>1398</v>
      </c>
      <c r="K582" s="2" t="s">
        <v>1399</v>
      </c>
    </row>
    <row r="583" spans="1:11" hidden="1" x14ac:dyDescent="0.25">
      <c r="A583" s="2" t="s">
        <v>55</v>
      </c>
      <c r="B583" s="2" t="str">
        <f>_xlfn.XLOOKUP(Tabla1[[#This Row],[SOCIEDAD]],centros!D:D,centros!E:E)</f>
        <v>VD00</v>
      </c>
      <c r="C583" s="2" t="s">
        <v>1027</v>
      </c>
      <c r="D583" s="2" t="s">
        <v>33</v>
      </c>
      <c r="E583" s="2" t="str">
        <f>IFERROR(INDEX(centros!$H$2:$H$45,MATCH(TRIM(Tabla1[[#This Row],[SOCIEDAD]])&amp;"|"&amp;TRIM(Tabla1[[#This Row],[LOCALIDAD]]),centros!$G$2:$G$45,0)),"REVISAR")</f>
        <v>VD07</v>
      </c>
      <c r="F583" s="2" t="s">
        <v>54</v>
      </c>
      <c r="G583" s="2" t="str">
        <f>_xlfn.XLOOKUP(Tabla1[[#This Row],[MARCA]],MARCAS!E:E,MARCAS!F:F)</f>
        <v>150</v>
      </c>
      <c r="H583" s="2" t="str">
        <f>_xlfn.XLOOKUP(Tabla1[[#This Row],[MARCA]],MARCAS!C:C,MARCAS!A:A)</f>
        <v>F0016</v>
      </c>
      <c r="I583" s="38" t="s">
        <v>1779</v>
      </c>
      <c r="J583" s="37" t="s">
        <v>1401</v>
      </c>
      <c r="K583" s="2" t="s">
        <v>1402</v>
      </c>
    </row>
    <row r="584" spans="1:11" hidden="1" x14ac:dyDescent="0.25">
      <c r="A584" s="2" t="s">
        <v>55</v>
      </c>
      <c r="B584" s="2" t="str">
        <f>_xlfn.XLOOKUP(Tabla1[[#This Row],[SOCIEDAD]],centros!D:D,centros!E:E)</f>
        <v>VD00</v>
      </c>
      <c r="C584" s="2" t="s">
        <v>300</v>
      </c>
      <c r="D584" s="2" t="s">
        <v>33</v>
      </c>
      <c r="E584" s="2" t="str">
        <f>IFERROR(INDEX(centros!$H$2:$H$45,MATCH(TRIM(Tabla1[[#This Row],[SOCIEDAD]])&amp;"|"&amp;TRIM(Tabla1[[#This Row],[LOCALIDAD]]),centros!$G$2:$G$45,0)),"REVISAR")</f>
        <v>VD07</v>
      </c>
      <c r="F584" s="2" t="s">
        <v>54</v>
      </c>
      <c r="G584" s="2" t="str">
        <f>_xlfn.XLOOKUP(Tabla1[[#This Row],[MARCA]],MARCAS!E:E,MARCAS!F:F)</f>
        <v>150</v>
      </c>
      <c r="H584" s="2" t="str">
        <f>_xlfn.XLOOKUP(Tabla1[[#This Row],[MARCA]],MARCAS!C:C,MARCAS!A:A)</f>
        <v>F0016</v>
      </c>
      <c r="I584" s="38" t="s">
        <v>1780</v>
      </c>
      <c r="J584" s="37" t="s">
        <v>1404</v>
      </c>
      <c r="K584" s="2" t="s">
        <v>1405</v>
      </c>
    </row>
    <row r="585" spans="1:11" hidden="1" x14ac:dyDescent="0.25">
      <c r="A585" s="2" t="s">
        <v>55</v>
      </c>
      <c r="B585" s="2" t="str">
        <f>_xlfn.XLOOKUP(Tabla1[[#This Row],[SOCIEDAD]],centros!D:D,centros!E:E)</f>
        <v>VD00</v>
      </c>
      <c r="C585" s="2" t="s">
        <v>112</v>
      </c>
      <c r="D585" s="2" t="s">
        <v>15</v>
      </c>
      <c r="E585" s="2" t="str">
        <f>IFERROR(INDEX(centros!$H$2:$H$45,MATCH(TRIM(Tabla1[[#This Row],[SOCIEDAD]])&amp;"|"&amp;TRIM(Tabla1[[#This Row],[LOCALIDAD]]),centros!$G$2:$G$45,0)),"REVISAR")</f>
        <v>VD02</v>
      </c>
      <c r="F585" s="2" t="s">
        <v>54</v>
      </c>
      <c r="G585" s="2" t="str">
        <f>_xlfn.XLOOKUP(Tabla1[[#This Row],[MARCA]],MARCAS!E:E,MARCAS!F:F)</f>
        <v>150</v>
      </c>
      <c r="H585" s="2" t="str">
        <f>_xlfn.XLOOKUP(Tabla1[[#This Row],[MARCA]],MARCAS!C:C,MARCAS!A:A)</f>
        <v>F0016</v>
      </c>
      <c r="I585" s="38" t="s">
        <v>1781</v>
      </c>
      <c r="J585" s="37" t="s">
        <v>1581</v>
      </c>
      <c r="K585" s="2" t="s">
        <v>1582</v>
      </c>
    </row>
    <row r="586" spans="1:11" hidden="1" x14ac:dyDescent="0.25">
      <c r="A586" s="2" t="s">
        <v>55</v>
      </c>
      <c r="B586" s="2" t="str">
        <f>_xlfn.XLOOKUP(Tabla1[[#This Row],[SOCIEDAD]],centros!D:D,centros!E:E)</f>
        <v>VD00</v>
      </c>
      <c r="C586" s="2" t="s">
        <v>112</v>
      </c>
      <c r="D586" s="2" t="s">
        <v>11</v>
      </c>
      <c r="E586" s="2" t="str">
        <f>IFERROR(INDEX(centros!$H$2:$H$45,MATCH(TRIM(Tabla1[[#This Row],[SOCIEDAD]])&amp;"|"&amp;TRIM(Tabla1[[#This Row],[LOCALIDAD]]),centros!$G$2:$G$45,0)),"REVISAR")</f>
        <v>VD00</v>
      </c>
      <c r="F586" s="2" t="s">
        <v>54</v>
      </c>
      <c r="G586" s="2" t="str">
        <f>_xlfn.XLOOKUP(Tabla1[[#This Row],[MARCA]],MARCAS!E:E,MARCAS!F:F)</f>
        <v>150</v>
      </c>
      <c r="H586" s="2" t="str">
        <f>_xlfn.XLOOKUP(Tabla1[[#This Row],[MARCA]],MARCAS!C:C,MARCAS!A:A)</f>
        <v>F0016</v>
      </c>
      <c r="I586" s="38" t="s">
        <v>1782</v>
      </c>
      <c r="J586" s="37" t="s">
        <v>1584</v>
      </c>
      <c r="K586" s="2" t="s">
        <v>1585</v>
      </c>
    </row>
    <row r="587" spans="1:11" hidden="1" x14ac:dyDescent="0.25">
      <c r="A587" s="2" t="s">
        <v>55</v>
      </c>
      <c r="B587" s="2" t="str">
        <f>_xlfn.XLOOKUP(Tabla1[[#This Row],[SOCIEDAD]],centros!D:D,centros!E:E)</f>
        <v>VD00</v>
      </c>
      <c r="C587" s="2" t="s">
        <v>112</v>
      </c>
      <c r="D587" s="2" t="s">
        <v>17</v>
      </c>
      <c r="E587" s="2" t="str">
        <f>IFERROR(INDEX(centros!$H$2:$H$45,MATCH(TRIM(Tabla1[[#This Row],[SOCIEDAD]])&amp;"|"&amp;TRIM(Tabla1[[#This Row],[LOCALIDAD]]),centros!$G$2:$G$45,0)),"REVISAR")</f>
        <v>VD04</v>
      </c>
      <c r="F587" s="2" t="s">
        <v>54</v>
      </c>
      <c r="G587" s="2" t="str">
        <f>_xlfn.XLOOKUP(Tabla1[[#This Row],[MARCA]],MARCAS!E:E,MARCAS!F:F)</f>
        <v>150</v>
      </c>
      <c r="H587" s="2" t="str">
        <f>_xlfn.XLOOKUP(Tabla1[[#This Row],[MARCA]],MARCAS!C:C,MARCAS!A:A)</f>
        <v>F0016</v>
      </c>
      <c r="I587" s="38" t="s">
        <v>1783</v>
      </c>
      <c r="J587" s="37" t="s">
        <v>1587</v>
      </c>
      <c r="K587" s="2" t="s">
        <v>1588</v>
      </c>
    </row>
    <row r="588" spans="1:11" hidden="1" x14ac:dyDescent="0.25">
      <c r="A588" s="2" t="s">
        <v>55</v>
      </c>
      <c r="B588" s="2" t="str">
        <f>_xlfn.XLOOKUP(Tabla1[[#This Row],[SOCIEDAD]],centros!D:D,centros!E:E)</f>
        <v>VD00</v>
      </c>
      <c r="C588" s="2" t="s">
        <v>112</v>
      </c>
      <c r="D588" s="2" t="s">
        <v>19</v>
      </c>
      <c r="E588" s="2" t="str">
        <f>IFERROR(INDEX(centros!$H$2:$H$45,MATCH(TRIM(Tabla1[[#This Row],[SOCIEDAD]])&amp;"|"&amp;TRIM(Tabla1[[#This Row],[LOCALIDAD]]),centros!$G$2:$G$45,0)),"REVISAR")</f>
        <v>VD05</v>
      </c>
      <c r="F588" s="2" t="s">
        <v>54</v>
      </c>
      <c r="G588" s="2" t="str">
        <f>_xlfn.XLOOKUP(Tabla1[[#This Row],[MARCA]],MARCAS!E:E,MARCAS!F:F)</f>
        <v>150</v>
      </c>
      <c r="H588" s="2" t="str">
        <f>_xlfn.XLOOKUP(Tabla1[[#This Row],[MARCA]],MARCAS!C:C,MARCAS!A:A)</f>
        <v>F0016</v>
      </c>
      <c r="I588" s="38" t="s">
        <v>1784</v>
      </c>
      <c r="J588" s="37" t="s">
        <v>1590</v>
      </c>
      <c r="K588" s="2" t="s">
        <v>1591</v>
      </c>
    </row>
    <row r="589" spans="1:11" hidden="1" x14ac:dyDescent="0.25">
      <c r="A589" s="2" t="s">
        <v>55</v>
      </c>
      <c r="B589" s="2" t="str">
        <f>_xlfn.XLOOKUP(Tabla1[[#This Row],[SOCIEDAD]],centros!D:D,centros!E:E)</f>
        <v>VD00</v>
      </c>
      <c r="C589" s="2" t="s">
        <v>112</v>
      </c>
      <c r="D589" s="2" t="s">
        <v>13</v>
      </c>
      <c r="E589" s="2" t="str">
        <f>IFERROR(INDEX(centros!$H$2:$H$45,MATCH(TRIM(Tabla1[[#This Row],[SOCIEDAD]])&amp;"|"&amp;TRIM(Tabla1[[#This Row],[LOCALIDAD]]),centros!$G$2:$G$45,0)),"REVISAR")</f>
        <v>VD01</v>
      </c>
      <c r="F589" s="2" t="s">
        <v>54</v>
      </c>
      <c r="G589" s="2" t="str">
        <f>_xlfn.XLOOKUP(Tabla1[[#This Row],[MARCA]],MARCAS!E:E,MARCAS!F:F)</f>
        <v>150</v>
      </c>
      <c r="H589" s="2" t="str">
        <f>_xlfn.XLOOKUP(Tabla1[[#This Row],[MARCA]],MARCAS!C:C,MARCAS!A:A)</f>
        <v>F0016</v>
      </c>
      <c r="I589" s="38" t="s">
        <v>1785</v>
      </c>
      <c r="J589" s="37" t="s">
        <v>1593</v>
      </c>
      <c r="K589" s="2" t="s">
        <v>1594</v>
      </c>
    </row>
    <row r="590" spans="1:11" hidden="1" x14ac:dyDescent="0.25">
      <c r="A590" s="2" t="s">
        <v>55</v>
      </c>
      <c r="B590" s="2" t="str">
        <f>_xlfn.XLOOKUP(Tabla1[[#This Row],[SOCIEDAD]],centros!D:D,centros!E:E)</f>
        <v>VD00</v>
      </c>
      <c r="C590" s="2" t="s">
        <v>112</v>
      </c>
      <c r="D590" s="2" t="s">
        <v>23</v>
      </c>
      <c r="E590" s="2" t="str">
        <f>IFERROR(INDEX(centros!$H$2:$H$45,MATCH(TRIM(Tabla1[[#This Row],[SOCIEDAD]])&amp;"|"&amp;TRIM(Tabla1[[#This Row],[LOCALIDAD]]),centros!$G$2:$G$45,0)),"REVISAR")</f>
        <v>VD06</v>
      </c>
      <c r="F590" s="2" t="s">
        <v>54</v>
      </c>
      <c r="G590" s="2" t="str">
        <f>_xlfn.XLOOKUP(Tabla1[[#This Row],[MARCA]],MARCAS!E:E,MARCAS!F:F)</f>
        <v>150</v>
      </c>
      <c r="H590" s="2" t="str">
        <f>_xlfn.XLOOKUP(Tabla1[[#This Row],[MARCA]],MARCAS!C:C,MARCAS!A:A)</f>
        <v>F0016</v>
      </c>
      <c r="I590" s="38" t="s">
        <v>1786</v>
      </c>
      <c r="J590" s="37" t="s">
        <v>1787</v>
      </c>
      <c r="K590" s="2" t="s">
        <v>1597</v>
      </c>
    </row>
    <row r="591" spans="1:11" hidden="1" x14ac:dyDescent="0.25">
      <c r="A591" s="2" t="s">
        <v>55</v>
      </c>
      <c r="B591" s="2" t="str">
        <f>_xlfn.XLOOKUP(Tabla1[[#This Row],[SOCIEDAD]],centros!D:D,centros!E:E)</f>
        <v>VD00</v>
      </c>
      <c r="C591" s="2" t="s">
        <v>112</v>
      </c>
      <c r="D591" s="2" t="s">
        <v>32</v>
      </c>
      <c r="E591" s="2" t="str">
        <f>IFERROR(INDEX(centros!$H$2:$H$45,MATCH(TRIM(Tabla1[[#This Row],[SOCIEDAD]])&amp;"|"&amp;TRIM(Tabla1[[#This Row],[LOCALIDAD]]),centros!$G$2:$G$45,0)),"REVISAR")</f>
        <v>VD03</v>
      </c>
      <c r="F591" s="2" t="s">
        <v>54</v>
      </c>
      <c r="G591" s="2" t="str">
        <f>_xlfn.XLOOKUP(Tabla1[[#This Row],[MARCA]],MARCAS!E:E,MARCAS!F:F)</f>
        <v>150</v>
      </c>
      <c r="H591" s="2" t="str">
        <f>_xlfn.XLOOKUP(Tabla1[[#This Row],[MARCA]],MARCAS!C:C,MARCAS!A:A)</f>
        <v>F0016</v>
      </c>
      <c r="I591" s="38" t="s">
        <v>1788</v>
      </c>
      <c r="J591" s="37" t="s">
        <v>1599</v>
      </c>
      <c r="K591" s="2" t="s">
        <v>1600</v>
      </c>
    </row>
    <row r="592" spans="1:11" hidden="1" x14ac:dyDescent="0.25">
      <c r="A592" s="2" t="s">
        <v>55</v>
      </c>
      <c r="B592" s="2" t="str">
        <f>_xlfn.XLOOKUP(Tabla1[[#This Row],[SOCIEDAD]],centros!D:D,centros!E:E)</f>
        <v>VD00</v>
      </c>
      <c r="C592" s="2" t="s">
        <v>112</v>
      </c>
      <c r="D592" s="2" t="s">
        <v>33</v>
      </c>
      <c r="E592" s="2" t="str">
        <f>IFERROR(INDEX(centros!$H$2:$H$45,MATCH(TRIM(Tabla1[[#This Row],[SOCIEDAD]])&amp;"|"&amp;TRIM(Tabla1[[#This Row],[LOCALIDAD]]),centros!$G$2:$G$45,0)),"REVISAR")</f>
        <v>VD07</v>
      </c>
      <c r="F592" s="2" t="s">
        <v>54</v>
      </c>
      <c r="G592" s="2" t="str">
        <f>_xlfn.XLOOKUP(Tabla1[[#This Row],[MARCA]],MARCAS!E:E,MARCAS!F:F)</f>
        <v>150</v>
      </c>
      <c r="H592" s="2" t="str">
        <f>_xlfn.XLOOKUP(Tabla1[[#This Row],[MARCA]],MARCAS!C:C,MARCAS!A:A)</f>
        <v>F0016</v>
      </c>
      <c r="I592" s="38" t="s">
        <v>1789</v>
      </c>
      <c r="J592" s="37" t="s">
        <v>1602</v>
      </c>
      <c r="K592" s="2" t="s">
        <v>1603</v>
      </c>
    </row>
    <row r="593" spans="1:11" hidden="1" x14ac:dyDescent="0.25">
      <c r="A593" s="2" t="s">
        <v>55</v>
      </c>
      <c r="B593" s="2" t="str">
        <f>_xlfn.XLOOKUP(Tabla1[[#This Row],[SOCIEDAD]],centros!D:D,centros!E:E)</f>
        <v>VD00</v>
      </c>
      <c r="C593" s="2" t="s">
        <v>219</v>
      </c>
      <c r="D593" s="2" t="s">
        <v>15</v>
      </c>
      <c r="E593" s="2" t="str">
        <f>IFERROR(INDEX(centros!$H$2:$H$45,MATCH(TRIM(Tabla1[[#This Row],[SOCIEDAD]])&amp;"|"&amp;TRIM(Tabla1[[#This Row],[LOCALIDAD]]),centros!$G$2:$G$45,0)),"REVISAR")</f>
        <v>VD02</v>
      </c>
      <c r="F593" s="2" t="s">
        <v>54</v>
      </c>
      <c r="G593" s="2" t="str">
        <f>_xlfn.XLOOKUP(Tabla1[[#This Row],[MARCA]],MARCAS!E:E,MARCAS!F:F)</f>
        <v>150</v>
      </c>
      <c r="H593" s="2" t="str">
        <f>_xlfn.XLOOKUP(Tabla1[[#This Row],[MARCA]],MARCAS!C:C,MARCAS!A:A)</f>
        <v>F0016</v>
      </c>
      <c r="I593" s="38" t="s">
        <v>1790</v>
      </c>
      <c r="J593" s="37" t="s">
        <v>1677</v>
      </c>
      <c r="K593" s="2" t="s">
        <v>1678</v>
      </c>
    </row>
    <row r="594" spans="1:11" hidden="1" x14ac:dyDescent="0.25">
      <c r="A594" s="2" t="s">
        <v>55</v>
      </c>
      <c r="B594" s="2" t="str">
        <f>_xlfn.XLOOKUP(Tabla1[[#This Row],[SOCIEDAD]],centros!D:D,centros!E:E)</f>
        <v>VD00</v>
      </c>
      <c r="C594" s="2" t="s">
        <v>219</v>
      </c>
      <c r="D594" s="2" t="s">
        <v>11</v>
      </c>
      <c r="E594" s="2" t="str">
        <f>IFERROR(INDEX(centros!$H$2:$H$45,MATCH(TRIM(Tabla1[[#This Row],[SOCIEDAD]])&amp;"|"&amp;TRIM(Tabla1[[#This Row],[LOCALIDAD]]),centros!$G$2:$G$45,0)),"REVISAR")</f>
        <v>VD00</v>
      </c>
      <c r="F594" s="2" t="s">
        <v>54</v>
      </c>
      <c r="G594" s="2" t="str">
        <f>_xlfn.XLOOKUP(Tabla1[[#This Row],[MARCA]],MARCAS!E:E,MARCAS!F:F)</f>
        <v>150</v>
      </c>
      <c r="H594" s="2" t="str">
        <f>_xlfn.XLOOKUP(Tabla1[[#This Row],[MARCA]],MARCAS!C:C,MARCAS!A:A)</f>
        <v>F0016</v>
      </c>
      <c r="I594" s="38" t="s">
        <v>1791</v>
      </c>
      <c r="J594" s="37" t="s">
        <v>1680</v>
      </c>
      <c r="K594" s="2" t="s">
        <v>1681</v>
      </c>
    </row>
    <row r="595" spans="1:11" hidden="1" x14ac:dyDescent="0.25">
      <c r="A595" s="2" t="s">
        <v>55</v>
      </c>
      <c r="B595" s="2" t="str">
        <f>_xlfn.XLOOKUP(Tabla1[[#This Row],[SOCIEDAD]],centros!D:D,centros!E:E)</f>
        <v>VD00</v>
      </c>
      <c r="C595" s="2" t="s">
        <v>219</v>
      </c>
      <c r="D595" s="2" t="s">
        <v>17</v>
      </c>
      <c r="E595" s="2" t="str">
        <f>IFERROR(INDEX(centros!$H$2:$H$45,MATCH(TRIM(Tabla1[[#This Row],[SOCIEDAD]])&amp;"|"&amp;TRIM(Tabla1[[#This Row],[LOCALIDAD]]),centros!$G$2:$G$45,0)),"REVISAR")</f>
        <v>VD04</v>
      </c>
      <c r="F595" s="2" t="s">
        <v>54</v>
      </c>
      <c r="G595" s="2" t="str">
        <f>_xlfn.XLOOKUP(Tabla1[[#This Row],[MARCA]],MARCAS!E:E,MARCAS!F:F)</f>
        <v>150</v>
      </c>
      <c r="H595" s="2" t="str">
        <f>_xlfn.XLOOKUP(Tabla1[[#This Row],[MARCA]],MARCAS!C:C,MARCAS!A:A)</f>
        <v>F0016</v>
      </c>
      <c r="I595" s="38" t="s">
        <v>1792</v>
      </c>
      <c r="J595" s="37" t="s">
        <v>1683</v>
      </c>
      <c r="K595" s="2" t="s">
        <v>1684</v>
      </c>
    </row>
    <row r="596" spans="1:11" hidden="1" x14ac:dyDescent="0.25">
      <c r="A596" s="2" t="s">
        <v>55</v>
      </c>
      <c r="B596" s="2" t="str">
        <f>_xlfn.XLOOKUP(Tabla1[[#This Row],[SOCIEDAD]],centros!D:D,centros!E:E)</f>
        <v>VD00</v>
      </c>
      <c r="C596" s="2" t="s">
        <v>219</v>
      </c>
      <c r="D596" s="2" t="s">
        <v>19</v>
      </c>
      <c r="E596" s="2" t="str">
        <f>IFERROR(INDEX(centros!$H$2:$H$45,MATCH(TRIM(Tabla1[[#This Row],[SOCIEDAD]])&amp;"|"&amp;TRIM(Tabla1[[#This Row],[LOCALIDAD]]),centros!$G$2:$G$45,0)),"REVISAR")</f>
        <v>VD05</v>
      </c>
      <c r="F596" s="2" t="s">
        <v>54</v>
      </c>
      <c r="G596" s="2" t="str">
        <f>_xlfn.XLOOKUP(Tabla1[[#This Row],[MARCA]],MARCAS!E:E,MARCAS!F:F)</f>
        <v>150</v>
      </c>
      <c r="H596" s="2" t="str">
        <f>_xlfn.XLOOKUP(Tabla1[[#This Row],[MARCA]],MARCAS!C:C,MARCAS!A:A)</f>
        <v>F0016</v>
      </c>
      <c r="I596" s="38" t="s">
        <v>1793</v>
      </c>
      <c r="J596" s="37" t="s">
        <v>1686</v>
      </c>
      <c r="K596" s="2" t="s">
        <v>1687</v>
      </c>
    </row>
    <row r="597" spans="1:11" hidden="1" x14ac:dyDescent="0.25">
      <c r="A597" s="2" t="s">
        <v>55</v>
      </c>
      <c r="B597" s="2" t="str">
        <f>_xlfn.XLOOKUP(Tabla1[[#This Row],[SOCIEDAD]],centros!D:D,centros!E:E)</f>
        <v>VD00</v>
      </c>
      <c r="C597" s="2" t="s">
        <v>219</v>
      </c>
      <c r="D597" s="2" t="s">
        <v>13</v>
      </c>
      <c r="E597" s="2" t="str">
        <f>IFERROR(INDEX(centros!$H$2:$H$45,MATCH(TRIM(Tabla1[[#This Row],[SOCIEDAD]])&amp;"|"&amp;TRIM(Tabla1[[#This Row],[LOCALIDAD]]),centros!$G$2:$G$45,0)),"REVISAR")</f>
        <v>VD01</v>
      </c>
      <c r="F597" s="2" t="s">
        <v>54</v>
      </c>
      <c r="G597" s="2" t="str">
        <f>_xlfn.XLOOKUP(Tabla1[[#This Row],[MARCA]],MARCAS!E:E,MARCAS!F:F)</f>
        <v>150</v>
      </c>
      <c r="H597" s="2" t="str">
        <f>_xlfn.XLOOKUP(Tabla1[[#This Row],[MARCA]],MARCAS!C:C,MARCAS!A:A)</f>
        <v>F0016</v>
      </c>
      <c r="I597" s="38" t="s">
        <v>1794</v>
      </c>
      <c r="J597" s="37" t="s">
        <v>1689</v>
      </c>
      <c r="K597" s="2" t="s">
        <v>1690</v>
      </c>
    </row>
    <row r="598" spans="1:11" hidden="1" x14ac:dyDescent="0.25">
      <c r="A598" s="2" t="s">
        <v>55</v>
      </c>
      <c r="B598" s="2" t="str">
        <f>_xlfn.XLOOKUP(Tabla1[[#This Row],[SOCIEDAD]],centros!D:D,centros!E:E)</f>
        <v>VD00</v>
      </c>
      <c r="C598" s="2" t="s">
        <v>219</v>
      </c>
      <c r="D598" s="2" t="s">
        <v>23</v>
      </c>
      <c r="E598" s="2" t="str">
        <f>IFERROR(INDEX(centros!$H$2:$H$45,MATCH(TRIM(Tabla1[[#This Row],[SOCIEDAD]])&amp;"|"&amp;TRIM(Tabla1[[#This Row],[LOCALIDAD]]),centros!$G$2:$G$45,0)),"REVISAR")</f>
        <v>VD06</v>
      </c>
      <c r="F598" s="2" t="s">
        <v>54</v>
      </c>
      <c r="G598" s="2" t="str">
        <f>_xlfn.XLOOKUP(Tabla1[[#This Row],[MARCA]],MARCAS!E:E,MARCAS!F:F)</f>
        <v>150</v>
      </c>
      <c r="H598" s="2" t="str">
        <f>_xlfn.XLOOKUP(Tabla1[[#This Row],[MARCA]],MARCAS!C:C,MARCAS!A:A)</f>
        <v>F0016</v>
      </c>
      <c r="I598" s="38" t="s">
        <v>1795</v>
      </c>
      <c r="J598" s="37" t="s">
        <v>1692</v>
      </c>
      <c r="K598" s="2" t="s">
        <v>1693</v>
      </c>
    </row>
    <row r="599" spans="1:11" hidden="1" x14ac:dyDescent="0.25">
      <c r="A599" s="2" t="s">
        <v>55</v>
      </c>
      <c r="B599" s="2" t="str">
        <f>_xlfn.XLOOKUP(Tabla1[[#This Row],[SOCIEDAD]],centros!D:D,centros!E:E)</f>
        <v>VD00</v>
      </c>
      <c r="C599" s="2" t="s">
        <v>219</v>
      </c>
      <c r="D599" s="2" t="s">
        <v>32</v>
      </c>
      <c r="E599" s="2" t="str">
        <f>IFERROR(INDEX(centros!$H$2:$H$45,MATCH(TRIM(Tabla1[[#This Row],[SOCIEDAD]])&amp;"|"&amp;TRIM(Tabla1[[#This Row],[LOCALIDAD]]),centros!$G$2:$G$45,0)),"REVISAR")</f>
        <v>VD03</v>
      </c>
      <c r="F599" s="2" t="s">
        <v>54</v>
      </c>
      <c r="G599" s="2" t="str">
        <f>_xlfn.XLOOKUP(Tabla1[[#This Row],[MARCA]],MARCAS!E:E,MARCAS!F:F)</f>
        <v>150</v>
      </c>
      <c r="H599" s="2" t="str">
        <f>_xlfn.XLOOKUP(Tabla1[[#This Row],[MARCA]],MARCAS!C:C,MARCAS!A:A)</f>
        <v>F0016</v>
      </c>
      <c r="I599" s="38" t="s">
        <v>1796</v>
      </c>
      <c r="J599" s="37" t="s">
        <v>1695</v>
      </c>
      <c r="K599" s="2" t="s">
        <v>1696</v>
      </c>
    </row>
    <row r="600" spans="1:11" hidden="1" x14ac:dyDescent="0.25">
      <c r="A600" s="2" t="s">
        <v>55</v>
      </c>
      <c r="B600" s="2" t="str">
        <f>_xlfn.XLOOKUP(Tabla1[[#This Row],[SOCIEDAD]],centros!D:D,centros!E:E)</f>
        <v>VD00</v>
      </c>
      <c r="C600" s="2" t="s">
        <v>219</v>
      </c>
      <c r="D600" s="2" t="s">
        <v>33</v>
      </c>
      <c r="E600" s="2" t="str">
        <f>IFERROR(INDEX(centros!$H$2:$H$45,MATCH(TRIM(Tabla1[[#This Row],[SOCIEDAD]])&amp;"|"&amp;TRIM(Tabla1[[#This Row],[LOCALIDAD]]),centros!$G$2:$G$45,0)),"REVISAR")</f>
        <v>VD07</v>
      </c>
      <c r="F600" s="2" t="s">
        <v>54</v>
      </c>
      <c r="G600" s="2" t="str">
        <f>_xlfn.XLOOKUP(Tabla1[[#This Row],[MARCA]],MARCAS!E:E,MARCAS!F:F)</f>
        <v>150</v>
      </c>
      <c r="H600" s="2" t="str">
        <f>_xlfn.XLOOKUP(Tabla1[[#This Row],[MARCA]],MARCAS!C:C,MARCAS!A:A)</f>
        <v>F0016</v>
      </c>
      <c r="I600" s="38" t="s">
        <v>1797</v>
      </c>
      <c r="J600" s="37" t="s">
        <v>1698</v>
      </c>
      <c r="K600" s="2" t="s">
        <v>1699</v>
      </c>
    </row>
    <row r="601" spans="1:11" hidden="1" x14ac:dyDescent="0.25">
      <c r="A601" s="2" t="s">
        <v>30</v>
      </c>
      <c r="B601" s="2" t="str">
        <f>_xlfn.XLOOKUP(Tabla1[[#This Row],[SOCIEDAD]],centros!D:D,centros!E:E)</f>
        <v>VE00</v>
      </c>
      <c r="C601" s="2" t="s">
        <v>263</v>
      </c>
      <c r="D601" s="2" t="s">
        <v>15</v>
      </c>
      <c r="E601" s="2" t="str">
        <f>IFERROR(INDEX(centros!$H$2:$H$45,MATCH(TRIM(Tabla1[[#This Row],[SOCIEDAD]])&amp;"|"&amp;TRIM(Tabla1[[#This Row],[LOCALIDAD]]),centros!$G$2:$G$45,0)),"REVISAR")</f>
        <v>VE01</v>
      </c>
      <c r="F601" s="2" t="s">
        <v>29</v>
      </c>
      <c r="G601" s="2" t="str">
        <f>_xlfn.XLOOKUP(Tabla1[[#This Row],[MARCA]],MARCAS!E:E,MARCAS!F:F)</f>
        <v>180</v>
      </c>
      <c r="H601" s="2" t="str">
        <f>_xlfn.XLOOKUP(Tabla1[[#This Row],[MARCA]],MARCAS!C:C,MARCAS!A:A)</f>
        <v>F0010</v>
      </c>
      <c r="I601" s="38" t="s">
        <v>1798</v>
      </c>
      <c r="J601" s="37" t="s">
        <v>1215</v>
      </c>
      <c r="K601" s="2" t="s">
        <v>1216</v>
      </c>
    </row>
    <row r="602" spans="1:11" hidden="1" x14ac:dyDescent="0.25">
      <c r="A602" s="2" t="s">
        <v>30</v>
      </c>
      <c r="B602" s="2" t="str">
        <f>_xlfn.XLOOKUP(Tabla1[[#This Row],[SOCIEDAD]],centros!D:D,centros!E:E)</f>
        <v>VE00</v>
      </c>
      <c r="C602" s="2" t="s">
        <v>671</v>
      </c>
      <c r="D602" s="2" t="s">
        <v>15</v>
      </c>
      <c r="E602" s="2" t="str">
        <f>IFERROR(INDEX(centros!$H$2:$H$45,MATCH(TRIM(Tabla1[[#This Row],[SOCIEDAD]])&amp;"|"&amp;TRIM(Tabla1[[#This Row],[LOCALIDAD]]),centros!$G$2:$G$45,0)),"REVISAR")</f>
        <v>VE01</v>
      </c>
      <c r="F602" s="2" t="s">
        <v>29</v>
      </c>
      <c r="G602" s="2" t="str">
        <f>_xlfn.XLOOKUP(Tabla1[[#This Row],[MARCA]],MARCAS!E:E,MARCAS!F:F)</f>
        <v>180</v>
      </c>
      <c r="H602" s="2" t="str">
        <f>_xlfn.XLOOKUP(Tabla1[[#This Row],[MARCA]],MARCAS!C:C,MARCAS!A:A)</f>
        <v>F0010</v>
      </c>
      <c r="I602" s="38" t="s">
        <v>1799</v>
      </c>
      <c r="J602" s="37" t="s">
        <v>1218</v>
      </c>
      <c r="K602" s="2" t="s">
        <v>1219</v>
      </c>
    </row>
    <row r="603" spans="1:11" hidden="1" x14ac:dyDescent="0.25">
      <c r="A603" s="2" t="s">
        <v>30</v>
      </c>
      <c r="B603" s="2" t="str">
        <f>_xlfn.XLOOKUP(Tabla1[[#This Row],[SOCIEDAD]],centros!D:D,centros!E:E)</f>
        <v>VE00</v>
      </c>
      <c r="C603" s="2" t="s">
        <v>930</v>
      </c>
      <c r="D603" s="2" t="s">
        <v>15</v>
      </c>
      <c r="E603" s="2" t="str">
        <f>IFERROR(INDEX(centros!$H$2:$H$45,MATCH(TRIM(Tabla1[[#This Row],[SOCIEDAD]])&amp;"|"&amp;TRIM(Tabla1[[#This Row],[LOCALIDAD]]),centros!$G$2:$G$45,0)),"REVISAR")</f>
        <v>VE01</v>
      </c>
      <c r="F603" s="2" t="s">
        <v>29</v>
      </c>
      <c r="G603" s="2" t="str">
        <f>_xlfn.XLOOKUP(Tabla1[[#This Row],[MARCA]],MARCAS!E:E,MARCAS!F:F)</f>
        <v>180</v>
      </c>
      <c r="H603" s="2" t="str">
        <f>_xlfn.XLOOKUP(Tabla1[[#This Row],[MARCA]],MARCAS!C:C,MARCAS!A:A)</f>
        <v>F0010</v>
      </c>
      <c r="I603" s="38" t="s">
        <v>1800</v>
      </c>
      <c r="J603" s="37" t="s">
        <v>1221</v>
      </c>
      <c r="K603" s="2" t="s">
        <v>1222</v>
      </c>
    </row>
    <row r="604" spans="1:11" hidden="1" x14ac:dyDescent="0.25">
      <c r="A604" s="2" t="s">
        <v>30</v>
      </c>
      <c r="B604" s="2" t="str">
        <f>_xlfn.XLOOKUP(Tabla1[[#This Row],[SOCIEDAD]],centros!D:D,centros!E:E)</f>
        <v>VE00</v>
      </c>
      <c r="C604" s="2" t="s">
        <v>300</v>
      </c>
      <c r="D604" s="2" t="s">
        <v>15</v>
      </c>
      <c r="E604" s="2" t="str">
        <f>IFERROR(INDEX(centros!$H$2:$H$45,MATCH(TRIM(Tabla1[[#This Row],[SOCIEDAD]])&amp;"|"&amp;TRIM(Tabla1[[#This Row],[LOCALIDAD]]),centros!$G$2:$G$45,0)),"REVISAR")</f>
        <v>VE01</v>
      </c>
      <c r="F604" s="2" t="s">
        <v>29</v>
      </c>
      <c r="G604" s="2" t="str">
        <f>_xlfn.XLOOKUP(Tabla1[[#This Row],[MARCA]],MARCAS!E:E,MARCAS!F:F)</f>
        <v>180</v>
      </c>
      <c r="H604" s="2" t="str">
        <f>_xlfn.XLOOKUP(Tabla1[[#This Row],[MARCA]],MARCAS!C:C,MARCAS!A:A)</f>
        <v>F0010</v>
      </c>
      <c r="I604" s="38" t="s">
        <v>1801</v>
      </c>
      <c r="J604" s="37" t="s">
        <v>1224</v>
      </c>
      <c r="K604" s="2" t="s">
        <v>1225</v>
      </c>
    </row>
    <row r="605" spans="1:11" hidden="1" x14ac:dyDescent="0.25">
      <c r="A605" s="2" t="s">
        <v>30</v>
      </c>
      <c r="B605" s="2" t="str">
        <f>_xlfn.XLOOKUP(Tabla1[[#This Row],[SOCIEDAD]],centros!D:D,centros!E:E)</f>
        <v>VE00</v>
      </c>
      <c r="C605" s="2" t="s">
        <v>263</v>
      </c>
      <c r="D605" s="2" t="s">
        <v>11</v>
      </c>
      <c r="E605" s="2" t="str">
        <f>IFERROR(INDEX(centros!$H$2:$H$45,MATCH(TRIM(Tabla1[[#This Row],[SOCIEDAD]])&amp;"|"&amp;TRIM(Tabla1[[#This Row],[LOCALIDAD]]),centros!$G$2:$G$45,0)),"REVISAR")</f>
        <v>VE00</v>
      </c>
      <c r="F605" s="2" t="s">
        <v>29</v>
      </c>
      <c r="G605" s="2" t="str">
        <f>_xlfn.XLOOKUP(Tabla1[[#This Row],[MARCA]],MARCAS!E:E,MARCAS!F:F)</f>
        <v>180</v>
      </c>
      <c r="H605" s="2" t="str">
        <f>_xlfn.XLOOKUP(Tabla1[[#This Row],[MARCA]],MARCAS!C:C,MARCAS!A:A)</f>
        <v>F0010</v>
      </c>
      <c r="I605" s="38" t="s">
        <v>1802</v>
      </c>
      <c r="J605" s="37" t="s">
        <v>1227</v>
      </c>
      <c r="K605" s="2" t="s">
        <v>1228</v>
      </c>
    </row>
    <row r="606" spans="1:11" hidden="1" x14ac:dyDescent="0.25">
      <c r="A606" s="2" t="s">
        <v>30</v>
      </c>
      <c r="B606" s="2" t="str">
        <f>_xlfn.XLOOKUP(Tabla1[[#This Row],[SOCIEDAD]],centros!D:D,centros!E:E)</f>
        <v>VE00</v>
      </c>
      <c r="C606" s="2" t="s">
        <v>671</v>
      </c>
      <c r="D606" s="2" t="s">
        <v>11</v>
      </c>
      <c r="E606" s="2" t="str">
        <f>IFERROR(INDEX(centros!$H$2:$H$45,MATCH(TRIM(Tabla1[[#This Row],[SOCIEDAD]])&amp;"|"&amp;TRIM(Tabla1[[#This Row],[LOCALIDAD]]),centros!$G$2:$G$45,0)),"REVISAR")</f>
        <v>VE00</v>
      </c>
      <c r="F606" s="2" t="s">
        <v>29</v>
      </c>
      <c r="G606" s="2" t="str">
        <f>_xlfn.XLOOKUP(Tabla1[[#This Row],[MARCA]],MARCAS!E:E,MARCAS!F:F)</f>
        <v>180</v>
      </c>
      <c r="H606" s="2" t="str">
        <f>_xlfn.XLOOKUP(Tabla1[[#This Row],[MARCA]],MARCAS!C:C,MARCAS!A:A)</f>
        <v>F0010</v>
      </c>
      <c r="I606" s="38" t="s">
        <v>1803</v>
      </c>
      <c r="J606" s="37" t="s">
        <v>1230</v>
      </c>
      <c r="K606" s="2" t="s">
        <v>1231</v>
      </c>
    </row>
    <row r="607" spans="1:11" hidden="1" x14ac:dyDescent="0.25">
      <c r="A607" s="2" t="s">
        <v>30</v>
      </c>
      <c r="B607" s="2" t="str">
        <f>_xlfn.XLOOKUP(Tabla1[[#This Row],[SOCIEDAD]],centros!D:D,centros!E:E)</f>
        <v>VE00</v>
      </c>
      <c r="C607" s="2" t="s">
        <v>930</v>
      </c>
      <c r="D607" s="2" t="s">
        <v>11</v>
      </c>
      <c r="E607" s="2" t="str">
        <f>IFERROR(INDEX(centros!$H$2:$H$45,MATCH(TRIM(Tabla1[[#This Row],[SOCIEDAD]])&amp;"|"&amp;TRIM(Tabla1[[#This Row],[LOCALIDAD]]),centros!$G$2:$G$45,0)),"REVISAR")</f>
        <v>VE00</v>
      </c>
      <c r="F607" s="2" t="s">
        <v>29</v>
      </c>
      <c r="G607" s="2" t="str">
        <f>_xlfn.XLOOKUP(Tabla1[[#This Row],[MARCA]],MARCAS!E:E,MARCAS!F:F)</f>
        <v>180</v>
      </c>
      <c r="H607" s="2" t="str">
        <f>_xlfn.XLOOKUP(Tabla1[[#This Row],[MARCA]],MARCAS!C:C,MARCAS!A:A)</f>
        <v>F0010</v>
      </c>
      <c r="I607" s="38" t="s">
        <v>1804</v>
      </c>
      <c r="J607" s="37" t="s">
        <v>1233</v>
      </c>
      <c r="K607" s="2" t="s">
        <v>1234</v>
      </c>
    </row>
    <row r="608" spans="1:11" hidden="1" x14ac:dyDescent="0.25">
      <c r="A608" s="2" t="s">
        <v>30</v>
      </c>
      <c r="B608" s="2" t="str">
        <f>_xlfn.XLOOKUP(Tabla1[[#This Row],[SOCIEDAD]],centros!D:D,centros!E:E)</f>
        <v>VE00</v>
      </c>
      <c r="C608" s="2" t="s">
        <v>300</v>
      </c>
      <c r="D608" s="2" t="s">
        <v>11</v>
      </c>
      <c r="E608" s="2" t="str">
        <f>IFERROR(INDEX(centros!$H$2:$H$45,MATCH(TRIM(Tabla1[[#This Row],[SOCIEDAD]])&amp;"|"&amp;TRIM(Tabla1[[#This Row],[LOCALIDAD]]),centros!$G$2:$G$45,0)),"REVISAR")</f>
        <v>VE00</v>
      </c>
      <c r="F608" s="2" t="s">
        <v>29</v>
      </c>
      <c r="G608" s="2" t="str">
        <f>_xlfn.XLOOKUP(Tabla1[[#This Row],[MARCA]],MARCAS!E:E,MARCAS!F:F)</f>
        <v>180</v>
      </c>
      <c r="H608" s="2" t="str">
        <f>_xlfn.XLOOKUP(Tabla1[[#This Row],[MARCA]],MARCAS!C:C,MARCAS!A:A)</f>
        <v>F0010</v>
      </c>
      <c r="I608" s="38" t="s">
        <v>1805</v>
      </c>
      <c r="J608" s="37" t="s">
        <v>1236</v>
      </c>
      <c r="K608" s="2" t="s">
        <v>1237</v>
      </c>
    </row>
    <row r="609" spans="1:11" hidden="1" x14ac:dyDescent="0.25">
      <c r="A609" s="2" t="s">
        <v>30</v>
      </c>
      <c r="B609" s="2" t="str">
        <f>_xlfn.XLOOKUP(Tabla1[[#This Row],[SOCIEDAD]],centros!D:D,centros!E:E)</f>
        <v>VE00</v>
      </c>
      <c r="C609" s="2" t="s">
        <v>263</v>
      </c>
      <c r="D609" s="2" t="s">
        <v>17</v>
      </c>
      <c r="E609" s="2" t="str">
        <f>IFERROR(INDEX(centros!$H$2:$H$45,MATCH(TRIM(Tabla1[[#This Row],[SOCIEDAD]])&amp;"|"&amp;TRIM(Tabla1[[#This Row],[LOCALIDAD]]),centros!$G$2:$G$45,0)),"REVISAR")</f>
        <v>VE01</v>
      </c>
      <c r="F609" s="2" t="s">
        <v>29</v>
      </c>
      <c r="G609" s="2" t="str">
        <f>_xlfn.XLOOKUP(Tabla1[[#This Row],[MARCA]],MARCAS!E:E,MARCAS!F:F)</f>
        <v>180</v>
      </c>
      <c r="H609" s="2" t="str">
        <f>_xlfn.XLOOKUP(Tabla1[[#This Row],[MARCA]],MARCAS!C:C,MARCAS!A:A)</f>
        <v>F0010</v>
      </c>
      <c r="I609" s="38" t="s">
        <v>1806</v>
      </c>
      <c r="J609" s="37" t="s">
        <v>1239</v>
      </c>
      <c r="K609" s="2" t="s">
        <v>1240</v>
      </c>
    </row>
    <row r="610" spans="1:11" hidden="1" x14ac:dyDescent="0.25">
      <c r="A610" s="2" t="s">
        <v>30</v>
      </c>
      <c r="B610" s="2" t="str">
        <f>_xlfn.XLOOKUP(Tabla1[[#This Row],[SOCIEDAD]],centros!D:D,centros!E:E)</f>
        <v>VE00</v>
      </c>
      <c r="C610" s="2" t="s">
        <v>671</v>
      </c>
      <c r="D610" s="2" t="s">
        <v>17</v>
      </c>
      <c r="E610" s="2" t="str">
        <f>IFERROR(INDEX(centros!$H$2:$H$45,MATCH(TRIM(Tabla1[[#This Row],[SOCIEDAD]])&amp;"|"&amp;TRIM(Tabla1[[#This Row],[LOCALIDAD]]),centros!$G$2:$G$45,0)),"REVISAR")</f>
        <v>VE01</v>
      </c>
      <c r="F610" s="2" t="s">
        <v>29</v>
      </c>
      <c r="G610" s="2" t="str">
        <f>_xlfn.XLOOKUP(Tabla1[[#This Row],[MARCA]],MARCAS!E:E,MARCAS!F:F)</f>
        <v>180</v>
      </c>
      <c r="H610" s="2" t="str">
        <f>_xlfn.XLOOKUP(Tabla1[[#This Row],[MARCA]],MARCAS!C:C,MARCAS!A:A)</f>
        <v>F0010</v>
      </c>
      <c r="I610" s="38" t="s">
        <v>1807</v>
      </c>
      <c r="J610" s="37" t="s">
        <v>1242</v>
      </c>
      <c r="K610" s="2" t="s">
        <v>1243</v>
      </c>
    </row>
    <row r="611" spans="1:11" hidden="1" x14ac:dyDescent="0.25">
      <c r="A611" s="2" t="s">
        <v>30</v>
      </c>
      <c r="B611" s="2" t="str">
        <f>_xlfn.XLOOKUP(Tabla1[[#This Row],[SOCIEDAD]],centros!D:D,centros!E:E)</f>
        <v>VE00</v>
      </c>
      <c r="C611" s="2" t="s">
        <v>930</v>
      </c>
      <c r="D611" s="2" t="s">
        <v>17</v>
      </c>
      <c r="E611" s="2" t="str">
        <f>IFERROR(INDEX(centros!$H$2:$H$45,MATCH(TRIM(Tabla1[[#This Row],[SOCIEDAD]])&amp;"|"&amp;TRIM(Tabla1[[#This Row],[LOCALIDAD]]),centros!$G$2:$G$45,0)),"REVISAR")</f>
        <v>VE01</v>
      </c>
      <c r="F611" s="2" t="s">
        <v>29</v>
      </c>
      <c r="G611" s="2" t="str">
        <f>_xlfn.XLOOKUP(Tabla1[[#This Row],[MARCA]],MARCAS!E:E,MARCAS!F:F)</f>
        <v>180</v>
      </c>
      <c r="H611" s="2" t="str">
        <f>_xlfn.XLOOKUP(Tabla1[[#This Row],[MARCA]],MARCAS!C:C,MARCAS!A:A)</f>
        <v>F0010</v>
      </c>
      <c r="I611" s="38" t="s">
        <v>1808</v>
      </c>
      <c r="J611" s="37" t="s">
        <v>1245</v>
      </c>
      <c r="K611" s="2" t="s">
        <v>1246</v>
      </c>
    </row>
    <row r="612" spans="1:11" hidden="1" x14ac:dyDescent="0.25">
      <c r="A612" s="2" t="s">
        <v>30</v>
      </c>
      <c r="B612" s="2" t="str">
        <f>_xlfn.XLOOKUP(Tabla1[[#This Row],[SOCIEDAD]],centros!D:D,centros!E:E)</f>
        <v>VE00</v>
      </c>
      <c r="C612" s="2" t="s">
        <v>300</v>
      </c>
      <c r="D612" s="2" t="s">
        <v>17</v>
      </c>
      <c r="E612" s="2" t="str">
        <f>IFERROR(INDEX(centros!$H$2:$H$45,MATCH(TRIM(Tabla1[[#This Row],[SOCIEDAD]])&amp;"|"&amp;TRIM(Tabla1[[#This Row],[LOCALIDAD]]),centros!$G$2:$G$45,0)),"REVISAR")</f>
        <v>VE01</v>
      </c>
      <c r="F612" s="2" t="s">
        <v>29</v>
      </c>
      <c r="G612" s="2" t="str">
        <f>_xlfn.XLOOKUP(Tabla1[[#This Row],[MARCA]],MARCAS!E:E,MARCAS!F:F)</f>
        <v>180</v>
      </c>
      <c r="H612" s="2" t="str">
        <f>_xlfn.XLOOKUP(Tabla1[[#This Row],[MARCA]],MARCAS!C:C,MARCAS!A:A)</f>
        <v>F0010</v>
      </c>
      <c r="I612" s="38" t="s">
        <v>1809</v>
      </c>
      <c r="J612" s="37" t="s">
        <v>1248</v>
      </c>
      <c r="K612" s="2" t="s">
        <v>1249</v>
      </c>
    </row>
    <row r="613" spans="1:11" hidden="1" x14ac:dyDescent="0.25">
      <c r="A613" s="2" t="s">
        <v>30</v>
      </c>
      <c r="B613" s="2" t="str">
        <f>_xlfn.XLOOKUP(Tabla1[[#This Row],[SOCIEDAD]],centros!D:D,centros!E:E)</f>
        <v>VE00</v>
      </c>
      <c r="C613" s="2" t="s">
        <v>263</v>
      </c>
      <c r="D613" s="2" t="s">
        <v>19</v>
      </c>
      <c r="E613" s="2" t="str">
        <f>IFERROR(INDEX(centros!$H$2:$H$45,MATCH(TRIM(Tabla1[[#This Row],[SOCIEDAD]])&amp;"|"&amp;TRIM(Tabla1[[#This Row],[LOCALIDAD]]),centros!$G$2:$G$45,0)),"REVISAR")</f>
        <v>VE01</v>
      </c>
      <c r="F613" s="2" t="s">
        <v>29</v>
      </c>
      <c r="G613" s="2" t="str">
        <f>_xlfn.XLOOKUP(Tabla1[[#This Row],[MARCA]],MARCAS!E:E,MARCAS!F:F)</f>
        <v>180</v>
      </c>
      <c r="H613" s="2" t="str">
        <f>_xlfn.XLOOKUP(Tabla1[[#This Row],[MARCA]],MARCAS!C:C,MARCAS!A:A)</f>
        <v>F0010</v>
      </c>
      <c r="I613" s="38" t="s">
        <v>1810</v>
      </c>
      <c r="J613" s="37" t="s">
        <v>1251</v>
      </c>
      <c r="K613" s="2" t="s">
        <v>1252</v>
      </c>
    </row>
    <row r="614" spans="1:11" hidden="1" x14ac:dyDescent="0.25">
      <c r="A614" s="2" t="s">
        <v>30</v>
      </c>
      <c r="B614" s="2" t="str">
        <f>_xlfn.XLOOKUP(Tabla1[[#This Row],[SOCIEDAD]],centros!D:D,centros!E:E)</f>
        <v>VE00</v>
      </c>
      <c r="C614" s="2" t="s">
        <v>671</v>
      </c>
      <c r="D614" s="2" t="s">
        <v>19</v>
      </c>
      <c r="E614" s="2" t="str">
        <f>IFERROR(INDEX(centros!$H$2:$H$45,MATCH(TRIM(Tabla1[[#This Row],[SOCIEDAD]])&amp;"|"&amp;TRIM(Tabla1[[#This Row],[LOCALIDAD]]),centros!$G$2:$G$45,0)),"REVISAR")</f>
        <v>VE01</v>
      </c>
      <c r="F614" s="2" t="s">
        <v>29</v>
      </c>
      <c r="G614" s="2" t="str">
        <f>_xlfn.XLOOKUP(Tabla1[[#This Row],[MARCA]],MARCAS!E:E,MARCAS!F:F)</f>
        <v>180</v>
      </c>
      <c r="H614" s="2" t="str">
        <f>_xlfn.XLOOKUP(Tabla1[[#This Row],[MARCA]],MARCAS!C:C,MARCAS!A:A)</f>
        <v>F0010</v>
      </c>
      <c r="I614" s="38" t="s">
        <v>1811</v>
      </c>
      <c r="J614" s="37" t="s">
        <v>1254</v>
      </c>
      <c r="K614" s="2" t="s">
        <v>1255</v>
      </c>
    </row>
    <row r="615" spans="1:11" hidden="1" x14ac:dyDescent="0.25">
      <c r="A615" s="2" t="s">
        <v>30</v>
      </c>
      <c r="B615" s="2" t="str">
        <f>_xlfn.XLOOKUP(Tabla1[[#This Row],[SOCIEDAD]],centros!D:D,centros!E:E)</f>
        <v>VE00</v>
      </c>
      <c r="C615" s="2" t="s">
        <v>930</v>
      </c>
      <c r="D615" s="2" t="s">
        <v>19</v>
      </c>
      <c r="E615" s="2" t="str">
        <f>IFERROR(INDEX(centros!$H$2:$H$45,MATCH(TRIM(Tabla1[[#This Row],[SOCIEDAD]])&amp;"|"&amp;TRIM(Tabla1[[#This Row],[LOCALIDAD]]),centros!$G$2:$G$45,0)),"REVISAR")</f>
        <v>VE01</v>
      </c>
      <c r="F615" s="2" t="s">
        <v>29</v>
      </c>
      <c r="G615" s="2" t="str">
        <f>_xlfn.XLOOKUP(Tabla1[[#This Row],[MARCA]],MARCAS!E:E,MARCAS!F:F)</f>
        <v>180</v>
      </c>
      <c r="H615" s="2" t="str">
        <f>_xlfn.XLOOKUP(Tabla1[[#This Row],[MARCA]],MARCAS!C:C,MARCAS!A:A)</f>
        <v>F0010</v>
      </c>
      <c r="I615" s="38" t="s">
        <v>1812</v>
      </c>
      <c r="J615" s="37" t="s">
        <v>1257</v>
      </c>
      <c r="K615" s="2" t="s">
        <v>1258</v>
      </c>
    </row>
    <row r="616" spans="1:11" hidden="1" x14ac:dyDescent="0.25">
      <c r="A616" s="2" t="s">
        <v>30</v>
      </c>
      <c r="B616" s="2" t="str">
        <f>_xlfn.XLOOKUP(Tabla1[[#This Row],[SOCIEDAD]],centros!D:D,centros!E:E)</f>
        <v>VE00</v>
      </c>
      <c r="C616" s="2" t="s">
        <v>300</v>
      </c>
      <c r="D616" s="2" t="s">
        <v>19</v>
      </c>
      <c r="E616" s="2" t="str">
        <f>IFERROR(INDEX(centros!$H$2:$H$45,MATCH(TRIM(Tabla1[[#This Row],[SOCIEDAD]])&amp;"|"&amp;TRIM(Tabla1[[#This Row],[LOCALIDAD]]),centros!$G$2:$G$45,0)),"REVISAR")</f>
        <v>VE01</v>
      </c>
      <c r="F616" s="2" t="s">
        <v>29</v>
      </c>
      <c r="G616" s="2" t="str">
        <f>_xlfn.XLOOKUP(Tabla1[[#This Row],[MARCA]],MARCAS!E:E,MARCAS!F:F)</f>
        <v>180</v>
      </c>
      <c r="H616" s="2" t="str">
        <f>_xlfn.XLOOKUP(Tabla1[[#This Row],[MARCA]],MARCAS!C:C,MARCAS!A:A)</f>
        <v>F0010</v>
      </c>
      <c r="I616" s="38" t="s">
        <v>1813</v>
      </c>
      <c r="J616" s="37" t="s">
        <v>1260</v>
      </c>
      <c r="K616" s="2" t="s">
        <v>1261</v>
      </c>
    </row>
    <row r="617" spans="1:11" hidden="1" x14ac:dyDescent="0.25">
      <c r="A617" s="2" t="s">
        <v>30</v>
      </c>
      <c r="B617" s="2" t="str">
        <f>_xlfn.XLOOKUP(Tabla1[[#This Row],[SOCIEDAD]],centros!D:D,centros!E:E)</f>
        <v>VE00</v>
      </c>
      <c r="C617" s="2" t="s">
        <v>263</v>
      </c>
      <c r="D617" s="2" t="s">
        <v>13</v>
      </c>
      <c r="E617" s="2" t="str">
        <f>IFERROR(INDEX(centros!$H$2:$H$45,MATCH(TRIM(Tabla1[[#This Row],[SOCIEDAD]])&amp;"|"&amp;TRIM(Tabla1[[#This Row],[LOCALIDAD]]),centros!$G$2:$G$45,0)),"REVISAR")</f>
        <v>VE01</v>
      </c>
      <c r="F617" s="2" t="s">
        <v>29</v>
      </c>
      <c r="G617" s="2" t="str">
        <f>_xlfn.XLOOKUP(Tabla1[[#This Row],[MARCA]],MARCAS!E:E,MARCAS!F:F)</f>
        <v>180</v>
      </c>
      <c r="H617" s="2" t="str">
        <f>_xlfn.XLOOKUP(Tabla1[[#This Row],[MARCA]],MARCAS!C:C,MARCAS!A:A)</f>
        <v>F0010</v>
      </c>
      <c r="I617" s="38" t="s">
        <v>1814</v>
      </c>
      <c r="J617" s="37" t="s">
        <v>1263</v>
      </c>
      <c r="K617" s="2" t="s">
        <v>1264</v>
      </c>
    </row>
    <row r="618" spans="1:11" hidden="1" x14ac:dyDescent="0.25">
      <c r="A618" s="2" t="s">
        <v>30</v>
      </c>
      <c r="B618" s="2" t="str">
        <f>_xlfn.XLOOKUP(Tabla1[[#This Row],[SOCIEDAD]],centros!D:D,centros!E:E)</f>
        <v>VE00</v>
      </c>
      <c r="C618" s="2" t="s">
        <v>671</v>
      </c>
      <c r="D618" s="2" t="s">
        <v>13</v>
      </c>
      <c r="E618" s="2" t="str">
        <f>IFERROR(INDEX(centros!$H$2:$H$45,MATCH(TRIM(Tabla1[[#This Row],[SOCIEDAD]])&amp;"|"&amp;TRIM(Tabla1[[#This Row],[LOCALIDAD]]),centros!$G$2:$G$45,0)),"REVISAR")</f>
        <v>VE01</v>
      </c>
      <c r="F618" s="2" t="s">
        <v>29</v>
      </c>
      <c r="G618" s="2" t="str">
        <f>_xlfn.XLOOKUP(Tabla1[[#This Row],[MARCA]],MARCAS!E:E,MARCAS!F:F)</f>
        <v>180</v>
      </c>
      <c r="H618" s="2" t="str">
        <f>_xlfn.XLOOKUP(Tabla1[[#This Row],[MARCA]],MARCAS!C:C,MARCAS!A:A)</f>
        <v>F0010</v>
      </c>
      <c r="I618" s="38" t="s">
        <v>1815</v>
      </c>
      <c r="J618" s="37" t="s">
        <v>1266</v>
      </c>
      <c r="K618" s="2" t="s">
        <v>1267</v>
      </c>
    </row>
    <row r="619" spans="1:11" hidden="1" x14ac:dyDescent="0.25">
      <c r="A619" s="2" t="s">
        <v>30</v>
      </c>
      <c r="B619" s="2" t="str">
        <f>_xlfn.XLOOKUP(Tabla1[[#This Row],[SOCIEDAD]],centros!D:D,centros!E:E)</f>
        <v>VE00</v>
      </c>
      <c r="C619" s="2" t="s">
        <v>930</v>
      </c>
      <c r="D619" s="2" t="s">
        <v>13</v>
      </c>
      <c r="E619" s="2" t="str">
        <f>IFERROR(INDEX(centros!$H$2:$H$45,MATCH(TRIM(Tabla1[[#This Row],[SOCIEDAD]])&amp;"|"&amp;TRIM(Tabla1[[#This Row],[LOCALIDAD]]),centros!$G$2:$G$45,0)),"REVISAR")</f>
        <v>VE01</v>
      </c>
      <c r="F619" s="2" t="s">
        <v>29</v>
      </c>
      <c r="G619" s="2" t="str">
        <f>_xlfn.XLOOKUP(Tabla1[[#This Row],[MARCA]],MARCAS!E:E,MARCAS!F:F)</f>
        <v>180</v>
      </c>
      <c r="H619" s="2" t="str">
        <f>_xlfn.XLOOKUP(Tabla1[[#This Row],[MARCA]],MARCAS!C:C,MARCAS!A:A)</f>
        <v>F0010</v>
      </c>
      <c r="I619" s="38" t="s">
        <v>1816</v>
      </c>
      <c r="J619" s="37" t="s">
        <v>1269</v>
      </c>
      <c r="K619" s="2" t="s">
        <v>1270</v>
      </c>
    </row>
    <row r="620" spans="1:11" hidden="1" x14ac:dyDescent="0.25">
      <c r="A620" s="2" t="s">
        <v>30</v>
      </c>
      <c r="B620" s="2" t="str">
        <f>_xlfn.XLOOKUP(Tabla1[[#This Row],[SOCIEDAD]],centros!D:D,centros!E:E)</f>
        <v>VE00</v>
      </c>
      <c r="C620" s="2" t="s">
        <v>300</v>
      </c>
      <c r="D620" s="2" t="s">
        <v>13</v>
      </c>
      <c r="E620" s="2" t="str">
        <f>IFERROR(INDEX(centros!$H$2:$H$45,MATCH(TRIM(Tabla1[[#This Row],[SOCIEDAD]])&amp;"|"&amp;TRIM(Tabla1[[#This Row],[LOCALIDAD]]),centros!$G$2:$G$45,0)),"REVISAR")</f>
        <v>VE01</v>
      </c>
      <c r="F620" s="2" t="s">
        <v>29</v>
      </c>
      <c r="G620" s="2" t="str">
        <f>_xlfn.XLOOKUP(Tabla1[[#This Row],[MARCA]],MARCAS!E:E,MARCAS!F:F)</f>
        <v>180</v>
      </c>
      <c r="H620" s="2" t="str">
        <f>_xlfn.XLOOKUP(Tabla1[[#This Row],[MARCA]],MARCAS!C:C,MARCAS!A:A)</f>
        <v>F0010</v>
      </c>
      <c r="I620" s="38" t="s">
        <v>1817</v>
      </c>
      <c r="J620" s="37" t="s">
        <v>1272</v>
      </c>
      <c r="K620" s="2" t="s">
        <v>1273</v>
      </c>
    </row>
    <row r="621" spans="1:11" hidden="1" x14ac:dyDescent="0.25">
      <c r="A621" s="2" t="s">
        <v>30</v>
      </c>
      <c r="B621" s="2" t="str">
        <f>_xlfn.XLOOKUP(Tabla1[[#This Row],[SOCIEDAD]],centros!D:D,centros!E:E)</f>
        <v>VE00</v>
      </c>
      <c r="C621" s="2" t="s">
        <v>263</v>
      </c>
      <c r="D621" s="2" t="s">
        <v>23</v>
      </c>
      <c r="E621" s="2" t="str">
        <f>IFERROR(INDEX(centros!$H$2:$H$45,MATCH(TRIM(Tabla1[[#This Row],[SOCIEDAD]])&amp;"|"&amp;TRIM(Tabla1[[#This Row],[LOCALIDAD]]),centros!$G$2:$G$45,0)),"REVISAR")</f>
        <v>VE01</v>
      </c>
      <c r="F621" s="2" t="s">
        <v>29</v>
      </c>
      <c r="G621" s="2" t="str">
        <f>_xlfn.XLOOKUP(Tabla1[[#This Row],[MARCA]],MARCAS!E:E,MARCAS!F:F)</f>
        <v>180</v>
      </c>
      <c r="H621" s="2" t="str">
        <f>_xlfn.XLOOKUP(Tabla1[[#This Row],[MARCA]],MARCAS!C:C,MARCAS!A:A)</f>
        <v>F0010</v>
      </c>
      <c r="I621" s="38" t="s">
        <v>1818</v>
      </c>
      <c r="J621" s="37" t="s">
        <v>1275</v>
      </c>
      <c r="K621" s="2" t="s">
        <v>1276</v>
      </c>
    </row>
    <row r="622" spans="1:11" hidden="1" x14ac:dyDescent="0.25">
      <c r="A622" s="2" t="s">
        <v>30</v>
      </c>
      <c r="B622" s="2" t="str">
        <f>_xlfn.XLOOKUP(Tabla1[[#This Row],[SOCIEDAD]],centros!D:D,centros!E:E)</f>
        <v>VE00</v>
      </c>
      <c r="C622" s="2" t="s">
        <v>671</v>
      </c>
      <c r="D622" s="2" t="s">
        <v>23</v>
      </c>
      <c r="E622" s="2" t="str">
        <f>IFERROR(INDEX(centros!$H$2:$H$45,MATCH(TRIM(Tabla1[[#This Row],[SOCIEDAD]])&amp;"|"&amp;TRIM(Tabla1[[#This Row],[LOCALIDAD]]),centros!$G$2:$G$45,0)),"REVISAR")</f>
        <v>VE01</v>
      </c>
      <c r="F622" s="2" t="s">
        <v>29</v>
      </c>
      <c r="G622" s="2" t="str">
        <f>_xlfn.XLOOKUP(Tabla1[[#This Row],[MARCA]],MARCAS!E:E,MARCAS!F:F)</f>
        <v>180</v>
      </c>
      <c r="H622" s="2" t="str">
        <f>_xlfn.XLOOKUP(Tabla1[[#This Row],[MARCA]],MARCAS!C:C,MARCAS!A:A)</f>
        <v>F0010</v>
      </c>
      <c r="I622" s="38" t="s">
        <v>1819</v>
      </c>
      <c r="J622" s="37" t="s">
        <v>1278</v>
      </c>
      <c r="K622" s="2" t="s">
        <v>1279</v>
      </c>
    </row>
    <row r="623" spans="1:11" hidden="1" x14ac:dyDescent="0.25">
      <c r="A623" s="2" t="s">
        <v>30</v>
      </c>
      <c r="B623" s="2" t="str">
        <f>_xlfn.XLOOKUP(Tabla1[[#This Row],[SOCIEDAD]],centros!D:D,centros!E:E)</f>
        <v>VE00</v>
      </c>
      <c r="C623" s="2" t="s">
        <v>930</v>
      </c>
      <c r="D623" s="2" t="s">
        <v>23</v>
      </c>
      <c r="E623" s="2" t="str">
        <f>IFERROR(INDEX(centros!$H$2:$H$45,MATCH(TRIM(Tabla1[[#This Row],[SOCIEDAD]])&amp;"|"&amp;TRIM(Tabla1[[#This Row],[LOCALIDAD]]),centros!$G$2:$G$45,0)),"REVISAR")</f>
        <v>VE01</v>
      </c>
      <c r="F623" s="2" t="s">
        <v>29</v>
      </c>
      <c r="G623" s="2" t="str">
        <f>_xlfn.XLOOKUP(Tabla1[[#This Row],[MARCA]],MARCAS!E:E,MARCAS!F:F)</f>
        <v>180</v>
      </c>
      <c r="H623" s="2" t="str">
        <f>_xlfn.XLOOKUP(Tabla1[[#This Row],[MARCA]],MARCAS!C:C,MARCAS!A:A)</f>
        <v>F0010</v>
      </c>
      <c r="I623" s="38" t="s">
        <v>1820</v>
      </c>
      <c r="J623" s="37" t="s">
        <v>1281</v>
      </c>
      <c r="K623" s="2" t="s">
        <v>1282</v>
      </c>
    </row>
    <row r="624" spans="1:11" hidden="1" x14ac:dyDescent="0.25">
      <c r="A624" s="2" t="s">
        <v>30</v>
      </c>
      <c r="B624" s="2" t="str">
        <f>_xlfn.XLOOKUP(Tabla1[[#This Row],[SOCIEDAD]],centros!D:D,centros!E:E)</f>
        <v>VE00</v>
      </c>
      <c r="C624" s="2" t="s">
        <v>300</v>
      </c>
      <c r="D624" s="2" t="s">
        <v>23</v>
      </c>
      <c r="E624" s="2" t="str">
        <f>IFERROR(INDEX(centros!$H$2:$H$45,MATCH(TRIM(Tabla1[[#This Row],[SOCIEDAD]])&amp;"|"&amp;TRIM(Tabla1[[#This Row],[LOCALIDAD]]),centros!$G$2:$G$45,0)),"REVISAR")</f>
        <v>VE01</v>
      </c>
      <c r="F624" s="2" t="s">
        <v>29</v>
      </c>
      <c r="G624" s="2" t="str">
        <f>_xlfn.XLOOKUP(Tabla1[[#This Row],[MARCA]],MARCAS!E:E,MARCAS!F:F)</f>
        <v>180</v>
      </c>
      <c r="H624" s="2" t="str">
        <f>_xlfn.XLOOKUP(Tabla1[[#This Row],[MARCA]],MARCAS!C:C,MARCAS!A:A)</f>
        <v>F0010</v>
      </c>
      <c r="I624" s="38" t="s">
        <v>1821</v>
      </c>
      <c r="J624" s="37" t="s">
        <v>1822</v>
      </c>
      <c r="K624" s="2" t="s">
        <v>1285</v>
      </c>
    </row>
    <row r="625" spans="1:11" hidden="1" x14ac:dyDescent="0.25">
      <c r="A625" s="2" t="s">
        <v>30</v>
      </c>
      <c r="B625" s="2" t="str">
        <f>_xlfn.XLOOKUP(Tabla1[[#This Row],[SOCIEDAD]],centros!D:D,centros!E:E)</f>
        <v>VE00</v>
      </c>
      <c r="C625" s="2" t="s">
        <v>263</v>
      </c>
      <c r="D625" s="2" t="s">
        <v>32</v>
      </c>
      <c r="E625" s="2" t="str">
        <f>IFERROR(INDEX(centros!$H$2:$H$45,MATCH(TRIM(Tabla1[[#This Row],[SOCIEDAD]])&amp;"|"&amp;TRIM(Tabla1[[#This Row],[LOCALIDAD]]),centros!$G$2:$G$45,0)),"REVISAR")</f>
        <v>VE01</v>
      </c>
      <c r="F625" s="2" t="s">
        <v>29</v>
      </c>
      <c r="G625" s="2" t="str">
        <f>_xlfn.XLOOKUP(Tabla1[[#This Row],[MARCA]],MARCAS!E:E,MARCAS!F:F)</f>
        <v>180</v>
      </c>
      <c r="H625" s="2" t="str">
        <f>_xlfn.XLOOKUP(Tabla1[[#This Row],[MARCA]],MARCAS!C:C,MARCAS!A:A)</f>
        <v>F0010</v>
      </c>
      <c r="I625" s="38" t="s">
        <v>1823</v>
      </c>
      <c r="J625" s="37" t="s">
        <v>1287</v>
      </c>
      <c r="K625" s="2" t="s">
        <v>1288</v>
      </c>
    </row>
    <row r="626" spans="1:11" hidden="1" x14ac:dyDescent="0.25">
      <c r="A626" s="2" t="s">
        <v>30</v>
      </c>
      <c r="B626" s="2" t="str">
        <f>_xlfn.XLOOKUP(Tabla1[[#This Row],[SOCIEDAD]],centros!D:D,centros!E:E)</f>
        <v>VE00</v>
      </c>
      <c r="C626" s="2" t="s">
        <v>671</v>
      </c>
      <c r="D626" s="2" t="s">
        <v>32</v>
      </c>
      <c r="E626" s="2" t="str">
        <f>IFERROR(INDEX(centros!$H$2:$H$45,MATCH(TRIM(Tabla1[[#This Row],[SOCIEDAD]])&amp;"|"&amp;TRIM(Tabla1[[#This Row],[LOCALIDAD]]),centros!$G$2:$G$45,0)),"REVISAR")</f>
        <v>VE01</v>
      </c>
      <c r="F626" s="2" t="s">
        <v>29</v>
      </c>
      <c r="G626" s="2" t="str">
        <f>_xlfn.XLOOKUP(Tabla1[[#This Row],[MARCA]],MARCAS!E:E,MARCAS!F:F)</f>
        <v>180</v>
      </c>
      <c r="H626" s="2" t="str">
        <f>_xlfn.XLOOKUP(Tabla1[[#This Row],[MARCA]],MARCAS!C:C,MARCAS!A:A)</f>
        <v>F0010</v>
      </c>
      <c r="I626" s="38" t="s">
        <v>1824</v>
      </c>
      <c r="J626" s="37" t="s">
        <v>1290</v>
      </c>
      <c r="K626" s="2" t="s">
        <v>1291</v>
      </c>
    </row>
    <row r="627" spans="1:11" hidden="1" x14ac:dyDescent="0.25">
      <c r="A627" s="2" t="s">
        <v>30</v>
      </c>
      <c r="B627" s="2" t="str">
        <f>_xlfn.XLOOKUP(Tabla1[[#This Row],[SOCIEDAD]],centros!D:D,centros!E:E)</f>
        <v>VE00</v>
      </c>
      <c r="C627" s="2" t="s">
        <v>930</v>
      </c>
      <c r="D627" s="2" t="s">
        <v>32</v>
      </c>
      <c r="E627" s="2" t="str">
        <f>IFERROR(INDEX(centros!$H$2:$H$45,MATCH(TRIM(Tabla1[[#This Row],[SOCIEDAD]])&amp;"|"&amp;TRIM(Tabla1[[#This Row],[LOCALIDAD]]),centros!$G$2:$G$45,0)),"REVISAR")</f>
        <v>VE01</v>
      </c>
      <c r="F627" s="2" t="s">
        <v>29</v>
      </c>
      <c r="G627" s="2" t="str">
        <f>_xlfn.XLOOKUP(Tabla1[[#This Row],[MARCA]],MARCAS!E:E,MARCAS!F:F)</f>
        <v>180</v>
      </c>
      <c r="H627" s="2" t="str">
        <f>_xlfn.XLOOKUP(Tabla1[[#This Row],[MARCA]],MARCAS!C:C,MARCAS!A:A)</f>
        <v>F0010</v>
      </c>
      <c r="I627" s="38" t="s">
        <v>1825</v>
      </c>
      <c r="J627" s="37" t="s">
        <v>1293</v>
      </c>
      <c r="K627" s="2" t="s">
        <v>1294</v>
      </c>
    </row>
    <row r="628" spans="1:11" hidden="1" x14ac:dyDescent="0.25">
      <c r="A628" s="2" t="s">
        <v>30</v>
      </c>
      <c r="B628" s="2" t="str">
        <f>_xlfn.XLOOKUP(Tabla1[[#This Row],[SOCIEDAD]],centros!D:D,centros!E:E)</f>
        <v>VE00</v>
      </c>
      <c r="C628" s="2" t="s">
        <v>300</v>
      </c>
      <c r="D628" s="2" t="s">
        <v>32</v>
      </c>
      <c r="E628" s="2" t="str">
        <f>IFERROR(INDEX(centros!$H$2:$H$45,MATCH(TRIM(Tabla1[[#This Row],[SOCIEDAD]])&amp;"|"&amp;TRIM(Tabla1[[#This Row],[LOCALIDAD]]),centros!$G$2:$G$45,0)),"REVISAR")</f>
        <v>VE01</v>
      </c>
      <c r="F628" s="2" t="s">
        <v>29</v>
      </c>
      <c r="G628" s="2" t="str">
        <f>_xlfn.XLOOKUP(Tabla1[[#This Row],[MARCA]],MARCAS!E:E,MARCAS!F:F)</f>
        <v>180</v>
      </c>
      <c r="H628" s="2" t="str">
        <f>_xlfn.XLOOKUP(Tabla1[[#This Row],[MARCA]],MARCAS!C:C,MARCAS!A:A)</f>
        <v>F0010</v>
      </c>
      <c r="I628" s="38" t="s">
        <v>1826</v>
      </c>
      <c r="J628" s="37" t="s">
        <v>1296</v>
      </c>
      <c r="K628" s="2" t="s">
        <v>1297</v>
      </c>
    </row>
    <row r="629" spans="1:11" hidden="1" x14ac:dyDescent="0.25">
      <c r="A629" s="2" t="s">
        <v>30</v>
      </c>
      <c r="B629" s="2" t="str">
        <f>_xlfn.XLOOKUP(Tabla1[[#This Row],[SOCIEDAD]],centros!D:D,centros!E:E)</f>
        <v>VE00</v>
      </c>
      <c r="C629" s="2" t="s">
        <v>263</v>
      </c>
      <c r="D629" s="2" t="s">
        <v>33</v>
      </c>
      <c r="E629" s="2" t="str">
        <f>IFERROR(INDEX(centros!$H$2:$H$45,MATCH(TRIM(Tabla1[[#This Row],[SOCIEDAD]])&amp;"|"&amp;TRIM(Tabla1[[#This Row],[LOCALIDAD]]),centros!$G$2:$G$45,0)),"REVISAR")</f>
        <v>VE01</v>
      </c>
      <c r="F629" s="2" t="s">
        <v>29</v>
      </c>
      <c r="G629" s="2" t="str">
        <f>_xlfn.XLOOKUP(Tabla1[[#This Row],[MARCA]],MARCAS!E:E,MARCAS!F:F)</f>
        <v>180</v>
      </c>
      <c r="H629" s="2" t="str">
        <f>_xlfn.XLOOKUP(Tabla1[[#This Row],[MARCA]],MARCAS!C:C,MARCAS!A:A)</f>
        <v>F0010</v>
      </c>
      <c r="I629" s="38" t="s">
        <v>1827</v>
      </c>
      <c r="J629" s="37" t="s">
        <v>1299</v>
      </c>
      <c r="K629" s="2" t="s">
        <v>1300</v>
      </c>
    </row>
    <row r="630" spans="1:11" hidden="1" x14ac:dyDescent="0.25">
      <c r="A630" s="2" t="s">
        <v>30</v>
      </c>
      <c r="B630" s="2" t="str">
        <f>_xlfn.XLOOKUP(Tabla1[[#This Row],[SOCIEDAD]],centros!D:D,centros!E:E)</f>
        <v>VE00</v>
      </c>
      <c r="C630" s="2" t="s">
        <v>671</v>
      </c>
      <c r="D630" s="2" t="s">
        <v>33</v>
      </c>
      <c r="E630" s="2" t="str">
        <f>IFERROR(INDEX(centros!$H$2:$H$45,MATCH(TRIM(Tabla1[[#This Row],[SOCIEDAD]])&amp;"|"&amp;TRIM(Tabla1[[#This Row],[LOCALIDAD]]),centros!$G$2:$G$45,0)),"REVISAR")</f>
        <v>VE01</v>
      </c>
      <c r="F630" s="2" t="s">
        <v>29</v>
      </c>
      <c r="G630" s="2" t="str">
        <f>_xlfn.XLOOKUP(Tabla1[[#This Row],[MARCA]],MARCAS!E:E,MARCAS!F:F)</f>
        <v>180</v>
      </c>
      <c r="H630" s="2" t="str">
        <f>_xlfn.XLOOKUP(Tabla1[[#This Row],[MARCA]],MARCAS!C:C,MARCAS!A:A)</f>
        <v>F0010</v>
      </c>
      <c r="I630" s="38" t="s">
        <v>1828</v>
      </c>
      <c r="J630" s="37" t="s">
        <v>1302</v>
      </c>
      <c r="K630" s="2" t="s">
        <v>1303</v>
      </c>
    </row>
    <row r="631" spans="1:11" hidden="1" x14ac:dyDescent="0.25">
      <c r="A631" s="2" t="s">
        <v>30</v>
      </c>
      <c r="B631" s="2" t="str">
        <f>_xlfn.XLOOKUP(Tabla1[[#This Row],[SOCIEDAD]],centros!D:D,centros!E:E)</f>
        <v>VE00</v>
      </c>
      <c r="C631" s="2" t="s">
        <v>930</v>
      </c>
      <c r="D631" s="2" t="s">
        <v>33</v>
      </c>
      <c r="E631" s="2" t="str">
        <f>IFERROR(INDEX(centros!$H$2:$H$45,MATCH(TRIM(Tabla1[[#This Row],[SOCIEDAD]])&amp;"|"&amp;TRIM(Tabla1[[#This Row],[LOCALIDAD]]),centros!$G$2:$G$45,0)),"REVISAR")</f>
        <v>VE01</v>
      </c>
      <c r="F631" s="2" t="s">
        <v>29</v>
      </c>
      <c r="G631" s="2" t="str">
        <f>_xlfn.XLOOKUP(Tabla1[[#This Row],[MARCA]],MARCAS!E:E,MARCAS!F:F)</f>
        <v>180</v>
      </c>
      <c r="H631" s="2" t="str">
        <f>_xlfn.XLOOKUP(Tabla1[[#This Row],[MARCA]],MARCAS!C:C,MARCAS!A:A)</f>
        <v>F0010</v>
      </c>
      <c r="I631" s="38" t="s">
        <v>1829</v>
      </c>
      <c r="J631" s="37" t="s">
        <v>1305</v>
      </c>
      <c r="K631" s="2" t="s">
        <v>1306</v>
      </c>
    </row>
    <row r="632" spans="1:11" hidden="1" x14ac:dyDescent="0.25">
      <c r="A632" s="2" t="s">
        <v>30</v>
      </c>
      <c r="B632" s="2" t="str">
        <f>_xlfn.XLOOKUP(Tabla1[[#This Row],[SOCIEDAD]],centros!D:D,centros!E:E)</f>
        <v>VE00</v>
      </c>
      <c r="C632" s="2" t="s">
        <v>300</v>
      </c>
      <c r="D632" s="2" t="s">
        <v>33</v>
      </c>
      <c r="E632" s="2" t="str">
        <f>IFERROR(INDEX(centros!$H$2:$H$45,MATCH(TRIM(Tabla1[[#This Row],[SOCIEDAD]])&amp;"|"&amp;TRIM(Tabla1[[#This Row],[LOCALIDAD]]),centros!$G$2:$G$45,0)),"REVISAR")</f>
        <v>VE01</v>
      </c>
      <c r="F632" s="2" t="s">
        <v>29</v>
      </c>
      <c r="G632" s="2" t="str">
        <f>_xlfn.XLOOKUP(Tabla1[[#This Row],[MARCA]],MARCAS!E:E,MARCAS!F:F)</f>
        <v>180</v>
      </c>
      <c r="H632" s="2" t="str">
        <f>_xlfn.XLOOKUP(Tabla1[[#This Row],[MARCA]],MARCAS!C:C,MARCAS!A:A)</f>
        <v>F0010</v>
      </c>
      <c r="I632" s="38" t="s">
        <v>1830</v>
      </c>
      <c r="J632" s="37" t="s">
        <v>1308</v>
      </c>
      <c r="K632" s="2" t="s">
        <v>1309</v>
      </c>
    </row>
    <row r="633" spans="1:11" hidden="1" x14ac:dyDescent="0.25">
      <c r="A633" s="2" t="s">
        <v>30</v>
      </c>
      <c r="B633" s="2" t="str">
        <f>_xlfn.XLOOKUP(Tabla1[[#This Row],[SOCIEDAD]],centros!D:D,centros!E:E)</f>
        <v>VE00</v>
      </c>
      <c r="C633" s="2" t="s">
        <v>112</v>
      </c>
      <c r="D633" s="35" t="s">
        <v>1831</v>
      </c>
      <c r="E633" s="2" t="s">
        <v>1832</v>
      </c>
      <c r="F633" s="2" t="s">
        <v>29</v>
      </c>
      <c r="G633" s="2" t="str">
        <f>_xlfn.XLOOKUP(Tabla1[[#This Row],[MARCA]],MARCAS!E:E,MARCAS!F:F)</f>
        <v>180</v>
      </c>
      <c r="H633" s="2" t="str">
        <f>_xlfn.XLOOKUP(Tabla1[[#This Row],[MARCA]],MARCAS!C:C,MARCAS!A:A)</f>
        <v>F0010</v>
      </c>
      <c r="I633" s="38" t="s">
        <v>1833</v>
      </c>
      <c r="J633" s="37" t="s">
        <v>1834</v>
      </c>
      <c r="K633" s="2" t="s">
        <v>1558</v>
      </c>
    </row>
    <row r="634" spans="1:11" hidden="1" x14ac:dyDescent="0.25">
      <c r="A634" s="2" t="s">
        <v>30</v>
      </c>
      <c r="B634" s="2" t="str">
        <f>_xlfn.XLOOKUP(Tabla1[[#This Row],[SOCIEDAD]],centros!D:D,centros!E:E)</f>
        <v>VE00</v>
      </c>
      <c r="C634" s="2" t="s">
        <v>112</v>
      </c>
      <c r="D634" s="2" t="s">
        <v>11</v>
      </c>
      <c r="E634" s="2" t="str">
        <f>IFERROR(INDEX(centros!$H$2:$H$45,MATCH(TRIM(Tabla1[[#This Row],[SOCIEDAD]])&amp;"|"&amp;TRIM(Tabla1[[#This Row],[LOCALIDAD]]),centros!$G$2:$G$45,0)),"REVISAR")</f>
        <v>VE00</v>
      </c>
      <c r="F634" s="2" t="s">
        <v>29</v>
      </c>
      <c r="G634" s="2" t="str">
        <f>_xlfn.XLOOKUP(Tabla1[[#This Row],[MARCA]],MARCAS!E:E,MARCAS!F:F)</f>
        <v>180</v>
      </c>
      <c r="H634" s="2" t="str">
        <f>_xlfn.XLOOKUP(Tabla1[[#This Row],[MARCA]],MARCAS!C:C,MARCAS!A:A)</f>
        <v>F0010</v>
      </c>
      <c r="I634" s="38" t="s">
        <v>1833</v>
      </c>
      <c r="J634" s="37" t="s">
        <v>1560</v>
      </c>
      <c r="K634" s="2" t="s">
        <v>1561</v>
      </c>
    </row>
    <row r="635" spans="1:11" hidden="1" x14ac:dyDescent="0.25">
      <c r="A635" s="2" t="s">
        <v>30</v>
      </c>
      <c r="B635" s="2" t="str">
        <f>_xlfn.XLOOKUP(Tabla1[[#This Row],[SOCIEDAD]],centros!D:D,centros!E:E)</f>
        <v>VE00</v>
      </c>
      <c r="C635" s="2" t="s">
        <v>219</v>
      </c>
      <c r="D635" s="2" t="s">
        <v>15</v>
      </c>
      <c r="E635" s="2" t="str">
        <f>IFERROR(INDEX(centros!$H$2:$H$45,MATCH(TRIM(Tabla1[[#This Row],[SOCIEDAD]])&amp;"|"&amp;TRIM(Tabla1[[#This Row],[LOCALIDAD]]),centros!$G$2:$G$45,0)),"REVISAR")</f>
        <v>VE01</v>
      </c>
      <c r="F635" s="2" t="s">
        <v>29</v>
      </c>
      <c r="G635" s="2" t="str">
        <f>_xlfn.XLOOKUP(Tabla1[[#This Row],[MARCA]],MARCAS!E:E,MARCAS!F:F)</f>
        <v>180</v>
      </c>
      <c r="H635" s="2" t="str">
        <f>_xlfn.XLOOKUP(Tabla1[[#This Row],[MARCA]],MARCAS!C:C,MARCAS!A:A)</f>
        <v>F0010</v>
      </c>
      <c r="I635" s="38" t="s">
        <v>1835</v>
      </c>
      <c r="J635" s="37" t="s">
        <v>1836</v>
      </c>
      <c r="K635" s="2" t="s">
        <v>1726</v>
      </c>
    </row>
    <row r="636" spans="1:11" hidden="1" x14ac:dyDescent="0.25">
      <c r="A636" s="2" t="s">
        <v>30</v>
      </c>
      <c r="B636" s="2" t="str">
        <f>_xlfn.XLOOKUP(Tabla1[[#This Row],[SOCIEDAD]],centros!D:D,centros!E:E)</f>
        <v>VE00</v>
      </c>
      <c r="C636" s="2" t="s">
        <v>219</v>
      </c>
      <c r="D636" s="2" t="s">
        <v>11</v>
      </c>
      <c r="E636" s="2" t="str">
        <f>IFERROR(INDEX(centros!$H$2:$H$45,MATCH(TRIM(Tabla1[[#This Row],[SOCIEDAD]])&amp;"|"&amp;TRIM(Tabla1[[#This Row],[LOCALIDAD]]),centros!$G$2:$G$45,0)),"REVISAR")</f>
        <v>VE00</v>
      </c>
      <c r="F636" s="2" t="s">
        <v>29</v>
      </c>
      <c r="G636" s="2" t="str">
        <f>_xlfn.XLOOKUP(Tabla1[[#This Row],[MARCA]],MARCAS!E:E,MARCAS!F:F)</f>
        <v>180</v>
      </c>
      <c r="H636" s="2" t="str">
        <f>_xlfn.XLOOKUP(Tabla1[[#This Row],[MARCA]],MARCAS!C:C,MARCAS!A:A)</f>
        <v>F0010</v>
      </c>
      <c r="I636" s="38" t="s">
        <v>1835</v>
      </c>
      <c r="J636" s="37" t="s">
        <v>1728</v>
      </c>
      <c r="K636" s="2" t="s">
        <v>1729</v>
      </c>
    </row>
    <row r="637" spans="1:11" hidden="1" x14ac:dyDescent="0.25">
      <c r="A637" s="2" t="s">
        <v>30</v>
      </c>
      <c r="B637" s="2" t="str">
        <f>_xlfn.XLOOKUP(Tabla1[[#This Row],[SOCIEDAD]],centros!D:D,centros!E:E)</f>
        <v>VE00</v>
      </c>
      <c r="C637" s="2" t="s">
        <v>219</v>
      </c>
      <c r="D637" s="2" t="s">
        <v>17</v>
      </c>
      <c r="E637" s="2" t="str">
        <f>IFERROR(INDEX(centros!$H$2:$H$45,MATCH(TRIM(Tabla1[[#This Row],[SOCIEDAD]])&amp;"|"&amp;TRIM(Tabla1[[#This Row],[LOCALIDAD]]),centros!$G$2:$G$45,0)),"REVISAR")</f>
        <v>VE01</v>
      </c>
      <c r="F637" s="2" t="s">
        <v>29</v>
      </c>
      <c r="G637" s="2" t="str">
        <f>_xlfn.XLOOKUP(Tabla1[[#This Row],[MARCA]],MARCAS!E:E,MARCAS!F:F)</f>
        <v>180</v>
      </c>
      <c r="H637" s="2" t="str">
        <f>_xlfn.XLOOKUP(Tabla1[[#This Row],[MARCA]],MARCAS!C:C,MARCAS!A:A)</f>
        <v>F0010</v>
      </c>
      <c r="I637" s="38" t="s">
        <v>1835</v>
      </c>
      <c r="J637" s="37" t="s">
        <v>1731</v>
      </c>
      <c r="K637" s="2" t="s">
        <v>1732</v>
      </c>
    </row>
    <row r="638" spans="1:11" hidden="1" x14ac:dyDescent="0.25">
      <c r="A638" s="2" t="s">
        <v>30</v>
      </c>
      <c r="B638" s="2" t="str">
        <f>_xlfn.XLOOKUP(Tabla1[[#This Row],[SOCIEDAD]],centros!D:D,centros!E:E)</f>
        <v>VE00</v>
      </c>
      <c r="C638" s="2" t="s">
        <v>219</v>
      </c>
      <c r="D638" s="2" t="s">
        <v>19</v>
      </c>
      <c r="E638" s="2" t="str">
        <f>IFERROR(INDEX(centros!$H$2:$H$45,MATCH(TRIM(Tabla1[[#This Row],[SOCIEDAD]])&amp;"|"&amp;TRIM(Tabla1[[#This Row],[LOCALIDAD]]),centros!$G$2:$G$45,0)),"REVISAR")</f>
        <v>VE01</v>
      </c>
      <c r="F638" s="2" t="s">
        <v>29</v>
      </c>
      <c r="G638" s="2" t="str">
        <f>_xlfn.XLOOKUP(Tabla1[[#This Row],[MARCA]],MARCAS!E:E,MARCAS!F:F)</f>
        <v>180</v>
      </c>
      <c r="H638" s="2" t="str">
        <f>_xlfn.XLOOKUP(Tabla1[[#This Row],[MARCA]],MARCAS!C:C,MARCAS!A:A)</f>
        <v>F0010</v>
      </c>
      <c r="I638" s="38" t="s">
        <v>1835</v>
      </c>
      <c r="J638" s="37" t="s">
        <v>1734</v>
      </c>
      <c r="K638" s="2" t="s">
        <v>1735</v>
      </c>
    </row>
    <row r="639" spans="1:11" hidden="1" x14ac:dyDescent="0.25">
      <c r="A639" s="2" t="s">
        <v>30</v>
      </c>
      <c r="B639" s="2" t="str">
        <f>_xlfn.XLOOKUP(Tabla1[[#This Row],[SOCIEDAD]],centros!D:D,centros!E:E)</f>
        <v>VE00</v>
      </c>
      <c r="C639" s="2" t="s">
        <v>219</v>
      </c>
      <c r="D639" s="2" t="s">
        <v>13</v>
      </c>
      <c r="E639" s="2" t="str">
        <f>IFERROR(INDEX(centros!$H$2:$H$45,MATCH(TRIM(Tabla1[[#This Row],[SOCIEDAD]])&amp;"|"&amp;TRIM(Tabla1[[#This Row],[LOCALIDAD]]),centros!$G$2:$G$45,0)),"REVISAR")</f>
        <v>VE01</v>
      </c>
      <c r="F639" s="2" t="s">
        <v>29</v>
      </c>
      <c r="G639" s="2" t="str">
        <f>_xlfn.XLOOKUP(Tabla1[[#This Row],[MARCA]],MARCAS!E:E,MARCAS!F:F)</f>
        <v>180</v>
      </c>
      <c r="H639" s="2" t="str">
        <f>_xlfn.XLOOKUP(Tabla1[[#This Row],[MARCA]],MARCAS!C:C,MARCAS!A:A)</f>
        <v>F0010</v>
      </c>
      <c r="I639" s="38" t="s">
        <v>1835</v>
      </c>
      <c r="J639" s="37" t="s">
        <v>1737</v>
      </c>
      <c r="K639" s="2" t="s">
        <v>1738</v>
      </c>
    </row>
    <row r="640" spans="1:11" hidden="1" x14ac:dyDescent="0.25">
      <c r="A640" s="2" t="s">
        <v>30</v>
      </c>
      <c r="B640" s="2" t="str">
        <f>_xlfn.XLOOKUP(Tabla1[[#This Row],[SOCIEDAD]],centros!D:D,centros!E:E)</f>
        <v>VE00</v>
      </c>
      <c r="C640" s="2" t="s">
        <v>219</v>
      </c>
      <c r="D640" s="2" t="s">
        <v>23</v>
      </c>
      <c r="E640" s="2" t="str">
        <f>IFERROR(INDEX(centros!$H$2:$H$45,MATCH(TRIM(Tabla1[[#This Row],[SOCIEDAD]])&amp;"|"&amp;TRIM(Tabla1[[#This Row],[LOCALIDAD]]),centros!$G$2:$G$45,0)),"REVISAR")</f>
        <v>VE01</v>
      </c>
      <c r="F640" s="2" t="s">
        <v>29</v>
      </c>
      <c r="G640" s="2" t="str">
        <f>_xlfn.XLOOKUP(Tabla1[[#This Row],[MARCA]],MARCAS!E:E,MARCAS!F:F)</f>
        <v>180</v>
      </c>
      <c r="H640" s="2" t="str">
        <f>_xlfn.XLOOKUP(Tabla1[[#This Row],[MARCA]],MARCAS!C:C,MARCAS!A:A)</f>
        <v>F0010</v>
      </c>
      <c r="I640" s="38" t="s">
        <v>1835</v>
      </c>
      <c r="J640" s="37" t="s">
        <v>1740</v>
      </c>
      <c r="K640" s="2" t="s">
        <v>1741</v>
      </c>
    </row>
    <row r="641" spans="1:11" hidden="1" x14ac:dyDescent="0.25">
      <c r="A641" s="2" t="s">
        <v>30</v>
      </c>
      <c r="B641" s="2" t="str">
        <f>_xlfn.XLOOKUP(Tabla1[[#This Row],[SOCIEDAD]],centros!D:D,centros!E:E)</f>
        <v>VE00</v>
      </c>
      <c r="C641" s="2" t="s">
        <v>219</v>
      </c>
      <c r="D641" s="2" t="s">
        <v>32</v>
      </c>
      <c r="E641" s="2" t="str">
        <f>IFERROR(INDEX(centros!$H$2:$H$45,MATCH(TRIM(Tabla1[[#This Row],[SOCIEDAD]])&amp;"|"&amp;TRIM(Tabla1[[#This Row],[LOCALIDAD]]),centros!$G$2:$G$45,0)),"REVISAR")</f>
        <v>VE01</v>
      </c>
      <c r="F641" s="2" t="s">
        <v>29</v>
      </c>
      <c r="G641" s="2" t="str">
        <f>_xlfn.XLOOKUP(Tabla1[[#This Row],[MARCA]],MARCAS!E:E,MARCAS!F:F)</f>
        <v>180</v>
      </c>
      <c r="H641" s="2" t="str">
        <f>_xlfn.XLOOKUP(Tabla1[[#This Row],[MARCA]],MARCAS!C:C,MARCAS!A:A)</f>
        <v>F0010</v>
      </c>
      <c r="I641" s="38" t="s">
        <v>1835</v>
      </c>
      <c r="J641" s="37" t="s">
        <v>1743</v>
      </c>
      <c r="K641" s="2" t="s">
        <v>1744</v>
      </c>
    </row>
    <row r="642" spans="1:11" hidden="1" x14ac:dyDescent="0.25">
      <c r="A642" s="2" t="s">
        <v>30</v>
      </c>
      <c r="B642" s="2" t="str">
        <f>_xlfn.XLOOKUP(Tabla1[[#This Row],[SOCIEDAD]],centros!D:D,centros!E:E)</f>
        <v>VE00</v>
      </c>
      <c r="C642" s="2" t="s">
        <v>219</v>
      </c>
      <c r="D642" s="2" t="s">
        <v>33</v>
      </c>
      <c r="E642" s="2" t="str">
        <f>IFERROR(INDEX(centros!$H$2:$H$45,MATCH(TRIM(Tabla1[[#This Row],[SOCIEDAD]])&amp;"|"&amp;TRIM(Tabla1[[#This Row],[LOCALIDAD]]),centros!$G$2:$G$45,0)),"REVISAR")</f>
        <v>VE01</v>
      </c>
      <c r="F642" s="2" t="s">
        <v>29</v>
      </c>
      <c r="G642" s="2" t="str">
        <f>_xlfn.XLOOKUP(Tabla1[[#This Row],[MARCA]],MARCAS!E:E,MARCAS!F:F)</f>
        <v>180</v>
      </c>
      <c r="H642" s="2" t="str">
        <f>_xlfn.XLOOKUP(Tabla1[[#This Row],[MARCA]],MARCAS!C:C,MARCAS!A:A)</f>
        <v>F0010</v>
      </c>
      <c r="I642" s="38" t="s">
        <v>1835</v>
      </c>
      <c r="J642" s="37" t="s">
        <v>1746</v>
      </c>
      <c r="K642" s="2" t="s">
        <v>1747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C56A-9D00-4D3A-BF33-3506D864F171}">
  <dimension ref="A1:T42"/>
  <sheetViews>
    <sheetView workbookViewId="0">
      <selection activeCell="T11" sqref="T11"/>
    </sheetView>
  </sheetViews>
  <sheetFormatPr baseColWidth="10" defaultColWidth="11.42578125" defaultRowHeight="15" x14ac:dyDescent="0.25"/>
  <cols>
    <col min="1" max="1" width="7" bestFit="1" customWidth="1"/>
    <col min="2" max="2" width="24.85546875" bestFit="1" customWidth="1"/>
    <col min="3" max="3" width="7.140625" customWidth="1"/>
    <col min="10" max="10" width="6.85546875" customWidth="1"/>
  </cols>
  <sheetData>
    <row r="1" spans="1:20" x14ac:dyDescent="0.25">
      <c r="A1" s="40" t="s">
        <v>1837</v>
      </c>
      <c r="B1" s="40" t="s">
        <v>1838</v>
      </c>
      <c r="C1" s="40" t="s">
        <v>6</v>
      </c>
      <c r="D1" s="40" t="s">
        <v>24</v>
      </c>
      <c r="E1" s="40" t="s">
        <v>27</v>
      </c>
      <c r="F1" s="40" t="s">
        <v>43</v>
      </c>
      <c r="G1" s="40" t="s">
        <v>46</v>
      </c>
      <c r="H1" s="40" t="s">
        <v>49</v>
      </c>
      <c r="I1" s="40" t="s">
        <v>52</v>
      </c>
      <c r="J1" s="40" t="s">
        <v>64</v>
      </c>
      <c r="K1" s="40" t="s">
        <v>75</v>
      </c>
      <c r="L1" s="40" t="s">
        <v>78</v>
      </c>
      <c r="M1" s="40" t="s">
        <v>83</v>
      </c>
      <c r="N1" s="40" t="s">
        <v>85</v>
      </c>
      <c r="O1" s="40" t="s">
        <v>229</v>
      </c>
      <c r="P1" s="40" t="s">
        <v>88</v>
      </c>
      <c r="Q1" s="40" t="s">
        <v>96</v>
      </c>
      <c r="R1" s="40" t="s">
        <v>149</v>
      </c>
      <c r="S1" s="40" t="s">
        <v>1839</v>
      </c>
      <c r="T1" s="40" t="s">
        <v>99</v>
      </c>
    </row>
    <row r="2" spans="1:20" x14ac:dyDescent="0.25">
      <c r="A2" s="46" t="s">
        <v>1840</v>
      </c>
      <c r="B2" s="46" t="s">
        <v>1841</v>
      </c>
      <c r="C2" s="46" t="str">
        <f>_xlfn.XLOOKUP(C1,MARCAS!$A:$A,MARCAS!$C:$C)</f>
        <v>DFCV</v>
      </c>
      <c r="D2" s="46" t="str">
        <f>_xlfn.XLOOKUP(D1,MARCAS!$A:$A,MARCAS!$C:$C)</f>
        <v>INT</v>
      </c>
      <c r="E2" s="46" t="str">
        <f>_xlfn.XLOOKUP(E1,MARCAS!$A:$A,MARCAS!$C:$C)</f>
        <v>MXML</v>
      </c>
      <c r="F2" s="46" t="str">
        <f>_xlfn.XLOOKUP(F1,MARCAS!$A:$A,MARCAS!$C:$C)</f>
        <v>HYST</v>
      </c>
      <c r="G2" s="46" t="str">
        <f>_xlfn.XLOOKUP(G1,MARCAS!$A:$A,MARCAS!$C:$C)</f>
        <v>HMK</v>
      </c>
      <c r="H2" s="46" t="str">
        <f>_xlfn.XLOOKUP(H1,MARCAS!$A:$A,MARCAS!$C:$C)</f>
        <v>TERB</v>
      </c>
      <c r="I2" s="46" t="str">
        <f>_xlfn.XLOOKUP(I1,MARCAS!$A:$A,MARCAS!$C:$C)</f>
        <v>LIUG</v>
      </c>
      <c r="J2" s="46" t="str">
        <f>_xlfn.XLOOKUP(J1,MARCAS!$A:$A,MARCAS!$C:$C)</f>
        <v>KYC</v>
      </c>
      <c r="K2" s="46" t="str">
        <f>_xlfn.XLOOKUP(K1,MARCAS!$A:$A,MARCAS!$C:$C)</f>
        <v>ZXAU</v>
      </c>
      <c r="L2" s="46" t="str">
        <f>_xlfn.XLOOKUP(L1,MARCAS!$A:$A,MARCAS!$C:$C)</f>
        <v>LIFM</v>
      </c>
      <c r="M2" s="46" t="str">
        <f>_xlfn.XLOOKUP(M1,MARCAS!$A:$A,MARCAS!$C:$C)</f>
        <v>DFAC</v>
      </c>
      <c r="N2" s="46" t="str">
        <f>_xlfn.XLOOKUP(N1,MARCAS!$A:$A,MARCAS!$C:$C)</f>
        <v>LIVN</v>
      </c>
      <c r="O2" s="46" t="str">
        <f>_xlfn.XLOOKUP(O1,MARCAS!$A:$A,MARCAS!$C:$C)</f>
        <v>RIDD</v>
      </c>
      <c r="P2" s="46" t="str">
        <f>_xlfn.XLOOKUP(P1,MARCAS!$A:$A,MARCAS!$C:$C)</f>
        <v>LYNK</v>
      </c>
      <c r="Q2" s="46" t="str">
        <f>_xlfn.XLOOKUP(Q1,MARCAS!$A:$A,MARCAS!$C:$C)</f>
        <v>FAW</v>
      </c>
      <c r="R2" s="46" t="str">
        <f>_xlfn.XLOOKUP(R1,MARCAS!$A:$A,MARCAS!$C:$C)</f>
        <v>JETR</v>
      </c>
      <c r="S2" s="46" t="str">
        <f>_xlfn.XLOOKUP(S1,MARCAS!$A:$A,MARCAS!$C:$C)</f>
        <v>LINH</v>
      </c>
      <c r="T2" s="46" t="str">
        <f>_xlfn.XLOOKUP(T1,MARCAS!$A:$A,MARCAS!$C:$C)</f>
        <v>OTRO</v>
      </c>
    </row>
    <row r="3" spans="1:20" x14ac:dyDescent="0.25">
      <c r="A3" s="41" t="s">
        <v>10</v>
      </c>
      <c r="B3" s="41" t="s">
        <v>1842</v>
      </c>
      <c r="C3" s="42">
        <v>1</v>
      </c>
      <c r="D3" s="42">
        <v>1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1</v>
      </c>
      <c r="N3" s="42">
        <v>0</v>
      </c>
      <c r="O3" s="42">
        <v>0</v>
      </c>
      <c r="P3" s="42">
        <v>0</v>
      </c>
      <c r="Q3" s="42">
        <v>1</v>
      </c>
      <c r="R3" s="42">
        <v>0</v>
      </c>
      <c r="S3" s="42">
        <v>0</v>
      </c>
      <c r="T3" s="42">
        <v>1</v>
      </c>
    </row>
    <row r="4" spans="1:20" x14ac:dyDescent="0.25">
      <c r="A4" s="41" t="s">
        <v>12</v>
      </c>
      <c r="B4" s="41" t="s">
        <v>1843</v>
      </c>
      <c r="C4" s="42">
        <v>1</v>
      </c>
      <c r="D4" s="42">
        <v>1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1</v>
      </c>
      <c r="N4" s="42">
        <v>0</v>
      </c>
      <c r="O4" s="42">
        <v>0</v>
      </c>
      <c r="P4" s="42">
        <v>0</v>
      </c>
      <c r="Q4" s="42">
        <v>1</v>
      </c>
      <c r="R4" s="42">
        <v>0</v>
      </c>
      <c r="S4" s="42">
        <v>0</v>
      </c>
      <c r="T4" s="42">
        <v>1</v>
      </c>
    </row>
    <row r="5" spans="1:20" x14ac:dyDescent="0.25">
      <c r="A5" s="41" t="s">
        <v>14</v>
      </c>
      <c r="B5" s="41" t="s">
        <v>1844</v>
      </c>
      <c r="C5" s="42">
        <v>1</v>
      </c>
      <c r="D5" s="42">
        <v>1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1</v>
      </c>
      <c r="K5" s="42">
        <v>0</v>
      </c>
      <c r="L5" s="42">
        <v>0</v>
      </c>
      <c r="M5" s="42">
        <v>1</v>
      </c>
      <c r="N5" s="42">
        <v>0</v>
      </c>
      <c r="O5" s="42">
        <v>1</v>
      </c>
      <c r="P5" s="42">
        <v>0</v>
      </c>
      <c r="Q5" s="42">
        <v>1</v>
      </c>
      <c r="R5" s="42">
        <v>0</v>
      </c>
      <c r="S5" s="42">
        <v>0</v>
      </c>
      <c r="T5" s="42">
        <v>1</v>
      </c>
    </row>
    <row r="6" spans="1:20" x14ac:dyDescent="0.25">
      <c r="A6" s="41" t="s">
        <v>16</v>
      </c>
      <c r="B6" s="41" t="s">
        <v>1845</v>
      </c>
      <c r="C6" s="42">
        <v>1</v>
      </c>
      <c r="D6" s="42">
        <v>1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1</v>
      </c>
      <c r="N6" s="42">
        <v>0</v>
      </c>
      <c r="O6" s="42">
        <v>0</v>
      </c>
      <c r="P6" s="42">
        <v>0</v>
      </c>
      <c r="Q6" s="42">
        <v>1</v>
      </c>
      <c r="R6" s="42">
        <v>0</v>
      </c>
      <c r="S6" s="42">
        <v>0</v>
      </c>
      <c r="T6" s="42">
        <v>1</v>
      </c>
    </row>
    <row r="7" spans="1:20" x14ac:dyDescent="0.25">
      <c r="A7" s="41" t="s">
        <v>18</v>
      </c>
      <c r="B7" s="41" t="s">
        <v>1846</v>
      </c>
      <c r="C7" s="42">
        <v>1</v>
      </c>
      <c r="D7" s="42">
        <v>1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1</v>
      </c>
      <c r="K7" s="42">
        <v>0</v>
      </c>
      <c r="L7" s="42">
        <v>0</v>
      </c>
      <c r="M7" s="42">
        <v>1</v>
      </c>
      <c r="N7" s="42">
        <v>0</v>
      </c>
      <c r="O7" s="42">
        <v>1</v>
      </c>
      <c r="P7" s="42">
        <v>0</v>
      </c>
      <c r="Q7" s="42">
        <v>1</v>
      </c>
      <c r="R7" s="42">
        <v>0</v>
      </c>
      <c r="S7" s="42">
        <v>0</v>
      </c>
      <c r="T7" s="42">
        <v>1</v>
      </c>
    </row>
    <row r="8" spans="1:20" x14ac:dyDescent="0.25">
      <c r="A8" s="41" t="s">
        <v>20</v>
      </c>
      <c r="B8" s="41" t="s">
        <v>1847</v>
      </c>
      <c r="C8" s="42">
        <v>1</v>
      </c>
      <c r="D8" s="42">
        <v>1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1</v>
      </c>
      <c r="N8" s="42">
        <v>0</v>
      </c>
      <c r="O8" s="42">
        <v>0</v>
      </c>
      <c r="P8" s="42">
        <v>0</v>
      </c>
      <c r="Q8" s="42">
        <v>1</v>
      </c>
      <c r="R8" s="42">
        <v>0</v>
      </c>
      <c r="S8" s="42">
        <v>0</v>
      </c>
      <c r="T8" s="42">
        <v>1</v>
      </c>
    </row>
    <row r="9" spans="1:20" x14ac:dyDescent="0.25">
      <c r="A9" s="41" t="s">
        <v>22</v>
      </c>
      <c r="B9" s="41" t="s">
        <v>1848</v>
      </c>
      <c r="C9" s="42">
        <v>1</v>
      </c>
      <c r="D9" s="42">
        <v>1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1</v>
      </c>
      <c r="K9" s="42">
        <v>0</v>
      </c>
      <c r="L9" s="42">
        <v>0</v>
      </c>
      <c r="M9" s="42">
        <v>1</v>
      </c>
      <c r="N9" s="42">
        <v>0</v>
      </c>
      <c r="O9" s="42">
        <v>1</v>
      </c>
      <c r="P9" s="42">
        <v>0</v>
      </c>
      <c r="Q9" s="42">
        <v>1</v>
      </c>
      <c r="R9" s="42">
        <v>0</v>
      </c>
      <c r="S9" s="42">
        <v>0</v>
      </c>
      <c r="T9" s="42">
        <v>1</v>
      </c>
    </row>
    <row r="10" spans="1:20" x14ac:dyDescent="0.25">
      <c r="A10" s="41" t="s">
        <v>1849</v>
      </c>
      <c r="B10" s="41" t="s">
        <v>1850</v>
      </c>
      <c r="C10" s="42">
        <v>1</v>
      </c>
      <c r="D10" s="42">
        <v>1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3">
        <v>1</v>
      </c>
      <c r="N10" s="42">
        <v>0</v>
      </c>
      <c r="O10" s="42">
        <v>0</v>
      </c>
      <c r="P10" s="42">
        <v>0</v>
      </c>
      <c r="Q10" s="42">
        <v>1</v>
      </c>
      <c r="R10" s="42">
        <v>0</v>
      </c>
      <c r="S10" s="42">
        <v>0</v>
      </c>
      <c r="T10" s="42">
        <v>1</v>
      </c>
    </row>
    <row r="11" spans="1:20" x14ac:dyDescent="0.25">
      <c r="A11" s="43" t="s">
        <v>35</v>
      </c>
      <c r="B11" s="43" t="s">
        <v>1851</v>
      </c>
      <c r="C11" s="42">
        <v>0</v>
      </c>
      <c r="D11" s="42">
        <v>0</v>
      </c>
      <c r="E11" s="42">
        <v>1</v>
      </c>
      <c r="F11" s="42">
        <v>1</v>
      </c>
      <c r="G11" s="42">
        <v>1</v>
      </c>
      <c r="H11" s="42">
        <v>1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1</v>
      </c>
    </row>
    <row r="12" spans="1:20" x14ac:dyDescent="0.25">
      <c r="A12" s="43" t="s">
        <v>36</v>
      </c>
      <c r="B12" s="43" t="s">
        <v>1852</v>
      </c>
      <c r="C12" s="42">
        <v>0</v>
      </c>
      <c r="D12" s="42">
        <v>0</v>
      </c>
      <c r="E12" s="42">
        <v>1</v>
      </c>
      <c r="F12" s="42">
        <v>1</v>
      </c>
      <c r="G12" s="42">
        <v>1</v>
      </c>
      <c r="H12" s="42">
        <v>1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1</v>
      </c>
    </row>
    <row r="13" spans="1:20" x14ac:dyDescent="0.25">
      <c r="A13" s="43" t="s">
        <v>37</v>
      </c>
      <c r="B13" s="43" t="s">
        <v>1853</v>
      </c>
      <c r="C13" s="42">
        <v>0</v>
      </c>
      <c r="D13" s="42">
        <v>0</v>
      </c>
      <c r="E13" s="42">
        <v>1</v>
      </c>
      <c r="F13" s="42">
        <v>1</v>
      </c>
      <c r="G13" s="42">
        <v>1</v>
      </c>
      <c r="H13" s="42">
        <v>1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1</v>
      </c>
    </row>
    <row r="14" spans="1:20" x14ac:dyDescent="0.25">
      <c r="A14" s="43" t="s">
        <v>39</v>
      </c>
      <c r="B14" s="43" t="s">
        <v>1854</v>
      </c>
      <c r="C14" s="42">
        <v>0</v>
      </c>
      <c r="D14" s="42">
        <v>0</v>
      </c>
      <c r="E14" s="42">
        <v>1</v>
      </c>
      <c r="F14" s="42">
        <v>1</v>
      </c>
      <c r="G14" s="42">
        <v>1</v>
      </c>
      <c r="H14" s="42">
        <v>1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1</v>
      </c>
    </row>
    <row r="15" spans="1:20" x14ac:dyDescent="0.25">
      <c r="A15" s="43" t="s">
        <v>40</v>
      </c>
      <c r="B15" s="43" t="s">
        <v>1855</v>
      </c>
      <c r="C15" s="42">
        <v>0</v>
      </c>
      <c r="D15" s="42">
        <v>0</v>
      </c>
      <c r="E15" s="42">
        <v>1</v>
      </c>
      <c r="F15" s="42">
        <v>1</v>
      </c>
      <c r="G15" s="42">
        <v>1</v>
      </c>
      <c r="H15" s="42">
        <v>1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1</v>
      </c>
    </row>
    <row r="16" spans="1:20" x14ac:dyDescent="0.25">
      <c r="A16" s="43" t="s">
        <v>41</v>
      </c>
      <c r="B16" s="43" t="s">
        <v>1856</v>
      </c>
      <c r="C16" s="42">
        <v>0</v>
      </c>
      <c r="D16" s="42">
        <v>0</v>
      </c>
      <c r="E16" s="42">
        <v>1</v>
      </c>
      <c r="F16" s="42">
        <v>1</v>
      </c>
      <c r="G16" s="42">
        <v>1</v>
      </c>
      <c r="H16" s="42">
        <v>1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1</v>
      </c>
    </row>
    <row r="17" spans="1:20" x14ac:dyDescent="0.25">
      <c r="A17" s="43" t="s">
        <v>42</v>
      </c>
      <c r="B17" s="43" t="s">
        <v>1857</v>
      </c>
      <c r="C17" s="42">
        <v>0</v>
      </c>
      <c r="D17" s="42">
        <v>0</v>
      </c>
      <c r="E17" s="42">
        <v>1</v>
      </c>
      <c r="F17" s="42">
        <v>1</v>
      </c>
      <c r="G17" s="42">
        <v>1</v>
      </c>
      <c r="H17" s="42">
        <v>1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1</v>
      </c>
    </row>
    <row r="18" spans="1:20" x14ac:dyDescent="0.25">
      <c r="A18" s="43" t="s">
        <v>1858</v>
      </c>
      <c r="B18" s="43" t="s">
        <v>1859</v>
      </c>
      <c r="C18" s="42">
        <v>0</v>
      </c>
      <c r="D18" s="42">
        <v>0</v>
      </c>
      <c r="E18" s="42">
        <v>0</v>
      </c>
      <c r="F18" s="42">
        <v>1</v>
      </c>
      <c r="G18" s="42">
        <v>1</v>
      </c>
      <c r="H18" s="42">
        <v>1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1</v>
      </c>
    </row>
    <row r="19" spans="1:20" x14ac:dyDescent="0.25">
      <c r="A19" s="44" t="s">
        <v>56</v>
      </c>
      <c r="B19" s="44" t="s">
        <v>1860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1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</row>
    <row r="20" spans="1:20" x14ac:dyDescent="0.25">
      <c r="A20" s="44" t="s">
        <v>57</v>
      </c>
      <c r="B20" s="44" t="s">
        <v>1861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1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</row>
    <row r="21" spans="1:20" x14ac:dyDescent="0.25">
      <c r="A21" s="44" t="s">
        <v>58</v>
      </c>
      <c r="B21" s="44" t="s">
        <v>1862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1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</row>
    <row r="22" spans="1:20" x14ac:dyDescent="0.25">
      <c r="A22" s="44" t="s">
        <v>60</v>
      </c>
      <c r="B22" s="44" t="s">
        <v>1863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1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</row>
    <row r="23" spans="1:20" x14ac:dyDescent="0.25">
      <c r="A23" s="44" t="s">
        <v>61</v>
      </c>
      <c r="B23" s="44" t="s">
        <v>1864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1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</row>
    <row r="24" spans="1:20" x14ac:dyDescent="0.25">
      <c r="A24" s="44" t="s">
        <v>62</v>
      </c>
      <c r="B24" s="44" t="s">
        <v>1865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1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</row>
    <row r="25" spans="1:20" x14ac:dyDescent="0.25">
      <c r="A25" s="44" t="s">
        <v>63</v>
      </c>
      <c r="B25" s="44" t="s">
        <v>1866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1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</row>
    <row r="26" spans="1:20" x14ac:dyDescent="0.25">
      <c r="A26" s="44" t="s">
        <v>1867</v>
      </c>
      <c r="B26" s="44" t="s">
        <v>1868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1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</row>
    <row r="27" spans="1:20" x14ac:dyDescent="0.25">
      <c r="A27" s="40" t="s">
        <v>31</v>
      </c>
      <c r="B27" s="40" t="s">
        <v>1869</v>
      </c>
      <c r="C27" s="42">
        <v>0</v>
      </c>
      <c r="D27" s="42">
        <v>0</v>
      </c>
      <c r="E27" s="42">
        <v>1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</row>
    <row r="28" spans="1:20" x14ac:dyDescent="0.25">
      <c r="A28" s="40" t="s">
        <v>1832</v>
      </c>
      <c r="B28" s="40" t="s">
        <v>1831</v>
      </c>
      <c r="C28" s="42">
        <v>0</v>
      </c>
      <c r="D28" s="42">
        <v>0</v>
      </c>
      <c r="E28" s="42">
        <v>1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</row>
    <row r="29" spans="1:20" x14ac:dyDescent="0.25">
      <c r="A29" s="45" t="s">
        <v>68</v>
      </c>
      <c r="B29" s="45" t="s">
        <v>1870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1</v>
      </c>
      <c r="K29" s="42">
        <v>1</v>
      </c>
      <c r="L29" s="42">
        <v>1</v>
      </c>
      <c r="M29" s="42">
        <v>1</v>
      </c>
      <c r="N29" s="42">
        <v>1</v>
      </c>
      <c r="O29" s="42">
        <v>1</v>
      </c>
      <c r="P29" s="42">
        <v>1</v>
      </c>
      <c r="Q29" s="42">
        <v>0</v>
      </c>
      <c r="R29" s="42">
        <v>1</v>
      </c>
      <c r="S29" s="42">
        <v>1</v>
      </c>
      <c r="T29" s="42">
        <v>1</v>
      </c>
    </row>
    <row r="30" spans="1:20" x14ac:dyDescent="0.25">
      <c r="A30" s="45" t="s">
        <v>69</v>
      </c>
      <c r="B30" s="45" t="s">
        <v>1871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1</v>
      </c>
      <c r="K30" s="42">
        <v>1</v>
      </c>
      <c r="L30" s="42">
        <v>1</v>
      </c>
      <c r="M30" s="42">
        <v>1</v>
      </c>
      <c r="N30" s="42">
        <v>1</v>
      </c>
      <c r="O30" s="42">
        <v>1</v>
      </c>
      <c r="P30" s="42">
        <v>1</v>
      </c>
      <c r="Q30" s="42">
        <v>0</v>
      </c>
      <c r="R30" s="42">
        <v>0</v>
      </c>
      <c r="S30" s="42">
        <v>1</v>
      </c>
      <c r="T30" s="42">
        <v>1</v>
      </c>
    </row>
    <row r="31" spans="1:20" x14ac:dyDescent="0.25">
      <c r="A31" s="45" t="s">
        <v>81</v>
      </c>
      <c r="B31" s="45" t="s">
        <v>1872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1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1</v>
      </c>
      <c r="T31" s="42">
        <v>1</v>
      </c>
    </row>
    <row r="32" spans="1:20" x14ac:dyDescent="0.25">
      <c r="A32" s="45" t="s">
        <v>71</v>
      </c>
      <c r="B32" s="45" t="s">
        <v>1873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1</v>
      </c>
      <c r="K32" s="42">
        <v>1</v>
      </c>
      <c r="L32" s="42">
        <v>1</v>
      </c>
      <c r="M32" s="42">
        <v>1</v>
      </c>
      <c r="N32" s="42">
        <v>1</v>
      </c>
      <c r="O32" s="42">
        <v>1</v>
      </c>
      <c r="P32" s="42">
        <v>1</v>
      </c>
      <c r="Q32" s="42">
        <v>0</v>
      </c>
      <c r="R32" s="42">
        <v>1</v>
      </c>
      <c r="S32" s="42">
        <v>1</v>
      </c>
      <c r="T32" s="42">
        <v>1</v>
      </c>
    </row>
    <row r="33" spans="1:20" x14ac:dyDescent="0.25">
      <c r="A33" s="45" t="s">
        <v>92</v>
      </c>
      <c r="B33" s="45" t="s">
        <v>1874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1</v>
      </c>
      <c r="P33" s="42">
        <v>1</v>
      </c>
      <c r="Q33" s="42">
        <v>0</v>
      </c>
      <c r="R33" s="42">
        <v>0</v>
      </c>
      <c r="S33" s="42">
        <v>0</v>
      </c>
      <c r="T33" s="42">
        <v>0</v>
      </c>
    </row>
    <row r="34" spans="1:20" x14ac:dyDescent="0.25">
      <c r="A34" s="45" t="s">
        <v>73</v>
      </c>
      <c r="B34" s="45" t="s">
        <v>1875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1</v>
      </c>
      <c r="K34" s="42">
        <v>1</v>
      </c>
      <c r="L34" s="42">
        <v>1</v>
      </c>
      <c r="M34" s="42">
        <v>1</v>
      </c>
      <c r="N34" s="42">
        <v>1</v>
      </c>
      <c r="O34" s="42">
        <v>1</v>
      </c>
      <c r="P34" s="42">
        <v>1</v>
      </c>
      <c r="Q34" s="42">
        <v>0</v>
      </c>
      <c r="R34" s="42">
        <v>0</v>
      </c>
      <c r="S34" s="42">
        <v>1</v>
      </c>
      <c r="T34" s="42">
        <v>1</v>
      </c>
    </row>
    <row r="35" spans="1:20" x14ac:dyDescent="0.25">
      <c r="A35" s="45" t="s">
        <v>1876</v>
      </c>
      <c r="B35" s="45" t="s">
        <v>1877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1</v>
      </c>
      <c r="K35" s="42">
        <v>1</v>
      </c>
      <c r="L35" s="42">
        <v>1</v>
      </c>
      <c r="M35" s="43">
        <v>1</v>
      </c>
      <c r="N35" s="42">
        <v>1</v>
      </c>
      <c r="O35" s="42">
        <v>1</v>
      </c>
      <c r="P35" s="42">
        <v>1</v>
      </c>
      <c r="Q35" s="43">
        <v>0</v>
      </c>
      <c r="R35" s="42">
        <v>0</v>
      </c>
      <c r="S35" s="42">
        <v>1</v>
      </c>
      <c r="T35" s="42">
        <v>1</v>
      </c>
    </row>
    <row r="36" spans="1:20" x14ac:dyDescent="0.25">
      <c r="B36" t="s">
        <v>1878</v>
      </c>
      <c r="C36" t="str" cm="1">
        <f t="array" ref="C36">_xlfn.TEXTJOIN(", ",TRUE,IF(C$3:C$35=1,$A$3:$A$35,""))</f>
        <v>VA00, VA01, VA02, VA03, VA04, VA05, VA06, VA07</v>
      </c>
      <c r="D36" t="str" cm="1">
        <f t="array" ref="D36">_xlfn.TEXTJOIN(", ",TRUE,IF(D$3:D$35=1,$A$3:$A$35,""))</f>
        <v>VA00, VA01, VA02, VA03, VA04, VA05, VA06, VA07</v>
      </c>
      <c r="E36" t="str" cm="1">
        <f t="array" ref="E36">_xlfn.TEXTJOIN(", ",TRUE,IF(E$3:E$35=1,$A$3:$A$35,""))</f>
        <v>VC00, VC01, VC02, VC04, VC05, VC06, VC07, VE00, VE01</v>
      </c>
      <c r="F36" t="str" cm="1">
        <f t="array" ref="F36">_xlfn.TEXTJOIN(", ",TRUE,IF(F$3:F$35=1,$A$3:$A$35,""))</f>
        <v>VC00, VC01, VC02, VC04, VC05, VC06, VC07, VC08</v>
      </c>
      <c r="G36" t="str" cm="1">
        <f t="array" ref="G36">_xlfn.TEXTJOIN(", ",TRUE,IF(G$3:G$35=1,$A$3:$A$35,""))</f>
        <v>VC00, VC01, VC02, VC04, VC05, VC06, VC07, VC08</v>
      </c>
      <c r="H36" t="str" cm="1">
        <f t="array" ref="H36">_xlfn.TEXTJOIN(", ",TRUE,IF(H$3:H$35=1,$A$3:$A$35,""))</f>
        <v>VC00, VC01, VC02, VC04, VC05, VC06, VC07, VC08</v>
      </c>
      <c r="I36" t="str" cm="1">
        <f t="array" ref="I36">_xlfn.TEXTJOIN(", ",TRUE,IF(I$3:I$35=1,$A$3:$A$35,""))</f>
        <v>VD00, VD01, VD02, VD04, VD05, VD06, VD07, VD08</v>
      </c>
      <c r="J36" t="str" cm="1">
        <f t="array" ref="J36">_xlfn.TEXTJOIN(", ",TRUE,IF(J$3:J$35=1,$A$3:$A$35,""))</f>
        <v>VA02, VA04, VA06, VF00, VF01, VF04, VF06, VF08</v>
      </c>
      <c r="K36" t="str" cm="1">
        <f t="array" ref="K36">_xlfn.TEXTJOIN(", ",TRUE,IF(K$3:K$35=1,$A$3:$A$35,""))</f>
        <v>VF00, VF01, VF04, VF06, VF08</v>
      </c>
      <c r="L36" t="str" cm="1">
        <f t="array" ref="L36">_xlfn.TEXTJOIN(", ",TRUE,IF(L$3:L$35=1,$A$3:$A$35,""))</f>
        <v>VF00, VF01, VF03, VF04, VF06, VF08</v>
      </c>
      <c r="M36" t="str" cm="1">
        <f t="array" ref="M36">_xlfn.TEXTJOIN(", ",TRUE,IF(M$3:M$35=1,$A$3:$A$35,""))</f>
        <v>VA00, VA01, VA02, VA03, VA04, VA05, VA06, VA07, VF00, VF01, VF04, VF06, VF08</v>
      </c>
      <c r="N36" t="str" cm="1">
        <f t="array" ref="N36">_xlfn.TEXTJOIN(", ",TRUE,IF(N$3:N$35=1,$A$3:$A$35,""))</f>
        <v>VF00, VF01, VF04, VF06, VF08</v>
      </c>
      <c r="O36" t="str" cm="1">
        <f t="array" ref="O36">_xlfn.TEXTJOIN(", ",TRUE,IF(O$3:O$35=1,$A$3:$A$35,""))</f>
        <v>VA02, VA04, VA06, VF00, VF01, VF04, VF05, VF06, VF08</v>
      </c>
      <c r="P36" t="str" cm="1">
        <f t="array" ref="P36">_xlfn.TEXTJOIN(", ",TRUE,IF(P$3:P$35=1,$A$3:$A$35,""))</f>
        <v>VF00, VF01, VF04, VF05, VF06, VF08</v>
      </c>
      <c r="Q36" t="str" cm="1">
        <f t="array" ref="Q36">_xlfn.TEXTJOIN(", ",TRUE,IF(Q$3:Q$35=1,$A$3:$A$35,""))</f>
        <v>VA00, VA01, VA02, VA03, VA04, VA05, VA06, VA07</v>
      </c>
      <c r="R36" t="str" cm="1">
        <f t="array" ref="R36">_xlfn.TEXTJOIN(", ",TRUE,IF(R$3:R$35=1,$A$3:$A$35,""))</f>
        <v>VF00, VF04</v>
      </c>
      <c r="S36" t="str" cm="1">
        <f t="array" ref="S36">_xlfn.TEXTJOIN(", ",TRUE,IF(S$3:S$35=1,$A$3:$A$35,""))</f>
        <v>VF00, VF01, VF03, VF04, VF06, VF08</v>
      </c>
      <c r="T36" t="str" cm="1">
        <f t="array" ref="T36">_xlfn.TEXTJOIN(", ",TRUE,IF(T$3:T$35=1,$A$3:$A$35,""))</f>
        <v>VA00, VA01, VA02, VA03, VA04, VA05, VA06, VA07, VC00, VC01, VC02, VC04, VC05, VC06, VC07, VC08, VF00, VF01, VF03, VF04, VF06, VF08</v>
      </c>
    </row>
    <row r="37" spans="1:20" x14ac:dyDescent="0.25">
      <c r="C37" t="s">
        <v>1879</v>
      </c>
      <c r="D37" t="s">
        <v>1879</v>
      </c>
      <c r="E37" t="s">
        <v>1880</v>
      </c>
      <c r="F37" t="s">
        <v>1881</v>
      </c>
      <c r="G37" t="s">
        <v>1881</v>
      </c>
      <c r="H37" t="s">
        <v>1881</v>
      </c>
      <c r="I37" t="s">
        <v>1882</v>
      </c>
      <c r="J37" t="s">
        <v>1883</v>
      </c>
      <c r="K37" t="s">
        <v>1884</v>
      </c>
      <c r="L37" t="s">
        <v>1885</v>
      </c>
      <c r="M37" t="s">
        <v>1886</v>
      </c>
      <c r="N37" t="s">
        <v>1884</v>
      </c>
      <c r="O37" t="s">
        <v>1887</v>
      </c>
      <c r="P37" t="s">
        <v>1887</v>
      </c>
      <c r="Q37" t="s">
        <v>1879</v>
      </c>
      <c r="R37" t="s">
        <v>1888</v>
      </c>
      <c r="S37" t="s">
        <v>1885</v>
      </c>
      <c r="T37" t="s">
        <v>1889</v>
      </c>
    </row>
    <row r="38" spans="1:20" x14ac:dyDescent="0.25">
      <c r="B38" t="s">
        <v>1890</v>
      </c>
    </row>
    <row r="39" spans="1:20" x14ac:dyDescent="0.25">
      <c r="B39" t="s">
        <v>1891</v>
      </c>
    </row>
    <row r="40" spans="1:20" x14ac:dyDescent="0.25">
      <c r="B40" t="s">
        <v>1892</v>
      </c>
    </row>
    <row r="42" spans="1:20" x14ac:dyDescent="0.25">
      <c r="B42" t="s">
        <v>1893</v>
      </c>
    </row>
  </sheetData>
  <autoFilter ref="A1:T40" xr:uid="{E1D1C56A-9D00-4D3A-BF33-3506D864F171}"/>
  <conditionalFormatting sqref="C3:T35">
    <cfRule type="cellIs" dxfId="4" priority="1" operator="equal">
      <formula>0</formula>
    </cfRule>
    <cfRule type="cellIs" dxfId="3" priority="2" operator="equal">
      <formula>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7851-C97C-44EE-88FD-55BD763152B8}">
  <dimension ref="A1:H45"/>
  <sheetViews>
    <sheetView workbookViewId="0">
      <selection activeCell="A38" sqref="A38"/>
    </sheetView>
  </sheetViews>
  <sheetFormatPr baseColWidth="10" defaultColWidth="11.42578125" defaultRowHeight="15" x14ac:dyDescent="0.25"/>
  <cols>
    <col min="1" max="1" width="10.5703125" bestFit="1" customWidth="1"/>
    <col min="2" max="2" width="29.5703125" bestFit="1" customWidth="1"/>
    <col min="4" max="4" width="20.42578125" bestFit="1" customWidth="1"/>
    <col min="7" max="7" width="42.140625" bestFit="1" customWidth="1"/>
  </cols>
  <sheetData>
    <row r="1" spans="1:8" x14ac:dyDescent="0.25">
      <c r="A1" s="3" t="s">
        <v>1894</v>
      </c>
      <c r="B1" s="3" t="s">
        <v>1895</v>
      </c>
      <c r="D1" s="1" t="s">
        <v>3</v>
      </c>
      <c r="E1" t="s">
        <v>1896</v>
      </c>
      <c r="G1" s="7" t="s">
        <v>1897</v>
      </c>
      <c r="H1" s="7" t="s">
        <v>4</v>
      </c>
    </row>
    <row r="2" spans="1:8" x14ac:dyDescent="0.25">
      <c r="A2" s="4" t="s">
        <v>10</v>
      </c>
      <c r="B2" s="5" t="s">
        <v>1898</v>
      </c>
      <c r="D2" s="2" t="s">
        <v>67</v>
      </c>
      <c r="E2" t="s">
        <v>68</v>
      </c>
      <c r="G2" t="s">
        <v>1899</v>
      </c>
      <c r="H2" t="s">
        <v>68</v>
      </c>
    </row>
    <row r="3" spans="1:8" x14ac:dyDescent="0.25">
      <c r="A3" s="4" t="s">
        <v>12</v>
      </c>
      <c r="B3" s="5" t="s">
        <v>1900</v>
      </c>
      <c r="D3" s="2" t="s">
        <v>9</v>
      </c>
      <c r="E3" t="s">
        <v>10</v>
      </c>
      <c r="G3" t="s">
        <v>1901</v>
      </c>
      <c r="H3" t="s">
        <v>69</v>
      </c>
    </row>
    <row r="4" spans="1:8" x14ac:dyDescent="0.25">
      <c r="A4" s="4" t="s">
        <v>14</v>
      </c>
      <c r="B4" s="5" t="s">
        <v>1902</v>
      </c>
      <c r="D4" s="2" t="s">
        <v>34</v>
      </c>
      <c r="E4" t="s">
        <v>35</v>
      </c>
      <c r="G4" t="s">
        <v>1903</v>
      </c>
      <c r="H4" t="s">
        <v>69</v>
      </c>
    </row>
    <row r="5" spans="1:8" x14ac:dyDescent="0.25">
      <c r="A5" s="4" t="s">
        <v>16</v>
      </c>
      <c r="B5" s="5" t="s">
        <v>1904</v>
      </c>
      <c r="D5" s="2" t="s">
        <v>55</v>
      </c>
      <c r="E5" t="s">
        <v>56</v>
      </c>
      <c r="G5" t="s">
        <v>1905</v>
      </c>
      <c r="H5" t="s">
        <v>81</v>
      </c>
    </row>
    <row r="6" spans="1:8" ht="15.75" thickBot="1" x14ac:dyDescent="0.3">
      <c r="A6" s="4" t="s">
        <v>18</v>
      </c>
      <c r="B6" s="5" t="s">
        <v>1906</v>
      </c>
      <c r="D6" s="6" t="s">
        <v>30</v>
      </c>
      <c r="E6" t="s">
        <v>31</v>
      </c>
      <c r="G6" t="s">
        <v>1907</v>
      </c>
      <c r="H6" t="s">
        <v>71</v>
      </c>
    </row>
    <row r="7" spans="1:8" x14ac:dyDescent="0.25">
      <c r="A7" s="4" t="s">
        <v>20</v>
      </c>
      <c r="B7" s="5" t="s">
        <v>1908</v>
      </c>
      <c r="G7" t="s">
        <v>1909</v>
      </c>
      <c r="H7" t="s">
        <v>92</v>
      </c>
    </row>
    <row r="8" spans="1:8" x14ac:dyDescent="0.25">
      <c r="A8" s="4" t="s">
        <v>22</v>
      </c>
      <c r="B8" s="5" t="s">
        <v>1910</v>
      </c>
      <c r="G8" t="s">
        <v>1911</v>
      </c>
      <c r="H8" t="s">
        <v>73</v>
      </c>
    </row>
    <row r="9" spans="1:8" x14ac:dyDescent="0.25">
      <c r="A9" s="4" t="s">
        <v>1849</v>
      </c>
      <c r="B9" s="5" t="s">
        <v>1912</v>
      </c>
      <c r="G9" t="s">
        <v>1913</v>
      </c>
      <c r="H9" t="s">
        <v>94</v>
      </c>
    </row>
    <row r="10" spans="1:8" x14ac:dyDescent="0.25">
      <c r="A10" s="4" t="s">
        <v>1914</v>
      </c>
      <c r="B10" s="5" t="s">
        <v>1915</v>
      </c>
      <c r="G10" t="s">
        <v>1916</v>
      </c>
      <c r="H10" t="s">
        <v>68</v>
      </c>
    </row>
    <row r="11" spans="1:8" x14ac:dyDescent="0.25">
      <c r="A11" s="4" t="s">
        <v>1917</v>
      </c>
      <c r="B11" s="5" t="s">
        <v>1918</v>
      </c>
      <c r="G11" t="s">
        <v>1919</v>
      </c>
      <c r="H11" t="s">
        <v>10</v>
      </c>
    </row>
    <row r="12" spans="1:8" x14ac:dyDescent="0.25">
      <c r="A12" s="4" t="s">
        <v>35</v>
      </c>
      <c r="B12" s="5" t="s">
        <v>1920</v>
      </c>
      <c r="G12" t="s">
        <v>1921</v>
      </c>
      <c r="H12" t="s">
        <v>12</v>
      </c>
    </row>
    <row r="13" spans="1:8" x14ac:dyDescent="0.25">
      <c r="A13" s="4" t="s">
        <v>36</v>
      </c>
      <c r="B13" s="5" t="s">
        <v>1922</v>
      </c>
      <c r="G13" t="s">
        <v>1923</v>
      </c>
      <c r="H13" t="s">
        <v>14</v>
      </c>
    </row>
    <row r="14" spans="1:8" x14ac:dyDescent="0.25">
      <c r="A14" s="4" t="s">
        <v>37</v>
      </c>
      <c r="B14" s="5" t="s">
        <v>1924</v>
      </c>
      <c r="G14" t="s">
        <v>1925</v>
      </c>
      <c r="H14" t="s">
        <v>16</v>
      </c>
    </row>
    <row r="15" spans="1:8" x14ac:dyDescent="0.25">
      <c r="A15" s="4" t="s">
        <v>38</v>
      </c>
      <c r="B15" s="5" t="s">
        <v>1926</v>
      </c>
      <c r="G15" t="s">
        <v>1927</v>
      </c>
      <c r="H15" t="s">
        <v>18</v>
      </c>
    </row>
    <row r="16" spans="1:8" x14ac:dyDescent="0.25">
      <c r="A16" s="4" t="s">
        <v>39</v>
      </c>
      <c r="B16" s="5" t="s">
        <v>1928</v>
      </c>
      <c r="G16" t="s">
        <v>1929</v>
      </c>
      <c r="H16" t="s">
        <v>20</v>
      </c>
    </row>
    <row r="17" spans="1:8" x14ac:dyDescent="0.25">
      <c r="A17" s="4" t="s">
        <v>40</v>
      </c>
      <c r="B17" s="5" t="s">
        <v>1930</v>
      </c>
      <c r="G17" t="s">
        <v>1931</v>
      </c>
      <c r="H17" t="s">
        <v>22</v>
      </c>
    </row>
    <row r="18" spans="1:8" x14ac:dyDescent="0.25">
      <c r="A18" s="4" t="s">
        <v>41</v>
      </c>
      <c r="B18" s="5" t="s">
        <v>1932</v>
      </c>
      <c r="G18" t="s">
        <v>1933</v>
      </c>
      <c r="H18" t="s">
        <v>10</v>
      </c>
    </row>
    <row r="19" spans="1:8" x14ac:dyDescent="0.25">
      <c r="A19" s="4" t="s">
        <v>42</v>
      </c>
      <c r="B19" s="5" t="s">
        <v>1934</v>
      </c>
      <c r="G19" t="s">
        <v>1935</v>
      </c>
      <c r="H19" t="s">
        <v>35</v>
      </c>
    </row>
    <row r="20" spans="1:8" x14ac:dyDescent="0.25">
      <c r="A20" s="4" t="s">
        <v>1858</v>
      </c>
      <c r="B20" s="5" t="s">
        <v>1936</v>
      </c>
      <c r="G20" t="s">
        <v>1937</v>
      </c>
      <c r="H20" t="s">
        <v>36</v>
      </c>
    </row>
    <row r="21" spans="1:8" x14ac:dyDescent="0.25">
      <c r="A21" s="4" t="s">
        <v>56</v>
      </c>
      <c r="B21" s="5" t="s">
        <v>1938</v>
      </c>
      <c r="G21" t="s">
        <v>1939</v>
      </c>
      <c r="H21" t="s">
        <v>37</v>
      </c>
    </row>
    <row r="22" spans="1:8" x14ac:dyDescent="0.25">
      <c r="A22" s="4" t="s">
        <v>57</v>
      </c>
      <c r="B22" s="5" t="s">
        <v>1940</v>
      </c>
      <c r="G22" t="s">
        <v>1941</v>
      </c>
      <c r="H22" t="s">
        <v>38</v>
      </c>
    </row>
    <row r="23" spans="1:8" x14ac:dyDescent="0.25">
      <c r="A23" s="4" t="s">
        <v>58</v>
      </c>
      <c r="B23" s="5" t="s">
        <v>1942</v>
      </c>
      <c r="G23" t="s">
        <v>1943</v>
      </c>
      <c r="H23" t="s">
        <v>39</v>
      </c>
    </row>
    <row r="24" spans="1:8" x14ac:dyDescent="0.25">
      <c r="A24" s="4" t="s">
        <v>59</v>
      </c>
      <c r="B24" s="5" t="s">
        <v>1944</v>
      </c>
      <c r="G24" t="s">
        <v>1945</v>
      </c>
      <c r="H24" t="s">
        <v>40</v>
      </c>
    </row>
    <row r="25" spans="1:8" x14ac:dyDescent="0.25">
      <c r="A25" s="4" t="s">
        <v>60</v>
      </c>
      <c r="B25" s="5" t="s">
        <v>1946</v>
      </c>
      <c r="G25" t="s">
        <v>1947</v>
      </c>
      <c r="H25" t="s">
        <v>41</v>
      </c>
    </row>
    <row r="26" spans="1:8" x14ac:dyDescent="0.25">
      <c r="A26" s="4" t="s">
        <v>61</v>
      </c>
      <c r="B26" s="5" t="s">
        <v>1948</v>
      </c>
      <c r="G26" t="s">
        <v>1949</v>
      </c>
      <c r="H26" t="s">
        <v>42</v>
      </c>
    </row>
    <row r="27" spans="1:8" x14ac:dyDescent="0.25">
      <c r="A27" s="4" t="s">
        <v>62</v>
      </c>
      <c r="B27" s="5" t="s">
        <v>1950</v>
      </c>
      <c r="G27" t="s">
        <v>1951</v>
      </c>
      <c r="H27" t="s">
        <v>35</v>
      </c>
    </row>
    <row r="28" spans="1:8" x14ac:dyDescent="0.25">
      <c r="A28" s="4" t="s">
        <v>63</v>
      </c>
      <c r="B28" s="5" t="s">
        <v>1952</v>
      </c>
      <c r="G28" t="s">
        <v>1953</v>
      </c>
      <c r="H28" t="s">
        <v>56</v>
      </c>
    </row>
    <row r="29" spans="1:8" x14ac:dyDescent="0.25">
      <c r="A29" s="4" t="s">
        <v>1867</v>
      </c>
      <c r="B29" s="5" t="s">
        <v>1954</v>
      </c>
      <c r="G29" t="s">
        <v>1955</v>
      </c>
      <c r="H29" t="s">
        <v>57</v>
      </c>
    </row>
    <row r="30" spans="1:8" x14ac:dyDescent="0.25">
      <c r="A30" s="4" t="s">
        <v>31</v>
      </c>
      <c r="B30" s="5" t="s">
        <v>1956</v>
      </c>
      <c r="G30" t="s">
        <v>1957</v>
      </c>
      <c r="H30" t="s">
        <v>58</v>
      </c>
    </row>
    <row r="31" spans="1:8" x14ac:dyDescent="0.25">
      <c r="A31" s="4" t="s">
        <v>1832</v>
      </c>
      <c r="B31" s="5" t="s">
        <v>1958</v>
      </c>
      <c r="G31" t="s">
        <v>1959</v>
      </c>
      <c r="H31" t="s">
        <v>59</v>
      </c>
    </row>
    <row r="32" spans="1:8" x14ac:dyDescent="0.25">
      <c r="A32" s="4" t="s">
        <v>68</v>
      </c>
      <c r="B32" s="5" t="s">
        <v>1960</v>
      </c>
      <c r="G32" t="s">
        <v>1961</v>
      </c>
      <c r="H32" t="s">
        <v>60</v>
      </c>
    </row>
    <row r="33" spans="1:8" x14ac:dyDescent="0.25">
      <c r="A33" s="4" t="s">
        <v>69</v>
      </c>
      <c r="B33" s="5" t="s">
        <v>1962</v>
      </c>
      <c r="G33" t="s">
        <v>1963</v>
      </c>
      <c r="H33" t="s">
        <v>61</v>
      </c>
    </row>
    <row r="34" spans="1:8" x14ac:dyDescent="0.25">
      <c r="A34" s="4" t="s">
        <v>81</v>
      </c>
      <c r="B34" s="5" t="s">
        <v>1964</v>
      </c>
      <c r="G34" t="s">
        <v>1965</v>
      </c>
      <c r="H34" t="s">
        <v>62</v>
      </c>
    </row>
    <row r="35" spans="1:8" x14ac:dyDescent="0.25">
      <c r="A35" s="4" t="s">
        <v>71</v>
      </c>
      <c r="B35" s="5" t="s">
        <v>1966</v>
      </c>
      <c r="G35" t="s">
        <v>1967</v>
      </c>
      <c r="H35" t="s">
        <v>63</v>
      </c>
    </row>
    <row r="36" spans="1:8" x14ac:dyDescent="0.25">
      <c r="A36" s="4" t="s">
        <v>92</v>
      </c>
      <c r="B36" s="5" t="s">
        <v>1968</v>
      </c>
      <c r="G36" t="s">
        <v>1969</v>
      </c>
      <c r="H36" t="s">
        <v>56</v>
      </c>
    </row>
    <row r="37" spans="1:8" x14ac:dyDescent="0.25">
      <c r="A37" s="4" t="s">
        <v>73</v>
      </c>
      <c r="B37" s="5" t="s">
        <v>1970</v>
      </c>
      <c r="G37" t="s">
        <v>1971</v>
      </c>
      <c r="H37" t="s">
        <v>31</v>
      </c>
    </row>
    <row r="38" spans="1:8" x14ac:dyDescent="0.25">
      <c r="A38" s="4" t="s">
        <v>94</v>
      </c>
      <c r="B38" s="5" t="s">
        <v>1972</v>
      </c>
      <c r="G38" t="s">
        <v>1973</v>
      </c>
      <c r="H38" t="s">
        <v>31</v>
      </c>
    </row>
    <row r="39" spans="1:8" x14ac:dyDescent="0.25">
      <c r="A39" s="4" t="s">
        <v>1876</v>
      </c>
      <c r="B39" s="5" t="s">
        <v>1974</v>
      </c>
      <c r="C39" t="s">
        <v>1975</v>
      </c>
      <c r="G39" t="s">
        <v>1976</v>
      </c>
      <c r="H39" t="s">
        <v>1832</v>
      </c>
    </row>
    <row r="40" spans="1:8" x14ac:dyDescent="0.25">
      <c r="A40" s="4" t="s">
        <v>1977</v>
      </c>
      <c r="B40" s="5" t="s">
        <v>1978</v>
      </c>
      <c r="C40" t="s">
        <v>1975</v>
      </c>
      <c r="G40" t="s">
        <v>1979</v>
      </c>
      <c r="H40" t="s">
        <v>1832</v>
      </c>
    </row>
    <row r="41" spans="1:8" x14ac:dyDescent="0.25">
      <c r="G41" t="s">
        <v>1980</v>
      </c>
      <c r="H41" t="s">
        <v>1832</v>
      </c>
    </row>
    <row r="42" spans="1:8" x14ac:dyDescent="0.25">
      <c r="G42" t="s">
        <v>1981</v>
      </c>
      <c r="H42" t="s">
        <v>1832</v>
      </c>
    </row>
    <row r="43" spans="1:8" x14ac:dyDescent="0.25">
      <c r="G43" t="s">
        <v>1982</v>
      </c>
      <c r="H43" t="s">
        <v>1832</v>
      </c>
    </row>
    <row r="44" spans="1:8" x14ac:dyDescent="0.25">
      <c r="G44" t="s">
        <v>1983</v>
      </c>
      <c r="H44" t="s">
        <v>1832</v>
      </c>
    </row>
    <row r="45" spans="1:8" x14ac:dyDescent="0.25">
      <c r="G45" t="s">
        <v>1984</v>
      </c>
      <c r="H45" t="s">
        <v>1832</v>
      </c>
    </row>
  </sheetData>
  <autoFilter ref="A1:B40" xr:uid="{45CC7851-C97C-44EE-88FD-55BD763152B8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B8A4-4755-4BA8-8FE2-88E1BECF3B62}">
  <dimension ref="A1:N89"/>
  <sheetViews>
    <sheetView topLeftCell="A10" workbookViewId="0">
      <selection activeCell="F20" sqref="F20"/>
    </sheetView>
  </sheetViews>
  <sheetFormatPr baseColWidth="10" defaultColWidth="11.42578125" defaultRowHeight="15" x14ac:dyDescent="0.25"/>
  <cols>
    <col min="2" max="2" width="41.28515625" bestFit="1" customWidth="1"/>
    <col min="3" max="3" width="22.85546875" bestFit="1" customWidth="1"/>
    <col min="5" max="5" width="22.85546875" bestFit="1" customWidth="1"/>
    <col min="6" max="6" width="11.42578125" style="11"/>
    <col min="12" max="12" width="22.85546875" bestFit="1" customWidth="1"/>
    <col min="13" max="14" width="22.85546875" customWidth="1"/>
  </cols>
  <sheetData>
    <row r="1" spans="1:14" ht="15.75" x14ac:dyDescent="0.25">
      <c r="A1" s="12" t="s">
        <v>1985</v>
      </c>
      <c r="B1" s="12" t="s">
        <v>1986</v>
      </c>
      <c r="C1" s="12" t="s">
        <v>1987</v>
      </c>
      <c r="D1" s="12"/>
      <c r="E1" s="13" t="s">
        <v>1988</v>
      </c>
      <c r="F1" s="14" t="s">
        <v>1989</v>
      </c>
      <c r="G1" s="12"/>
      <c r="H1" s="12"/>
      <c r="I1" s="12"/>
      <c r="L1" s="8" t="s">
        <v>2</v>
      </c>
      <c r="M1" s="8" t="s">
        <v>1</v>
      </c>
      <c r="N1" s="8" t="s">
        <v>0</v>
      </c>
    </row>
    <row r="2" spans="1:14" x14ac:dyDescent="0.25">
      <c r="A2" s="12" t="s">
        <v>6</v>
      </c>
      <c r="B2" s="12" t="s">
        <v>1990</v>
      </c>
      <c r="C2" s="12" t="s">
        <v>1991</v>
      </c>
      <c r="D2" s="12"/>
      <c r="E2" s="15" t="s">
        <v>1992</v>
      </c>
      <c r="F2" s="16" t="s">
        <v>1993</v>
      </c>
      <c r="G2" s="12"/>
      <c r="H2" s="13" t="s">
        <v>1994</v>
      </c>
      <c r="I2" s="13" t="s">
        <v>1995</v>
      </c>
      <c r="L2" s="2" t="s">
        <v>90</v>
      </c>
      <c r="M2" s="2" t="s">
        <v>89</v>
      </c>
      <c r="N2" s="2" t="s">
        <v>88</v>
      </c>
    </row>
    <row r="3" spans="1:14" x14ac:dyDescent="0.25">
      <c r="A3" s="12" t="s">
        <v>1996</v>
      </c>
      <c r="B3" s="12" t="s">
        <v>1997</v>
      </c>
      <c r="C3" s="12" t="s">
        <v>1998</v>
      </c>
      <c r="D3" s="12"/>
      <c r="E3" s="17" t="s">
        <v>1999</v>
      </c>
      <c r="F3" s="18" t="s">
        <v>2000</v>
      </c>
      <c r="G3" s="12"/>
      <c r="H3" s="15" t="s">
        <v>2001</v>
      </c>
      <c r="I3" s="15">
        <v>10</v>
      </c>
      <c r="L3" s="2" t="s">
        <v>80</v>
      </c>
      <c r="M3" s="2" t="s">
        <v>79</v>
      </c>
      <c r="N3" s="2" t="s">
        <v>78</v>
      </c>
    </row>
    <row r="4" spans="1:14" x14ac:dyDescent="0.25">
      <c r="A4" s="12" t="s">
        <v>2002</v>
      </c>
      <c r="B4" s="12" t="s">
        <v>2003</v>
      </c>
      <c r="C4" s="12" t="s">
        <v>2004</v>
      </c>
      <c r="D4" s="12"/>
      <c r="E4" s="17" t="s">
        <v>2005</v>
      </c>
      <c r="F4" s="18" t="s">
        <v>2006</v>
      </c>
      <c r="G4" s="12"/>
      <c r="H4" s="15" t="s">
        <v>2007</v>
      </c>
      <c r="I4" s="15">
        <v>20</v>
      </c>
      <c r="L4" s="2" t="s">
        <v>105</v>
      </c>
      <c r="M4" s="2" t="s">
        <v>104</v>
      </c>
      <c r="N4" s="2" t="s">
        <v>99</v>
      </c>
    </row>
    <row r="5" spans="1:14" x14ac:dyDescent="0.25">
      <c r="A5" s="12" t="s">
        <v>2008</v>
      </c>
      <c r="B5" s="12" t="s">
        <v>2009</v>
      </c>
      <c r="C5" s="12" t="s">
        <v>2010</v>
      </c>
      <c r="D5" s="12"/>
      <c r="E5" s="17" t="s">
        <v>2011</v>
      </c>
      <c r="F5" s="18" t="s">
        <v>2012</v>
      </c>
      <c r="G5" s="12"/>
      <c r="H5" s="12"/>
      <c r="I5" s="12"/>
      <c r="L5" s="2" t="s">
        <v>84</v>
      </c>
      <c r="M5" s="2" t="s">
        <v>7</v>
      </c>
      <c r="N5" s="2" t="s">
        <v>83</v>
      </c>
    </row>
    <row r="6" spans="1:14" x14ac:dyDescent="0.25">
      <c r="A6" s="12" t="s">
        <v>2013</v>
      </c>
      <c r="B6" s="12" t="s">
        <v>2014</v>
      </c>
      <c r="C6" s="12" t="s">
        <v>2014</v>
      </c>
      <c r="D6" s="12"/>
      <c r="E6" s="17" t="s">
        <v>2015</v>
      </c>
      <c r="F6" s="18" t="s">
        <v>2016</v>
      </c>
      <c r="G6" s="12"/>
      <c r="H6" s="12"/>
      <c r="I6" s="12"/>
      <c r="L6" s="2" t="s">
        <v>98</v>
      </c>
      <c r="M6" s="2" t="s">
        <v>97</v>
      </c>
      <c r="N6" s="2" t="s">
        <v>96</v>
      </c>
    </row>
    <row r="7" spans="1:14" x14ac:dyDescent="0.25">
      <c r="A7" s="12" t="s">
        <v>24</v>
      </c>
      <c r="B7" s="12" t="s">
        <v>2017</v>
      </c>
      <c r="C7" s="12" t="s">
        <v>2018</v>
      </c>
      <c r="D7" s="12"/>
      <c r="E7" s="19" t="s">
        <v>2019</v>
      </c>
      <c r="F7" s="20" t="s">
        <v>7</v>
      </c>
      <c r="G7" s="12"/>
      <c r="H7" s="12"/>
      <c r="I7" s="12"/>
      <c r="L7" s="2" t="s">
        <v>66</v>
      </c>
      <c r="M7" s="2" t="s">
        <v>65</v>
      </c>
      <c r="N7" s="2" t="s">
        <v>64</v>
      </c>
    </row>
    <row r="8" spans="1:14" x14ac:dyDescent="0.25">
      <c r="A8" s="12" t="s">
        <v>2020</v>
      </c>
      <c r="B8" s="12" t="s">
        <v>2021</v>
      </c>
      <c r="C8" s="12" t="s">
        <v>2022</v>
      </c>
      <c r="D8" s="12"/>
      <c r="E8" s="15" t="s">
        <v>2023</v>
      </c>
      <c r="F8" s="18" t="s">
        <v>2024</v>
      </c>
      <c r="G8" s="12"/>
      <c r="H8" s="12"/>
      <c r="I8" s="12"/>
      <c r="L8" s="2" t="s">
        <v>87</v>
      </c>
      <c r="M8" s="2" t="s">
        <v>86</v>
      </c>
      <c r="N8" s="2" t="s">
        <v>85</v>
      </c>
    </row>
    <row r="9" spans="1:14" x14ac:dyDescent="0.25">
      <c r="A9" s="12" t="s">
        <v>2025</v>
      </c>
      <c r="B9" s="12" t="s">
        <v>2026</v>
      </c>
      <c r="C9" s="12" t="s">
        <v>2027</v>
      </c>
      <c r="D9" s="12"/>
      <c r="E9" s="17" t="s">
        <v>98</v>
      </c>
      <c r="F9" s="18" t="s">
        <v>97</v>
      </c>
      <c r="G9" s="12"/>
      <c r="H9" s="12"/>
      <c r="I9" s="12"/>
      <c r="L9" s="2" t="s">
        <v>77</v>
      </c>
      <c r="M9" s="2" t="s">
        <v>76</v>
      </c>
      <c r="N9" s="2" t="s">
        <v>75</v>
      </c>
    </row>
    <row r="10" spans="1:14" x14ac:dyDescent="0.25">
      <c r="A10" s="12" t="s">
        <v>2028</v>
      </c>
      <c r="B10" s="12" t="s">
        <v>2029</v>
      </c>
      <c r="C10" s="12" t="s">
        <v>2030</v>
      </c>
      <c r="D10" s="12"/>
      <c r="E10" s="17" t="s">
        <v>2031</v>
      </c>
      <c r="F10" s="18" t="s">
        <v>47</v>
      </c>
      <c r="G10" s="12"/>
      <c r="H10" s="12"/>
      <c r="I10" s="12"/>
      <c r="L10" s="2" t="s">
        <v>101</v>
      </c>
      <c r="M10" s="2" t="s">
        <v>100</v>
      </c>
      <c r="N10" s="2" t="s">
        <v>99</v>
      </c>
    </row>
    <row r="11" spans="1:14" x14ac:dyDescent="0.25">
      <c r="A11" s="12" t="s">
        <v>27</v>
      </c>
      <c r="B11" s="12" t="s">
        <v>2032</v>
      </c>
      <c r="C11" s="12" t="s">
        <v>2033</v>
      </c>
      <c r="D11" s="12"/>
      <c r="E11" s="17" t="s">
        <v>45</v>
      </c>
      <c r="F11" s="18" t="s">
        <v>44</v>
      </c>
      <c r="G11" s="12"/>
      <c r="H11" s="12"/>
      <c r="I11" s="12"/>
      <c r="L11" t="s">
        <v>103</v>
      </c>
      <c r="M11" t="s">
        <v>102</v>
      </c>
      <c r="N11" t="s">
        <v>99</v>
      </c>
    </row>
    <row r="12" spans="1:14" x14ac:dyDescent="0.25">
      <c r="A12" s="12" t="s">
        <v>2034</v>
      </c>
      <c r="B12" s="12" t="s">
        <v>2035</v>
      </c>
      <c r="C12" s="12" t="s">
        <v>2036</v>
      </c>
      <c r="D12" s="12"/>
      <c r="E12" s="17" t="s">
        <v>26</v>
      </c>
      <c r="F12" s="18" t="s">
        <v>25</v>
      </c>
      <c r="G12" s="12"/>
      <c r="H12" s="12"/>
      <c r="I12" s="12"/>
      <c r="L12" t="s">
        <v>8</v>
      </c>
      <c r="M12" t="s">
        <v>7</v>
      </c>
      <c r="N12" t="s">
        <v>6</v>
      </c>
    </row>
    <row r="13" spans="1:14" x14ac:dyDescent="0.25">
      <c r="A13" s="12" t="s">
        <v>43</v>
      </c>
      <c r="B13" s="12" t="s">
        <v>2037</v>
      </c>
      <c r="C13" s="12" t="s">
        <v>2038</v>
      </c>
      <c r="D13" s="12"/>
      <c r="E13" s="17" t="s">
        <v>101</v>
      </c>
      <c r="F13" s="18" t="s">
        <v>100</v>
      </c>
      <c r="G13" s="12"/>
      <c r="H13" s="12"/>
      <c r="I13" s="12"/>
      <c r="L13" t="s">
        <v>26</v>
      </c>
      <c r="M13" t="s">
        <v>25</v>
      </c>
      <c r="N13" t="s">
        <v>24</v>
      </c>
    </row>
    <row r="14" spans="1:14" x14ac:dyDescent="0.25">
      <c r="A14" s="12" t="s">
        <v>2039</v>
      </c>
      <c r="B14" s="12" t="s">
        <v>2037</v>
      </c>
      <c r="C14" s="12" t="s">
        <v>2040</v>
      </c>
      <c r="D14" s="12"/>
      <c r="E14" s="17" t="s">
        <v>66</v>
      </c>
      <c r="F14" s="18" t="s">
        <v>65</v>
      </c>
      <c r="G14" s="12"/>
      <c r="H14" s="12"/>
      <c r="I14" s="12"/>
      <c r="L14" t="s">
        <v>45</v>
      </c>
      <c r="M14" t="s">
        <v>44</v>
      </c>
      <c r="N14" t="s">
        <v>43</v>
      </c>
    </row>
    <row r="15" spans="1:14" x14ac:dyDescent="0.25">
      <c r="A15" s="12" t="s">
        <v>46</v>
      </c>
      <c r="B15" s="12" t="s">
        <v>2041</v>
      </c>
      <c r="C15" s="12" t="s">
        <v>48</v>
      </c>
      <c r="D15" s="12"/>
      <c r="E15" s="17" t="s">
        <v>80</v>
      </c>
      <c r="F15" s="18" t="s">
        <v>79</v>
      </c>
      <c r="G15" s="12"/>
      <c r="H15" s="12"/>
      <c r="I15" s="12"/>
      <c r="L15" t="s">
        <v>48</v>
      </c>
      <c r="M15" t="s">
        <v>47</v>
      </c>
      <c r="N15" t="s">
        <v>46</v>
      </c>
    </row>
    <row r="16" spans="1:14" x14ac:dyDescent="0.25">
      <c r="A16" s="12" t="s">
        <v>49</v>
      </c>
      <c r="B16" s="12" t="s">
        <v>2042</v>
      </c>
      <c r="C16" s="12" t="s">
        <v>2043</v>
      </c>
      <c r="D16" s="12"/>
      <c r="E16" s="17" t="s">
        <v>54</v>
      </c>
      <c r="F16" s="18" t="s">
        <v>53</v>
      </c>
      <c r="G16" s="12"/>
      <c r="H16" s="12"/>
      <c r="I16" s="12"/>
      <c r="L16" t="s">
        <v>51</v>
      </c>
      <c r="M16" t="s">
        <v>50</v>
      </c>
      <c r="N16" t="s">
        <v>49</v>
      </c>
    </row>
    <row r="17" spans="1:14" x14ac:dyDescent="0.25">
      <c r="A17" s="12" t="s">
        <v>52</v>
      </c>
      <c r="B17" s="12" t="s">
        <v>2044</v>
      </c>
      <c r="C17" s="12" t="s">
        <v>2045</v>
      </c>
      <c r="D17" s="12"/>
      <c r="E17" s="17" t="s">
        <v>87</v>
      </c>
      <c r="F17" s="18" t="s">
        <v>86</v>
      </c>
      <c r="G17" s="12"/>
      <c r="H17" s="12"/>
      <c r="I17" s="12"/>
      <c r="L17" t="s">
        <v>29</v>
      </c>
      <c r="M17" t="s">
        <v>28</v>
      </c>
      <c r="N17" t="s">
        <v>27</v>
      </c>
    </row>
    <row r="18" spans="1:14" x14ac:dyDescent="0.25">
      <c r="A18" s="12" t="s">
        <v>2046</v>
      </c>
      <c r="B18" s="12" t="s">
        <v>2044</v>
      </c>
      <c r="C18" s="12" t="s">
        <v>2047</v>
      </c>
      <c r="D18" s="12"/>
      <c r="E18" s="17" t="s">
        <v>2048</v>
      </c>
      <c r="F18" s="18" t="s">
        <v>89</v>
      </c>
      <c r="G18" s="12"/>
      <c r="H18" s="12"/>
      <c r="I18" s="12"/>
      <c r="L18" t="s">
        <v>54</v>
      </c>
      <c r="M18" t="s">
        <v>53</v>
      </c>
      <c r="N18" t="s">
        <v>52</v>
      </c>
    </row>
    <row r="19" spans="1:14" x14ac:dyDescent="0.25">
      <c r="A19" s="12" t="s">
        <v>2049</v>
      </c>
      <c r="B19" s="12" t="s">
        <v>2050</v>
      </c>
      <c r="C19" s="12" t="s">
        <v>2051</v>
      </c>
      <c r="D19" s="12"/>
      <c r="E19" s="17" t="s">
        <v>29</v>
      </c>
      <c r="F19" s="18" t="s">
        <v>28</v>
      </c>
      <c r="G19" s="12"/>
      <c r="H19" s="12"/>
      <c r="I19" s="12"/>
    </row>
    <row r="20" spans="1:14" x14ac:dyDescent="0.25">
      <c r="A20" s="12" t="s">
        <v>64</v>
      </c>
      <c r="B20" s="12" t="s">
        <v>2052</v>
      </c>
      <c r="C20" s="12" t="s">
        <v>66</v>
      </c>
      <c r="D20" s="12"/>
      <c r="E20" s="17" t="s">
        <v>2053</v>
      </c>
      <c r="F20" s="18" t="s">
        <v>2054</v>
      </c>
      <c r="G20" s="12"/>
      <c r="H20" s="12"/>
      <c r="I20" s="12"/>
    </row>
    <row r="21" spans="1:14" x14ac:dyDescent="0.25">
      <c r="A21" s="12" t="s">
        <v>75</v>
      </c>
      <c r="B21" s="12" t="s">
        <v>2055</v>
      </c>
      <c r="C21" s="12" t="s">
        <v>2056</v>
      </c>
      <c r="D21" s="12"/>
      <c r="E21" s="17" t="s">
        <v>2057</v>
      </c>
      <c r="F21" s="18" t="s">
        <v>2058</v>
      </c>
      <c r="G21" s="12"/>
      <c r="H21" s="12"/>
      <c r="I21" s="12"/>
    </row>
    <row r="22" spans="1:14" x14ac:dyDescent="0.25">
      <c r="A22" s="12" t="s">
        <v>78</v>
      </c>
      <c r="B22" s="12" t="s">
        <v>2059</v>
      </c>
      <c r="C22" s="12" t="s">
        <v>2060</v>
      </c>
      <c r="D22" s="12"/>
      <c r="E22" s="17" t="s">
        <v>2061</v>
      </c>
      <c r="F22" s="18" t="s">
        <v>2062</v>
      </c>
      <c r="G22" s="12"/>
      <c r="H22" s="12"/>
      <c r="I22" s="12"/>
    </row>
    <row r="23" spans="1:14" x14ac:dyDescent="0.25">
      <c r="A23" s="12" t="s">
        <v>83</v>
      </c>
      <c r="B23" s="12" t="s">
        <v>2063</v>
      </c>
      <c r="C23" s="12" t="s">
        <v>2064</v>
      </c>
      <c r="D23" s="12"/>
      <c r="E23" s="17" t="s">
        <v>103</v>
      </c>
      <c r="F23" s="18" t="s">
        <v>102</v>
      </c>
      <c r="G23" s="12"/>
      <c r="H23" s="12"/>
      <c r="I23" s="12"/>
    </row>
    <row r="24" spans="1:14" x14ac:dyDescent="0.25">
      <c r="A24" s="12" t="s">
        <v>85</v>
      </c>
      <c r="B24" s="12" t="s">
        <v>2065</v>
      </c>
      <c r="C24" s="12" t="s">
        <v>2066</v>
      </c>
      <c r="D24" s="12"/>
      <c r="E24" s="17" t="s">
        <v>51</v>
      </c>
      <c r="F24" s="18" t="s">
        <v>50</v>
      </c>
      <c r="G24" s="12"/>
      <c r="H24" s="12"/>
      <c r="I24" s="12"/>
    </row>
    <row r="25" spans="1:14" x14ac:dyDescent="0.25">
      <c r="A25" s="12" t="s">
        <v>2067</v>
      </c>
      <c r="B25" s="12" t="s">
        <v>2068</v>
      </c>
      <c r="C25" s="12" t="s">
        <v>2069</v>
      </c>
      <c r="D25" s="12"/>
      <c r="E25" s="17" t="s">
        <v>2070</v>
      </c>
      <c r="F25" s="18" t="s">
        <v>2071</v>
      </c>
      <c r="G25" s="12"/>
      <c r="H25" s="12"/>
      <c r="I25" s="12"/>
    </row>
    <row r="26" spans="1:14" x14ac:dyDescent="0.25">
      <c r="A26" s="12" t="s">
        <v>229</v>
      </c>
      <c r="B26" s="12" t="s">
        <v>2072</v>
      </c>
      <c r="C26" s="24" t="s">
        <v>2073</v>
      </c>
      <c r="D26" s="12"/>
      <c r="E26" s="17" t="s">
        <v>2074</v>
      </c>
      <c r="F26" s="18" t="s">
        <v>2075</v>
      </c>
      <c r="G26" s="12"/>
      <c r="H26" s="12"/>
      <c r="I26" s="12"/>
    </row>
    <row r="27" spans="1:14" x14ac:dyDescent="0.25">
      <c r="A27" s="12" t="s">
        <v>2076</v>
      </c>
      <c r="B27" s="12" t="s">
        <v>2077</v>
      </c>
      <c r="C27" s="12" t="s">
        <v>2078</v>
      </c>
      <c r="D27" s="12"/>
      <c r="E27" s="17" t="s">
        <v>2079</v>
      </c>
      <c r="F27" s="18" t="s">
        <v>76</v>
      </c>
      <c r="G27" s="12"/>
      <c r="H27" s="12"/>
      <c r="I27" s="12"/>
    </row>
    <row r="28" spans="1:14" x14ac:dyDescent="0.25">
      <c r="A28" s="12" t="s">
        <v>88</v>
      </c>
      <c r="B28" s="12" t="s">
        <v>2080</v>
      </c>
      <c r="C28" s="12" t="s">
        <v>2081</v>
      </c>
      <c r="D28" s="12"/>
      <c r="E28" s="17" t="s">
        <v>2082</v>
      </c>
      <c r="F28" s="18" t="s">
        <v>2083</v>
      </c>
      <c r="G28" s="12"/>
      <c r="H28" s="12"/>
      <c r="I28" s="12"/>
    </row>
    <row r="29" spans="1:14" x14ac:dyDescent="0.25">
      <c r="A29" s="12" t="s">
        <v>96</v>
      </c>
      <c r="B29" s="12" t="s">
        <v>2084</v>
      </c>
      <c r="C29" s="12" t="s">
        <v>98</v>
      </c>
      <c r="D29" s="12"/>
      <c r="E29" s="17" t="s">
        <v>2085</v>
      </c>
      <c r="F29" s="18" t="s">
        <v>104</v>
      </c>
      <c r="G29" s="12"/>
      <c r="H29" s="12"/>
      <c r="I29" s="12"/>
    </row>
    <row r="30" spans="1:14" x14ac:dyDescent="0.25">
      <c r="A30" s="12" t="s">
        <v>149</v>
      </c>
      <c r="B30" s="12" t="s">
        <v>2086</v>
      </c>
      <c r="C30" s="24" t="s">
        <v>2087</v>
      </c>
      <c r="D30" s="12"/>
      <c r="E30" s="21" t="s">
        <v>2088</v>
      </c>
      <c r="F30" s="22" t="s">
        <v>2089</v>
      </c>
      <c r="G30" s="12"/>
      <c r="H30" s="12"/>
      <c r="I30" s="12"/>
    </row>
    <row r="31" spans="1:14" x14ac:dyDescent="0.25">
      <c r="A31" s="12" t="s">
        <v>1839</v>
      </c>
      <c r="B31" s="12" t="s">
        <v>2090</v>
      </c>
      <c r="C31" s="12" t="s">
        <v>2091</v>
      </c>
      <c r="D31" s="12"/>
      <c r="E31" s="24" t="s">
        <v>90</v>
      </c>
      <c r="F31" s="25" t="s">
        <v>89</v>
      </c>
      <c r="G31" s="12"/>
      <c r="H31" s="12"/>
      <c r="I31" s="12"/>
    </row>
    <row r="32" spans="1:14" x14ac:dyDescent="0.25">
      <c r="A32" s="12" t="s">
        <v>2092</v>
      </c>
      <c r="B32" s="12" t="s">
        <v>2093</v>
      </c>
      <c r="C32" s="12" t="s">
        <v>2094</v>
      </c>
      <c r="D32" s="12"/>
      <c r="E32" s="39" t="s">
        <v>105</v>
      </c>
      <c r="F32" s="25" t="s">
        <v>104</v>
      </c>
      <c r="G32" s="12"/>
      <c r="H32" s="12"/>
      <c r="I32" s="12"/>
    </row>
    <row r="33" spans="1:9" x14ac:dyDescent="0.25">
      <c r="A33" s="12" t="s">
        <v>2095</v>
      </c>
      <c r="B33" s="12" t="s">
        <v>2096</v>
      </c>
      <c r="C33" s="12" t="s">
        <v>2096</v>
      </c>
      <c r="D33" s="12"/>
      <c r="E33" s="39" t="s">
        <v>77</v>
      </c>
      <c r="F33" s="25" t="s">
        <v>76</v>
      </c>
      <c r="G33" s="12"/>
      <c r="H33" s="12"/>
      <c r="I33" s="12"/>
    </row>
    <row r="34" spans="1:9" x14ac:dyDescent="0.25">
      <c r="A34" s="12" t="s">
        <v>2097</v>
      </c>
      <c r="B34" s="12" t="s">
        <v>2098</v>
      </c>
      <c r="C34" s="12" t="s">
        <v>2099</v>
      </c>
      <c r="D34" s="12"/>
      <c r="E34" s="39" t="s">
        <v>84</v>
      </c>
      <c r="F34" s="27" t="s">
        <v>7</v>
      </c>
      <c r="G34" s="12"/>
      <c r="H34" s="12"/>
      <c r="I34" s="12"/>
    </row>
    <row r="35" spans="1:9" x14ac:dyDescent="0.25">
      <c r="A35" s="12" t="s">
        <v>2100</v>
      </c>
      <c r="B35" s="12" t="s">
        <v>2011</v>
      </c>
      <c r="C35" s="12" t="s">
        <v>2101</v>
      </c>
      <c r="D35" s="12"/>
      <c r="E35" s="39" t="s">
        <v>8</v>
      </c>
      <c r="F35" s="27" t="s">
        <v>7</v>
      </c>
      <c r="G35" s="12"/>
      <c r="H35" s="12"/>
      <c r="I35" s="12"/>
    </row>
    <row r="36" spans="1:9" x14ac:dyDescent="0.25">
      <c r="A36" s="12" t="s">
        <v>2102</v>
      </c>
      <c r="B36" s="12" t="s">
        <v>2103</v>
      </c>
      <c r="C36" s="12" t="s">
        <v>2104</v>
      </c>
      <c r="D36" s="12"/>
      <c r="E36" s="39" t="s">
        <v>48</v>
      </c>
      <c r="F36" s="25" t="s">
        <v>47</v>
      </c>
      <c r="G36" s="12"/>
      <c r="H36" s="12"/>
      <c r="I36" s="12"/>
    </row>
    <row r="37" spans="1:9" x14ac:dyDescent="0.25">
      <c r="A37" s="12" t="s">
        <v>2105</v>
      </c>
      <c r="B37" s="12" t="s">
        <v>2106</v>
      </c>
      <c r="C37" s="12" t="s">
        <v>2107</v>
      </c>
      <c r="D37" s="12"/>
      <c r="E37" s="66" t="s">
        <v>101</v>
      </c>
      <c r="F37" s="67" t="s">
        <v>100</v>
      </c>
      <c r="G37" s="12"/>
      <c r="H37" s="12"/>
      <c r="I37" s="12"/>
    </row>
    <row r="38" spans="1:9" x14ac:dyDescent="0.25">
      <c r="A38" s="12" t="s">
        <v>2108</v>
      </c>
      <c r="B38" s="12" t="s">
        <v>2109</v>
      </c>
      <c r="C38" s="12" t="s">
        <v>2110</v>
      </c>
      <c r="D38" s="12"/>
      <c r="E38" s="12"/>
      <c r="F38" s="23"/>
      <c r="G38" s="12"/>
      <c r="H38" s="12"/>
      <c r="I38" s="12"/>
    </row>
    <row r="39" spans="1:9" x14ac:dyDescent="0.25">
      <c r="A39" s="12" t="s">
        <v>2111</v>
      </c>
      <c r="B39" s="12" t="s">
        <v>2112</v>
      </c>
      <c r="C39" s="12" t="s">
        <v>2113</v>
      </c>
      <c r="D39" s="12"/>
      <c r="E39" s="12"/>
      <c r="F39" s="23"/>
      <c r="G39" s="12"/>
      <c r="H39" s="12"/>
      <c r="I39" s="12"/>
    </row>
    <row r="40" spans="1:9" x14ac:dyDescent="0.25">
      <c r="A40" s="12" t="s">
        <v>2114</v>
      </c>
      <c r="B40" s="12" t="s">
        <v>2115</v>
      </c>
      <c r="C40" s="12" t="s">
        <v>2116</v>
      </c>
      <c r="D40" s="12"/>
      <c r="E40" s="12"/>
      <c r="F40" s="23"/>
      <c r="G40" s="12"/>
      <c r="H40" s="12"/>
      <c r="I40" s="12"/>
    </row>
    <row r="41" spans="1:9" x14ac:dyDescent="0.25">
      <c r="A41" s="12" t="s">
        <v>2117</v>
      </c>
      <c r="B41" s="12" t="s">
        <v>2118</v>
      </c>
      <c r="C41" s="12" t="s">
        <v>2119</v>
      </c>
      <c r="D41" s="12"/>
      <c r="E41" s="12"/>
      <c r="F41" s="23"/>
      <c r="G41" s="12"/>
      <c r="H41" s="12"/>
      <c r="I41" s="12"/>
    </row>
    <row r="42" spans="1:9" x14ac:dyDescent="0.25">
      <c r="A42" s="12" t="s">
        <v>2120</v>
      </c>
      <c r="B42" s="12" t="s">
        <v>2121</v>
      </c>
      <c r="C42" s="12" t="s">
        <v>2122</v>
      </c>
      <c r="D42" s="12"/>
      <c r="E42" s="12"/>
      <c r="F42" s="23"/>
      <c r="G42" s="12"/>
      <c r="H42" s="12"/>
      <c r="I42" s="12"/>
    </row>
    <row r="43" spans="1:9" x14ac:dyDescent="0.25">
      <c r="A43" s="12" t="s">
        <v>2123</v>
      </c>
      <c r="B43" s="12" t="s">
        <v>2124</v>
      </c>
      <c r="C43" s="12" t="s">
        <v>2125</v>
      </c>
      <c r="D43" s="12"/>
      <c r="E43" s="12"/>
      <c r="F43" s="23"/>
      <c r="G43" s="12"/>
      <c r="H43" s="12"/>
      <c r="I43" s="12"/>
    </row>
    <row r="44" spans="1:9" x14ac:dyDescent="0.25">
      <c r="A44" s="12" t="s">
        <v>2126</v>
      </c>
      <c r="B44" s="12" t="s">
        <v>2127</v>
      </c>
      <c r="C44" s="12" t="s">
        <v>2128</v>
      </c>
      <c r="D44" s="12"/>
      <c r="E44" s="12"/>
      <c r="F44" s="23"/>
      <c r="G44" s="12"/>
      <c r="H44" s="12"/>
      <c r="I44" s="12"/>
    </row>
    <row r="45" spans="1:9" x14ac:dyDescent="0.25">
      <c r="A45" s="12" t="s">
        <v>2129</v>
      </c>
      <c r="B45" s="12" t="s">
        <v>2130</v>
      </c>
      <c r="C45" s="12" t="s">
        <v>2131</v>
      </c>
      <c r="D45" s="12"/>
      <c r="E45" s="12"/>
      <c r="F45" s="23"/>
      <c r="G45" s="12"/>
      <c r="H45" s="12"/>
      <c r="I45" s="12"/>
    </row>
    <row r="46" spans="1:9" x14ac:dyDescent="0.25">
      <c r="A46" s="12" t="s">
        <v>2132</v>
      </c>
      <c r="B46" s="12" t="s">
        <v>2133</v>
      </c>
      <c r="C46" s="12" t="s">
        <v>2134</v>
      </c>
      <c r="D46" s="12"/>
      <c r="E46" s="12"/>
      <c r="F46" s="23"/>
      <c r="G46" s="12"/>
      <c r="H46" s="12"/>
      <c r="I46" s="12"/>
    </row>
    <row r="47" spans="1:9" x14ac:dyDescent="0.25">
      <c r="A47" s="12" t="s">
        <v>2135</v>
      </c>
      <c r="B47" s="12" t="s">
        <v>2136</v>
      </c>
      <c r="C47" s="12" t="s">
        <v>2137</v>
      </c>
      <c r="D47" s="12"/>
      <c r="E47" s="12"/>
      <c r="F47" s="23"/>
      <c r="G47" s="12"/>
      <c r="H47" s="12"/>
      <c r="I47" s="12"/>
    </row>
    <row r="48" spans="1:9" x14ac:dyDescent="0.25">
      <c r="A48" s="12" t="s">
        <v>2138</v>
      </c>
      <c r="B48" s="12" t="s">
        <v>2139</v>
      </c>
      <c r="C48" s="12" t="s">
        <v>2140</v>
      </c>
      <c r="D48" s="12"/>
      <c r="E48" s="12"/>
      <c r="F48" s="23"/>
      <c r="G48" s="12"/>
      <c r="H48" s="12"/>
      <c r="I48" s="12"/>
    </row>
    <row r="49" spans="1:9" x14ac:dyDescent="0.25">
      <c r="A49" s="12" t="s">
        <v>2141</v>
      </c>
      <c r="B49" s="12" t="s">
        <v>2142</v>
      </c>
      <c r="C49" s="12" t="s">
        <v>2143</v>
      </c>
      <c r="D49" s="12"/>
      <c r="E49" s="12"/>
      <c r="F49" s="23"/>
      <c r="G49" s="12"/>
      <c r="H49" s="12"/>
      <c r="I49" s="12"/>
    </row>
    <row r="50" spans="1:9" x14ac:dyDescent="0.25">
      <c r="A50" s="12" t="s">
        <v>2144</v>
      </c>
      <c r="B50" s="12" t="s">
        <v>2145</v>
      </c>
      <c r="C50" s="12" t="s">
        <v>2146</v>
      </c>
      <c r="D50" s="12"/>
      <c r="E50" s="12"/>
      <c r="F50" s="23"/>
      <c r="G50" s="12"/>
      <c r="H50" s="12"/>
      <c r="I50" s="12"/>
    </row>
    <row r="51" spans="1:9" x14ac:dyDescent="0.25">
      <c r="A51" s="12" t="s">
        <v>2147</v>
      </c>
      <c r="B51" s="12" t="s">
        <v>2148</v>
      </c>
      <c r="C51" s="12" t="s">
        <v>2149</v>
      </c>
      <c r="D51" s="12"/>
      <c r="E51" s="12"/>
      <c r="F51" s="23"/>
      <c r="G51" s="12"/>
      <c r="H51" s="12"/>
      <c r="I51" s="12"/>
    </row>
    <row r="52" spans="1:9" x14ac:dyDescent="0.25">
      <c r="A52" s="12" t="s">
        <v>2150</v>
      </c>
      <c r="B52" s="12" t="s">
        <v>2151</v>
      </c>
      <c r="C52" s="12" t="s">
        <v>2152</v>
      </c>
      <c r="D52" s="12"/>
      <c r="E52" s="12"/>
      <c r="F52" s="23"/>
      <c r="G52" s="12"/>
      <c r="H52" s="12"/>
      <c r="I52" s="12"/>
    </row>
    <row r="53" spans="1:9" x14ac:dyDescent="0.25">
      <c r="A53" s="12" t="s">
        <v>2153</v>
      </c>
      <c r="B53" s="12" t="s">
        <v>2154</v>
      </c>
      <c r="C53" s="12" t="s">
        <v>2155</v>
      </c>
      <c r="D53" s="12"/>
      <c r="E53" s="12"/>
      <c r="F53" s="23"/>
      <c r="G53" s="12"/>
      <c r="H53" s="12"/>
      <c r="I53" s="12"/>
    </row>
    <row r="54" spans="1:9" x14ac:dyDescent="0.25">
      <c r="A54" s="12" t="s">
        <v>2156</v>
      </c>
      <c r="B54" s="12" t="s">
        <v>2157</v>
      </c>
      <c r="C54" s="12" t="s">
        <v>2158</v>
      </c>
      <c r="D54" s="12"/>
      <c r="E54" s="12"/>
      <c r="F54" s="23"/>
      <c r="G54" s="12"/>
      <c r="H54" s="12"/>
      <c r="I54" s="12"/>
    </row>
    <row r="55" spans="1:9" x14ac:dyDescent="0.25">
      <c r="A55" s="12" t="s">
        <v>2159</v>
      </c>
      <c r="B55" s="12" t="s">
        <v>2160</v>
      </c>
      <c r="C55" s="12" t="s">
        <v>2161</v>
      </c>
      <c r="D55" s="12"/>
      <c r="E55" s="12"/>
      <c r="F55" s="23"/>
      <c r="G55" s="12"/>
      <c r="H55" s="12"/>
      <c r="I55" s="12"/>
    </row>
    <row r="56" spans="1:9" x14ac:dyDescent="0.25">
      <c r="A56" s="12" t="s">
        <v>2162</v>
      </c>
      <c r="B56" s="12" t="s">
        <v>2163</v>
      </c>
      <c r="C56" s="12" t="s">
        <v>2164</v>
      </c>
      <c r="D56" s="12"/>
      <c r="E56" s="12"/>
      <c r="F56" s="23"/>
      <c r="G56" s="12"/>
      <c r="H56" s="12"/>
      <c r="I56" s="12"/>
    </row>
    <row r="57" spans="1:9" x14ac:dyDescent="0.25">
      <c r="A57" s="12" t="s">
        <v>2165</v>
      </c>
      <c r="B57" s="12" t="s">
        <v>2166</v>
      </c>
      <c r="C57" s="12" t="s">
        <v>2166</v>
      </c>
      <c r="D57" s="12"/>
      <c r="E57" s="12"/>
      <c r="F57" s="23"/>
      <c r="G57" s="12"/>
      <c r="H57" s="12"/>
      <c r="I57" s="12"/>
    </row>
    <row r="58" spans="1:9" x14ac:dyDescent="0.25">
      <c r="A58" s="12" t="s">
        <v>2167</v>
      </c>
      <c r="B58" s="12" t="s">
        <v>2168</v>
      </c>
      <c r="C58" s="12" t="s">
        <v>2169</v>
      </c>
      <c r="D58" s="12"/>
      <c r="E58" s="12"/>
      <c r="F58" s="23"/>
      <c r="G58" s="12"/>
      <c r="H58" s="12"/>
      <c r="I58" s="12"/>
    </row>
    <row r="59" spans="1:9" x14ac:dyDescent="0.25">
      <c r="A59" s="12" t="s">
        <v>2170</v>
      </c>
      <c r="B59" s="12" t="s">
        <v>2171</v>
      </c>
      <c r="C59" s="12" t="s">
        <v>2172</v>
      </c>
      <c r="D59" s="12"/>
      <c r="E59" s="12"/>
      <c r="F59" s="23"/>
      <c r="G59" s="12"/>
      <c r="H59" s="12"/>
      <c r="I59" s="12"/>
    </row>
    <row r="60" spans="1:9" x14ac:dyDescent="0.25">
      <c r="A60" s="12" t="s">
        <v>2173</v>
      </c>
      <c r="B60" s="12" t="s">
        <v>2174</v>
      </c>
      <c r="C60" s="12" t="s">
        <v>2175</v>
      </c>
      <c r="D60" s="12"/>
      <c r="E60" s="12"/>
      <c r="F60" s="23"/>
      <c r="G60" s="12"/>
      <c r="H60" s="12"/>
      <c r="I60" s="12"/>
    </row>
    <row r="61" spans="1:9" x14ac:dyDescent="0.25">
      <c r="A61" s="12" t="s">
        <v>2176</v>
      </c>
      <c r="B61" s="12" t="s">
        <v>2177</v>
      </c>
      <c r="C61" s="12" t="s">
        <v>2177</v>
      </c>
      <c r="D61" s="12"/>
      <c r="E61" s="12"/>
      <c r="F61" s="23"/>
      <c r="G61" s="12"/>
      <c r="H61" s="12"/>
      <c r="I61" s="12"/>
    </row>
    <row r="62" spans="1:9" x14ac:dyDescent="0.25">
      <c r="A62" s="12" t="s">
        <v>2178</v>
      </c>
      <c r="B62" s="12" t="s">
        <v>2179</v>
      </c>
      <c r="C62" s="12" t="s">
        <v>2180</v>
      </c>
      <c r="D62" s="12"/>
      <c r="E62" s="12"/>
      <c r="F62" s="23"/>
      <c r="G62" s="12"/>
      <c r="H62" s="12"/>
      <c r="I62" s="12"/>
    </row>
    <row r="63" spans="1:9" x14ac:dyDescent="0.25">
      <c r="A63" s="12" t="s">
        <v>2181</v>
      </c>
      <c r="B63" s="12" t="s">
        <v>2182</v>
      </c>
      <c r="C63" s="12" t="s">
        <v>2182</v>
      </c>
      <c r="D63" s="12"/>
      <c r="E63" s="12"/>
      <c r="F63" s="23"/>
      <c r="G63" s="12"/>
      <c r="H63" s="12"/>
      <c r="I63" s="12"/>
    </row>
    <row r="64" spans="1:9" x14ac:dyDescent="0.25">
      <c r="A64" s="12" t="s">
        <v>2183</v>
      </c>
      <c r="B64" s="12" t="s">
        <v>2184</v>
      </c>
      <c r="C64" s="12" t="s">
        <v>2185</v>
      </c>
      <c r="D64" s="12"/>
      <c r="E64" s="12"/>
      <c r="F64" s="23"/>
      <c r="G64" s="12"/>
      <c r="H64" s="12"/>
      <c r="I64" s="12"/>
    </row>
    <row r="65" spans="1:9" x14ac:dyDescent="0.25">
      <c r="A65" s="12" t="s">
        <v>2186</v>
      </c>
      <c r="B65" s="12" t="s">
        <v>2187</v>
      </c>
      <c r="C65" s="12" t="s">
        <v>2188</v>
      </c>
      <c r="D65" s="12"/>
      <c r="E65" s="12"/>
      <c r="F65" s="23"/>
      <c r="G65" s="12"/>
      <c r="H65" s="12"/>
      <c r="I65" s="12"/>
    </row>
    <row r="66" spans="1:9" x14ac:dyDescent="0.25">
      <c r="A66" s="12" t="s">
        <v>2189</v>
      </c>
      <c r="B66" s="12" t="s">
        <v>2190</v>
      </c>
      <c r="C66" s="12" t="s">
        <v>2190</v>
      </c>
      <c r="D66" s="12"/>
      <c r="E66" s="12"/>
      <c r="F66" s="23"/>
      <c r="G66" s="12"/>
      <c r="H66" s="12"/>
      <c r="I66" s="12"/>
    </row>
    <row r="67" spans="1:9" x14ac:dyDescent="0.25">
      <c r="A67" s="12" t="s">
        <v>2191</v>
      </c>
      <c r="B67" s="12" t="s">
        <v>2192</v>
      </c>
      <c r="C67" s="12" t="s">
        <v>2193</v>
      </c>
      <c r="D67" s="12"/>
      <c r="E67" s="12"/>
      <c r="F67" s="23"/>
      <c r="G67" s="12"/>
      <c r="H67" s="12"/>
      <c r="I67" s="12"/>
    </row>
    <row r="68" spans="1:9" x14ac:dyDescent="0.25">
      <c r="A68" s="12" t="s">
        <v>2194</v>
      </c>
      <c r="B68" s="12" t="s">
        <v>2195</v>
      </c>
      <c r="C68" s="12" t="s">
        <v>2196</v>
      </c>
      <c r="D68" s="12"/>
      <c r="E68" s="12"/>
      <c r="F68" s="23"/>
      <c r="G68" s="12"/>
      <c r="H68" s="12"/>
      <c r="I68" s="12"/>
    </row>
    <row r="69" spans="1:9" x14ac:dyDescent="0.25">
      <c r="A69" s="12" t="s">
        <v>2197</v>
      </c>
      <c r="B69" s="12" t="s">
        <v>2198</v>
      </c>
      <c r="C69" s="12" t="s">
        <v>2199</v>
      </c>
      <c r="D69" s="12"/>
      <c r="E69" s="12"/>
      <c r="F69" s="23"/>
      <c r="G69" s="12"/>
      <c r="H69" s="12"/>
      <c r="I69" s="12"/>
    </row>
    <row r="70" spans="1:9" x14ac:dyDescent="0.25">
      <c r="A70" s="12" t="s">
        <v>2200</v>
      </c>
      <c r="B70" s="12" t="s">
        <v>2201</v>
      </c>
      <c r="C70" s="12" t="s">
        <v>2202</v>
      </c>
      <c r="D70" s="12"/>
      <c r="E70" s="12"/>
      <c r="F70" s="23"/>
      <c r="G70" s="12"/>
      <c r="H70" s="12"/>
      <c r="I70" s="12"/>
    </row>
    <row r="71" spans="1:9" x14ac:dyDescent="0.25">
      <c r="A71" s="12" t="s">
        <v>2203</v>
      </c>
      <c r="B71" s="12" t="s">
        <v>2204</v>
      </c>
      <c r="C71" s="12" t="s">
        <v>2205</v>
      </c>
      <c r="D71" s="12"/>
      <c r="E71" s="12"/>
      <c r="F71" s="23"/>
      <c r="G71" s="12"/>
      <c r="H71" s="12"/>
      <c r="I71" s="12"/>
    </row>
    <row r="72" spans="1:9" x14ac:dyDescent="0.25">
      <c r="A72" s="12" t="s">
        <v>2206</v>
      </c>
      <c r="B72" s="12" t="s">
        <v>2207</v>
      </c>
      <c r="C72" s="12" t="s">
        <v>2208</v>
      </c>
      <c r="D72" s="12"/>
      <c r="E72" s="12"/>
      <c r="F72" s="23"/>
      <c r="G72" s="12"/>
      <c r="H72" s="12"/>
      <c r="I72" s="12"/>
    </row>
    <row r="73" spans="1:9" x14ac:dyDescent="0.25">
      <c r="A73" s="12" t="s">
        <v>2209</v>
      </c>
      <c r="B73" s="12" t="s">
        <v>2210</v>
      </c>
      <c r="C73" s="12" t="s">
        <v>2211</v>
      </c>
      <c r="D73" s="12"/>
      <c r="E73" s="12"/>
      <c r="F73" s="23"/>
      <c r="G73" s="12"/>
      <c r="H73" s="12"/>
      <c r="I73" s="12"/>
    </row>
    <row r="74" spans="1:9" x14ac:dyDescent="0.25">
      <c r="A74" s="12" t="s">
        <v>2212</v>
      </c>
      <c r="B74" s="12" t="s">
        <v>2213</v>
      </c>
      <c r="C74" s="12" t="s">
        <v>2214</v>
      </c>
      <c r="D74" s="12"/>
      <c r="E74" s="12"/>
      <c r="F74" s="23"/>
      <c r="G74" s="12"/>
      <c r="H74" s="12"/>
      <c r="I74" s="12"/>
    </row>
    <row r="75" spans="1:9" x14ac:dyDescent="0.25">
      <c r="A75" s="12" t="s">
        <v>99</v>
      </c>
      <c r="B75" s="12" t="s">
        <v>2085</v>
      </c>
      <c r="C75" s="12" t="s">
        <v>2215</v>
      </c>
      <c r="D75" s="12"/>
      <c r="E75" s="12"/>
      <c r="F75" s="23"/>
      <c r="G75" s="12"/>
      <c r="H75" s="12"/>
      <c r="I75" s="12"/>
    </row>
    <row r="76" spans="1:9" x14ac:dyDescent="0.25">
      <c r="A76" s="24" t="s">
        <v>83</v>
      </c>
      <c r="B76" s="26"/>
      <c r="C76" s="26" t="s">
        <v>84</v>
      </c>
    </row>
    <row r="77" spans="1:9" x14ac:dyDescent="0.25">
      <c r="A77" s="24" t="s">
        <v>88</v>
      </c>
      <c r="B77" s="26"/>
      <c r="C77" s="39" t="s">
        <v>90</v>
      </c>
    </row>
    <row r="78" spans="1:9" x14ac:dyDescent="0.25">
      <c r="A78" s="24" t="s">
        <v>99</v>
      </c>
      <c r="B78" s="26"/>
      <c r="C78" s="39" t="s">
        <v>105</v>
      </c>
    </row>
    <row r="79" spans="1:9" x14ac:dyDescent="0.25">
      <c r="A79" s="24" t="s">
        <v>85</v>
      </c>
      <c r="B79" s="26" t="s">
        <v>2065</v>
      </c>
      <c r="C79" s="39" t="s">
        <v>87</v>
      </c>
    </row>
    <row r="80" spans="1:9" x14ac:dyDescent="0.25">
      <c r="A80" s="24" t="s">
        <v>78</v>
      </c>
      <c r="B80" s="26"/>
      <c r="C80" s="26" t="s">
        <v>80</v>
      </c>
    </row>
    <row r="81" spans="1:3" x14ac:dyDescent="0.25">
      <c r="A81" s="24" t="s">
        <v>75</v>
      </c>
      <c r="B81" s="26" t="s">
        <v>2079</v>
      </c>
      <c r="C81" s="39" t="s">
        <v>77</v>
      </c>
    </row>
    <row r="82" spans="1:3" x14ac:dyDescent="0.25">
      <c r="A82" s="24" t="s">
        <v>6</v>
      </c>
      <c r="B82" s="26"/>
      <c r="C82" s="39" t="s">
        <v>8</v>
      </c>
    </row>
    <row r="83" spans="1:3" x14ac:dyDescent="0.25">
      <c r="A83" s="24" t="s">
        <v>24</v>
      </c>
      <c r="B83" s="24" t="s">
        <v>2017</v>
      </c>
      <c r="C83" s="24" t="s">
        <v>26</v>
      </c>
    </row>
    <row r="84" spans="1:3" x14ac:dyDescent="0.25">
      <c r="A84" s="24" t="s">
        <v>43</v>
      </c>
      <c r="B84" s="26"/>
      <c r="C84" s="26" t="s">
        <v>45</v>
      </c>
    </row>
    <row r="85" spans="1:3" x14ac:dyDescent="0.25">
      <c r="A85" s="24" t="s">
        <v>49</v>
      </c>
      <c r="B85" s="26"/>
      <c r="C85" s="39" t="s">
        <v>51</v>
      </c>
    </row>
    <row r="86" spans="1:3" x14ac:dyDescent="0.25">
      <c r="A86" s="24" t="s">
        <v>27</v>
      </c>
      <c r="B86" s="26"/>
      <c r="C86" s="39" t="s">
        <v>29</v>
      </c>
    </row>
    <row r="87" spans="1:3" x14ac:dyDescent="0.25">
      <c r="A87" s="24" t="s">
        <v>52</v>
      </c>
      <c r="B87" s="24" t="s">
        <v>2044</v>
      </c>
      <c r="C87" s="24" t="s">
        <v>54</v>
      </c>
    </row>
    <row r="88" spans="1:3" x14ac:dyDescent="0.25">
      <c r="A88" s="24" t="s">
        <v>99</v>
      </c>
      <c r="B88" s="26"/>
      <c r="C88" s="39" t="s">
        <v>101</v>
      </c>
    </row>
    <row r="89" spans="1:3" x14ac:dyDescent="0.25">
      <c r="A89" s="24" t="s">
        <v>99</v>
      </c>
      <c r="B89" s="26"/>
      <c r="C89" s="39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1A79-2C20-4D96-9D1E-E82857EF29B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809B-D7DF-4E49-B258-6E1583CF3A48}">
  <dimension ref="A1:I41"/>
  <sheetViews>
    <sheetView zoomScale="85" zoomScaleNormal="85" workbookViewId="0">
      <selection activeCell="I2" sqref="I2"/>
    </sheetView>
  </sheetViews>
  <sheetFormatPr baseColWidth="10" defaultColWidth="11.42578125" defaultRowHeight="15" x14ac:dyDescent="0.25"/>
  <cols>
    <col min="1" max="1" width="28.5703125" customWidth="1"/>
    <col min="2" max="2" width="40" customWidth="1"/>
    <col min="3" max="4" width="14.28515625" customWidth="1"/>
    <col min="5" max="5" width="8.7109375" bestFit="1" customWidth="1"/>
    <col min="6" max="6" width="111.5703125" bestFit="1" customWidth="1"/>
  </cols>
  <sheetData>
    <row r="1" spans="1:9" ht="17.25" x14ac:dyDescent="0.3">
      <c r="A1" s="28" t="s">
        <v>2216</v>
      </c>
    </row>
    <row r="2" spans="1:9" x14ac:dyDescent="0.25">
      <c r="A2" s="29" t="str" cm="1">
        <f t="array" ref="A2">"Total de centros distintos: "&amp;ROUND(SUMPRODUCT(1/COUNTIF(Tabla1[CENTRO],Tabla1[CENTRO])),0)&amp;"  |  Marcas: "&amp;ROUND(SUMPRODUCT(1/COUNTIF(Tabla1[MARCA],Tabla1[MARCA])),0)&amp;"  |  Fabricantes: "&amp;ROUND(SUMPRODUCT(1/COUNTIF(Tabla1[COD_FABRICANTE],Tabla1[COD_FABRICANTE])),0)&amp;"  |  Registros CEBE: "&amp;COUNTA(Tabla1[CENTRO])</f>
        <v>Total de centros distintos: 32  |  Marcas: 17  |  Fabricantes: 17  |  Registros CEBE: 641</v>
      </c>
      <c r="I2" s="57" t="s">
        <v>192</v>
      </c>
    </row>
    <row r="3" spans="1:9" x14ac:dyDescent="0.25">
      <c r="A3" s="30" t="s">
        <v>2217</v>
      </c>
      <c r="I3" s="57" t="s">
        <v>195</v>
      </c>
    </row>
    <row r="4" spans="1:9" x14ac:dyDescent="0.25">
      <c r="A4" s="32" t="s">
        <v>2</v>
      </c>
      <c r="B4" s="32" t="s">
        <v>1</v>
      </c>
      <c r="C4" s="33" t="s">
        <v>2218</v>
      </c>
      <c r="D4" s="33" t="s">
        <v>2219</v>
      </c>
      <c r="F4" s="32" t="s">
        <v>1878</v>
      </c>
      <c r="I4" s="57" t="s">
        <v>198</v>
      </c>
    </row>
    <row r="5" spans="1:9" x14ac:dyDescent="0.25">
      <c r="A5" t="str" cm="1">
        <f t="array" ref="A5:A21">_xlfn._xlws.SORT(_xlfn.UNIQUE(Tabla1[MARCA]))</f>
        <v>DONG FENG (DFAC)</v>
      </c>
      <c r="B5" t="str">
        <f>IFERROR(INDEX(Tabla1[COD_MARCA],MATCH($A5,Tabla1[MARCA],0)),"")</f>
        <v>060</v>
      </c>
      <c r="C5" cm="1">
        <f t="array" ref="C5">ROUND(SUMPRODUCT((Tabla1[MARCA]=$A5)/COUNTIFS(Tabla1[MARCA],Tabla1[MARCA],Tabla1[CENTRO],Tabla1[CENTRO])),0)</f>
        <v>11</v>
      </c>
      <c r="D5">
        <f>COUNTIF(Tabla1[MARCA],$A5)</f>
        <v>49</v>
      </c>
      <c r="F5" t="s">
        <v>2220</v>
      </c>
      <c r="I5" s="57" t="s">
        <v>201</v>
      </c>
    </row>
    <row r="6" spans="1:9" x14ac:dyDescent="0.25">
      <c r="A6" t="str">
        <v>DONG FENG (DFCV)</v>
      </c>
      <c r="B6" t="str">
        <f>IFERROR(INDEX(Tabla1[COD_MARCA],MATCH($A6,Tabla1[MARCA],0)),"")</f>
        <v>060</v>
      </c>
      <c r="C6" cm="1">
        <f t="array" ref="C6">ROUND(SUMPRODUCT((Tabla1[MARCA]=$A6)/COUNTIFS(Tabla1[MARCA],Tabla1[MARCA],Tabla1[CENTRO],Tabla1[CENTRO])),0)</f>
        <v>7</v>
      </c>
      <c r="D6">
        <f>COUNTIF(Tabla1[MARCA],$A6)</f>
        <v>42</v>
      </c>
      <c r="F6" t="s">
        <v>2221</v>
      </c>
      <c r="I6" s="57" t="s">
        <v>204</v>
      </c>
    </row>
    <row r="7" spans="1:9" x14ac:dyDescent="0.25">
      <c r="A7" t="str">
        <v>FAW</v>
      </c>
      <c r="B7" t="str">
        <f>IFERROR(INDEX(Tabla1[COD_MARCA],MATCH($A7,Tabla1[MARCA],0)),"")</f>
        <v>080</v>
      </c>
      <c r="C7" cm="1">
        <f t="array" ref="C7">ROUND(SUMPRODUCT((Tabla1[MARCA]=$A7)/COUNTIFS(Tabla1[MARCA],Tabla1[MARCA],Tabla1[CENTRO],Tabla1[CENTRO])),0)</f>
        <v>11</v>
      </c>
      <c r="D7">
        <f>COUNTIF(Tabla1[MARCA],$A7)</f>
        <v>49</v>
      </c>
      <c r="F7" t="s">
        <v>2220</v>
      </c>
      <c r="I7" s="57" t="s">
        <v>207</v>
      </c>
    </row>
    <row r="8" spans="1:9" x14ac:dyDescent="0.25">
      <c r="A8" t="str">
        <v>HMK</v>
      </c>
      <c r="B8" t="str">
        <f>IFERROR(INDEX(Tabla1[COD_MARCA],MATCH($A8,Tabla1[MARCA],0)),"")</f>
        <v>090</v>
      </c>
      <c r="C8" cm="1">
        <f t="array" ref="C8">ROUND(SUMPRODUCT((Tabla1[MARCA]=$A8)/COUNTIFS(Tabla1[MARCA],Tabla1[MARCA],Tabla1[CENTRO],Tabla1[CENTRO])),0)</f>
        <v>8</v>
      </c>
      <c r="D8">
        <f>COUNTIF(Tabla1[MARCA],$A8)</f>
        <v>40</v>
      </c>
      <c r="F8" t="s">
        <v>2222</v>
      </c>
      <c r="I8" s="57" t="s">
        <v>210</v>
      </c>
    </row>
    <row r="9" spans="1:9" x14ac:dyDescent="0.25">
      <c r="A9" t="str">
        <v>HYSTER</v>
      </c>
      <c r="B9" t="str">
        <f>IFERROR(INDEX(Tabla1[COD_MARCA],MATCH($A9,Tabla1[MARCA],0)),"")</f>
        <v>100</v>
      </c>
      <c r="C9" cm="1">
        <f t="array" ref="C9">ROUND(SUMPRODUCT((Tabla1[MARCA]=$A9)/COUNTIFS(Tabla1[MARCA],Tabla1[MARCA],Tabla1[CENTRO],Tabla1[CENTRO])),0)</f>
        <v>8</v>
      </c>
      <c r="D9">
        <f>COUNTIF(Tabla1[MARCA],$A9)</f>
        <v>48</v>
      </c>
      <c r="F9" t="s">
        <v>2222</v>
      </c>
      <c r="I9" s="57" t="s">
        <v>213</v>
      </c>
    </row>
    <row r="10" spans="1:9" x14ac:dyDescent="0.25">
      <c r="A10" t="str">
        <v>INTERNATIONAL</v>
      </c>
      <c r="B10" t="str">
        <f>IFERROR(INDEX(Tabla1[COD_MARCA],MATCH($A10,Tabla1[MARCA],0)),"")</f>
        <v>110</v>
      </c>
      <c r="C10" cm="1">
        <f t="array" ref="C10">ROUND(SUMPRODUCT((Tabla1[MARCA]=$A10)/COUNTIFS(Tabla1[MARCA],Tabla1[MARCA],Tabla1[CENTRO],Tabla1[CENTRO])),0)</f>
        <v>7</v>
      </c>
      <c r="D10">
        <f>COUNTIF(Tabla1[MARCA],$A10)</f>
        <v>35</v>
      </c>
      <c r="F10" t="s">
        <v>2221</v>
      </c>
      <c r="I10" s="61" t="s">
        <v>888</v>
      </c>
    </row>
    <row r="11" spans="1:9" x14ac:dyDescent="0.25">
      <c r="A11" t="str">
        <v>JETOUR</v>
      </c>
      <c r="B11" t="str">
        <f>IFERROR(INDEX(Tabla1[COD_MARCA],MATCH($A11,Tabla1[MARCA],0)),"")</f>
        <v>120</v>
      </c>
      <c r="C11" cm="1">
        <f t="array" ref="C11">ROUND(SUMPRODUCT((Tabla1[MARCA]=$A11)/COUNTIFS(Tabla1[MARCA],Tabla1[MARCA],Tabla1[CENTRO],Tabla1[CENTRO])),0)</f>
        <v>2</v>
      </c>
      <c r="D11">
        <f>COUNTIF(Tabla1[MARCA],$A11)</f>
        <v>3</v>
      </c>
      <c r="F11" t="s">
        <v>1888</v>
      </c>
      <c r="I11" s="61" t="s">
        <v>891</v>
      </c>
    </row>
    <row r="12" spans="1:9" x14ac:dyDescent="0.25">
      <c r="A12" s="26" t="str">
        <v>KYC</v>
      </c>
      <c r="B12" t="str">
        <f>IFERROR(INDEX(Tabla1[COD_MARCA],MATCH($A12,Tabla1[MARCA],0)),"")</f>
        <v>130</v>
      </c>
      <c r="C12" cm="1">
        <f t="array" ref="C12">ROUND(SUMPRODUCT((Tabla1[MARCA]=$A12)/COUNTIFS(Tabla1[MARCA],Tabla1[MARCA],Tabla1[CENTRO],Tabla1[CENTRO])),0)</f>
        <v>4</v>
      </c>
      <c r="D12">
        <f>COUNTIF(Tabla1[MARCA],$A12)</f>
        <v>7</v>
      </c>
      <c r="F12" t="s">
        <v>2223</v>
      </c>
      <c r="I12" s="61" t="s">
        <v>894</v>
      </c>
    </row>
    <row r="13" spans="1:9" x14ac:dyDescent="0.25">
      <c r="A13" t="str">
        <v>LIFAN</v>
      </c>
      <c r="B13" t="str">
        <f>IFERROR(INDEX(Tabla1[COD_MARCA],MATCH($A13,Tabla1[MARCA],0)),"")</f>
        <v>140</v>
      </c>
      <c r="C13" cm="1">
        <f t="array" ref="C13">ROUND(SUMPRODUCT((Tabla1[MARCA]=$A13)/COUNTIFS(Tabla1[MARCA],Tabla1[MARCA],Tabla1[CENTRO],Tabla1[CENTRO])),0)</f>
        <v>3</v>
      </c>
      <c r="D13">
        <f>COUNTIF(Tabla1[MARCA],$A13)</f>
        <v>6</v>
      </c>
      <c r="F13" t="s">
        <v>2224</v>
      </c>
      <c r="I13" s="61" t="s">
        <v>897</v>
      </c>
    </row>
    <row r="14" spans="1:9" x14ac:dyDescent="0.25">
      <c r="A14" t="str">
        <v>LIUGONG</v>
      </c>
      <c r="B14" t="str">
        <f>IFERROR(INDEX(Tabla1[COD_MARCA],MATCH($A14,Tabla1[MARCA],0)),"")</f>
        <v>150</v>
      </c>
      <c r="C14" cm="1">
        <f t="array" ref="C14">ROUND(SUMPRODUCT((Tabla1[MARCA]=$A14)/COUNTIFS(Tabla1[MARCA],Tabla1[MARCA],Tabla1[CENTRO],Tabla1[CENTRO])),0)</f>
        <v>16</v>
      </c>
      <c r="D14">
        <f>COUNTIF(Tabla1[MARCA],$A14)</f>
        <v>96</v>
      </c>
      <c r="F14" t="s">
        <v>2225</v>
      </c>
      <c r="I14" s="61" t="s">
        <v>1487</v>
      </c>
    </row>
    <row r="15" spans="1:9" x14ac:dyDescent="0.25">
      <c r="A15" t="str">
        <v>LIVAN</v>
      </c>
      <c r="B15" t="str">
        <f>IFERROR(INDEX(Tabla1[COD_MARCA],MATCH($A15,Tabla1[MARCA],0)),"")</f>
        <v>160</v>
      </c>
      <c r="C15" cm="1">
        <f t="array" ref="C15">ROUND(SUMPRODUCT((Tabla1[MARCA]=$A15)/COUNTIFS(Tabla1[MARCA],Tabla1[MARCA],Tabla1[CENTRO],Tabla1[CENTRO])),0)</f>
        <v>4</v>
      </c>
      <c r="D15">
        <f>COUNTIF(Tabla1[MARCA],$A15)</f>
        <v>11</v>
      </c>
      <c r="F15" t="s">
        <v>2223</v>
      </c>
      <c r="I15" s="61" t="s">
        <v>1511</v>
      </c>
    </row>
    <row r="16" spans="1:9" x14ac:dyDescent="0.25">
      <c r="A16" t="str">
        <v>LYNK CO</v>
      </c>
      <c r="B16" t="str">
        <f>IFERROR(INDEX(Tabla1[COD_MARCA],MATCH($A16,Tabla1[MARCA],0)),"")</f>
        <v>170</v>
      </c>
      <c r="C16" cm="1">
        <f t="array" ref="C16">ROUND(SUMPRODUCT((Tabla1[MARCA]=$A16)/COUNTIFS(Tabla1[MARCA],Tabla1[MARCA],Tabla1[CENTRO],Tabla1[CENTRO])),0)</f>
        <v>6</v>
      </c>
      <c r="D16">
        <f>COUNTIF(Tabla1[MARCA],$A16)</f>
        <v>17</v>
      </c>
      <c r="F16" t="s">
        <v>2226</v>
      </c>
      <c r="I16" s="61" t="s">
        <v>1535</v>
      </c>
    </row>
    <row r="17" spans="1:9" x14ac:dyDescent="0.25">
      <c r="A17" t="str">
        <v>MAXIMAL</v>
      </c>
      <c r="B17" t="str">
        <f>IFERROR(INDEX(Tabla1[COD_MARCA],MATCH($A17,Tabla1[MARCA],0)),"")</f>
        <v>180</v>
      </c>
      <c r="C17" cm="1">
        <f t="array" ref="C17">ROUND(SUMPRODUCT((Tabla1[MARCA]=$A17)/COUNTIFS(Tabla1[MARCA],Tabla1[MARCA],Tabla1[CENTRO],Tabla1[CENTRO])),0)</f>
        <v>10</v>
      </c>
      <c r="D17">
        <f>COUNTIF(Tabla1[MARCA],$A17)</f>
        <v>90</v>
      </c>
      <c r="F17" t="s">
        <v>2227</v>
      </c>
      <c r="I17" s="61" t="s">
        <v>1559</v>
      </c>
    </row>
    <row r="18" spans="1:9" x14ac:dyDescent="0.25">
      <c r="A18" s="26" t="str">
        <v>RIDDARA</v>
      </c>
      <c r="B18" t="str">
        <f>IFERROR(INDEX(Tabla1[COD_MARCA],MATCH($A18,Tabla1[MARCA],0)),"")</f>
        <v>220</v>
      </c>
      <c r="C18" cm="1">
        <f t="array" ref="C18">ROUND(SUMPRODUCT((Tabla1[MARCA]=$A18)/COUNTIFS(Tabla1[MARCA],Tabla1[MARCA],Tabla1[CENTRO],Tabla1[CENTRO])),0)</f>
        <v>4</v>
      </c>
      <c r="D18">
        <f>COUNTIF(Tabla1[MARCA],$A18)</f>
        <v>7</v>
      </c>
      <c r="F18" t="s">
        <v>2223</v>
      </c>
      <c r="I18" s="61" t="s">
        <v>1583</v>
      </c>
    </row>
    <row r="19" spans="1:9" x14ac:dyDescent="0.25">
      <c r="A19" t="str">
        <v>TERBERG</v>
      </c>
      <c r="B19" t="str">
        <f>IFERROR(INDEX(Tabla1[COD_MARCA],MATCH($A19,Tabla1[MARCA],0)),"")</f>
        <v>230</v>
      </c>
      <c r="C19" cm="1">
        <f t="array" ref="C19">ROUND(SUMPRODUCT((Tabla1[MARCA]=$A19)/COUNTIFS(Tabla1[MARCA],Tabla1[MARCA],Tabla1[CENTRO],Tabla1[CENTRO])),0)</f>
        <v>8</v>
      </c>
      <c r="D19">
        <f>COUNTIF(Tabla1[MARCA],$A19)</f>
        <v>48</v>
      </c>
      <c r="F19" t="s">
        <v>2222</v>
      </c>
      <c r="I19" s="61" t="s">
        <v>1607</v>
      </c>
    </row>
    <row r="20" spans="1:9" x14ac:dyDescent="0.25">
      <c r="A20" t="str">
        <v>TODAS/OTRAS MARCAS</v>
      </c>
      <c r="B20" t="str">
        <f>IFERROR(INDEX(Tabla1[COD_MARCA],MATCH($A20,Tabla1[MARCA],0)),"")</f>
        <v>280</v>
      </c>
      <c r="C20" cm="1">
        <f t="array" ref="C20">ROUND(SUMPRODUCT((Tabla1[MARCA]=$A20)/COUNTIFS(Tabla1[MARCA],Tabla1[MARCA],Tabla1[CENTRO],Tabla1[CENTRO])),0)</f>
        <v>20</v>
      </c>
      <c r="D20">
        <f>COUNTIF(Tabla1[MARCA],$A20)</f>
        <v>86</v>
      </c>
      <c r="F20" t="s">
        <v>2228</v>
      </c>
      <c r="I20" s="61" t="s">
        <v>1782</v>
      </c>
    </row>
    <row r="21" spans="1:9" x14ac:dyDescent="0.25">
      <c r="A21" t="str">
        <v>ZXAUTO</v>
      </c>
      <c r="B21" t="str">
        <f>IFERROR(INDEX(Tabla1[COD_MARCA],MATCH($A21,Tabla1[MARCA],0)),"")</f>
        <v>260</v>
      </c>
      <c r="C21" cm="1">
        <f t="array" ref="C21">ROUND(SUMPRODUCT((Tabla1[MARCA]=$A21)/COUNTIFS(Tabla1[MARCA],Tabla1[MARCA],Tabla1[CENTRO],Tabla1[CENTRO])),0)</f>
        <v>4</v>
      </c>
      <c r="D21">
        <f>COUNTIF(Tabla1[MARCA],$A21)</f>
        <v>7</v>
      </c>
      <c r="F21" t="s">
        <v>2223</v>
      </c>
      <c r="I21" s="61" t="s">
        <v>1833</v>
      </c>
    </row>
    <row r="22" spans="1:9" x14ac:dyDescent="0.25">
      <c r="I22" s="62"/>
    </row>
    <row r="23" spans="1:9" x14ac:dyDescent="0.25">
      <c r="A23" s="31" t="s">
        <v>2229</v>
      </c>
    </row>
    <row r="24" spans="1:9" x14ac:dyDescent="0.25">
      <c r="A24" s="32" t="s">
        <v>0</v>
      </c>
      <c r="B24" s="32" t="s">
        <v>2230</v>
      </c>
      <c r="C24" s="33" t="s">
        <v>2218</v>
      </c>
      <c r="D24" s="33" t="s">
        <v>2231</v>
      </c>
      <c r="E24" s="33" t="s">
        <v>2219</v>
      </c>
      <c r="F24" s="33" t="s">
        <v>1878</v>
      </c>
    </row>
    <row r="25" spans="1:9" x14ac:dyDescent="0.25">
      <c r="A25" t="str" cm="1">
        <f t="array" ref="A25:A41">_xlfn._xlws.SORT(_xlfn.UNIQUE(Tabla1[COD_FABRICANTE]))</f>
        <v>F0001</v>
      </c>
      <c r="B25" t="str">
        <f>IFERROR(INDEX(MARCAS!$B:$B,MATCH($A25,MARCAS!$A:$A,0)),"(sin nombre en hoja MARCAS)")</f>
        <v>CHINA DONG FENG MOTOR INDUSTRY  IMP</v>
      </c>
      <c r="C25" cm="1">
        <f t="array" ref="C25">ROUND(SUMPRODUCT((Tabla1[COD_FABRICANTE]=$A25)/COUNTIFS(Tabla1[COD_FABRICANTE],Tabla1[COD_FABRICANTE],Tabla1[CENTRO],Tabla1[CENTRO])),0)</f>
        <v>7</v>
      </c>
      <c r="D25" cm="1">
        <f t="array" ref="D25">ROUND(SUMPRODUCT((Tabla1[COD_FABRICANTE]=$A25)/COUNTIFS(Tabla1[COD_FABRICANTE],Tabla1[COD_FABRICANTE],Tabla1[MARCA],Tabla1[MARCA])),0)</f>
        <v>1</v>
      </c>
      <c r="E25">
        <v>42</v>
      </c>
      <c r="F25" t="str" cm="1">
        <f t="array" ref="F25">_xlfn.TEXTJOIN(", ",TRUE,_xlfn._xlws.SORT(_xlfn.UNIQUE(_xlfn._xlws.FILTER(Tabla1[CENTRO],Tabla1[COD_FABRICANTE]=$A25))))</f>
        <v>VA00, VA01, VA02, VA03, VA04, VA05, VA06</v>
      </c>
    </row>
    <row r="26" spans="1:9" x14ac:dyDescent="0.25">
      <c r="A26" t="str">
        <v>F0006</v>
      </c>
      <c r="B26" t="str">
        <f>IFERROR(INDEX(MARCAS!$B:$B,MATCH($A26,MARCAS!$A:$A,0)),"(sin nombre en hoja MARCAS)")</f>
        <v>INTERNATIONAL MOTORS, LLC</v>
      </c>
      <c r="C26" cm="1">
        <f t="array" ref="C26">ROUND(SUMPRODUCT((Tabla1[COD_FABRICANTE]=$A26)/COUNTIFS(Tabla1[COD_FABRICANTE],Tabla1[COD_FABRICANTE],Tabla1[CENTRO],Tabla1[CENTRO])),0)</f>
        <v>7</v>
      </c>
      <c r="D26" cm="1">
        <f t="array" ref="D26">ROUND(SUMPRODUCT((Tabla1[COD_FABRICANTE]=$A26)/COUNTIFS(Tabla1[COD_FABRICANTE],Tabla1[COD_FABRICANTE],Tabla1[MARCA],Tabla1[MARCA])),0)</f>
        <v>1</v>
      </c>
      <c r="E26">
        <v>35</v>
      </c>
      <c r="F26" t="str" cm="1">
        <f t="array" ref="F26">_xlfn.TEXTJOIN(", ",TRUE,_xlfn._xlws.SORT(_xlfn.UNIQUE(_xlfn._xlws.FILTER(Tabla1[CENTRO],Tabla1[COD_FABRICANTE]=$A26))))</f>
        <v>VA00, VA01, VA02, VA03, VA04, VA05, VA06</v>
      </c>
    </row>
    <row r="27" spans="1:9" x14ac:dyDescent="0.25">
      <c r="A27" t="str">
        <v>F0010</v>
      </c>
      <c r="B27" t="str">
        <f>IFERROR(INDEX(MARCAS!$B:$B,MATCH($A27,MARCAS!$A:$A,0)),"(sin nombre en hoja MARCAS)")</f>
        <v>HYSTER-YALE MAXIMAL FORKLIFT (ZHEJI</v>
      </c>
      <c r="C27" cm="1">
        <f t="array" ref="C27">ROUND(SUMPRODUCT((Tabla1[COD_FABRICANTE]=$A27)/COUNTIFS(Tabla1[COD_FABRICANTE],Tabla1[COD_FABRICANTE],Tabla1[CENTRO],Tabla1[CENTRO])),0)</f>
        <v>10</v>
      </c>
      <c r="D27" cm="1">
        <f t="array" ref="D27">ROUND(SUMPRODUCT((Tabla1[COD_FABRICANTE]=$A27)/COUNTIFS(Tabla1[COD_FABRICANTE],Tabla1[COD_FABRICANTE],Tabla1[MARCA],Tabla1[MARCA])),0)</f>
        <v>1</v>
      </c>
      <c r="E27">
        <v>96</v>
      </c>
      <c r="F27" t="str" cm="1">
        <f t="array" ref="F27">_xlfn.TEXTJOIN(", ",TRUE,_xlfn._xlws.SORT(_xlfn.UNIQUE(_xlfn._xlws.FILTER(Tabla1[CENTRO],Tabla1[COD_FABRICANTE]=$A27))))</f>
        <v>VC00, VC01, VC02, VC03, VC04, VC05, VC06, VC07, VE00, VE01</v>
      </c>
    </row>
    <row r="28" spans="1:9" x14ac:dyDescent="0.25">
      <c r="A28" t="str">
        <v>F0012</v>
      </c>
      <c r="B28" t="str">
        <f>IFERROR(INDEX(MARCAS!$B:$B,MATCH($A28,MARCAS!$A:$A,0)),"(sin nombre en hoja MARCAS)")</f>
        <v>NMHG INC. PARTS DISTRIBUTION CENTER</v>
      </c>
      <c r="C28" cm="1">
        <f t="array" ref="C28">ROUND(SUMPRODUCT((Tabla1[COD_FABRICANTE]=$A28)/COUNTIFS(Tabla1[COD_FABRICANTE],Tabla1[COD_FABRICANTE],Tabla1[CENTRO],Tabla1[CENTRO])),0)</f>
        <v>8</v>
      </c>
      <c r="D28" cm="1">
        <f t="array" ref="D28">ROUND(SUMPRODUCT((Tabla1[COD_FABRICANTE]=$A28)/COUNTIFS(Tabla1[COD_FABRICANTE],Tabla1[COD_FABRICANTE],Tabla1[MARCA],Tabla1[MARCA])),0)</f>
        <v>1</v>
      </c>
      <c r="E28">
        <v>48</v>
      </c>
      <c r="F28" t="str" cm="1">
        <f t="array" ref="F28">_xlfn.TEXTJOIN(", ",TRUE,_xlfn._xlws.SORT(_xlfn.UNIQUE(_xlfn._xlws.FILTER(Tabla1[CENTRO],Tabla1[COD_FABRICANTE]=$A28))))</f>
        <v>VC00, VC01, VC02, VC03, VC04, VC05, VC06, VC07</v>
      </c>
    </row>
    <row r="29" spans="1:9" x14ac:dyDescent="0.25">
      <c r="A29" t="str">
        <v>F0014</v>
      </c>
      <c r="B29" t="str">
        <f>IFERROR(INDEX(MARCAS!$B:$B,MATCH($A29,MARCAS!$A:$A,0)),"(sin nombre en hoja MARCAS)")</f>
        <v>HIDROMEK-HIDROLIK VE MEKNANIK LTD.</v>
      </c>
      <c r="C29" cm="1">
        <f t="array" ref="C29">ROUND(SUMPRODUCT((Tabla1[COD_FABRICANTE]=$A29)/COUNTIFS(Tabla1[COD_FABRICANTE],Tabla1[COD_FABRICANTE],Tabla1[CENTRO],Tabla1[CENTRO])),0)</f>
        <v>8</v>
      </c>
      <c r="D29" cm="1">
        <f t="array" ref="D29">ROUND(SUMPRODUCT((Tabla1[COD_FABRICANTE]=$A29)/COUNTIFS(Tabla1[COD_FABRICANTE],Tabla1[COD_FABRICANTE],Tabla1[MARCA],Tabla1[MARCA])),0)</f>
        <v>1</v>
      </c>
      <c r="E29">
        <v>40</v>
      </c>
      <c r="F29" t="str" cm="1">
        <f t="array" ref="F29">_xlfn.TEXTJOIN(", ",TRUE,_xlfn._xlws.SORT(_xlfn.UNIQUE(_xlfn._xlws.FILTER(Tabla1[CENTRO],Tabla1[COD_FABRICANTE]=$A29))))</f>
        <v>VC00, VC01, VC02, VC03, VC04, VC05, VC06, VC07</v>
      </c>
    </row>
    <row r="30" spans="1:9" x14ac:dyDescent="0.25">
      <c r="A30" t="str">
        <v>F0015</v>
      </c>
      <c r="B30" t="str">
        <f>IFERROR(INDEX(MARCAS!$B:$B,MATCH($A30,MARCAS!$A:$A,0)),"(sin nombre en hoja MARCAS)")</f>
        <v>Terberg Tractors Americas, Inc</v>
      </c>
      <c r="C30" cm="1">
        <f t="array" ref="C30">ROUND(SUMPRODUCT((Tabla1[COD_FABRICANTE]=$A30)/COUNTIFS(Tabla1[COD_FABRICANTE],Tabla1[COD_FABRICANTE],Tabla1[CENTRO],Tabla1[CENTRO])),0)</f>
        <v>8</v>
      </c>
      <c r="D30" cm="1">
        <f t="array" ref="D30">ROUND(SUMPRODUCT((Tabla1[COD_FABRICANTE]=$A30)/COUNTIFS(Tabla1[COD_FABRICANTE],Tabla1[COD_FABRICANTE],Tabla1[MARCA],Tabla1[MARCA])),0)</f>
        <v>1</v>
      </c>
      <c r="E30">
        <v>48</v>
      </c>
      <c r="F30" t="str" cm="1">
        <f t="array" ref="F30">_xlfn.TEXTJOIN(", ",TRUE,_xlfn._xlws.SORT(_xlfn.UNIQUE(_xlfn._xlws.FILTER(Tabla1[CENTRO],Tabla1[COD_FABRICANTE]=$A30))))</f>
        <v>VC00, VC01, VC02, VC03, VC04, VC05, VC06, VC07</v>
      </c>
    </row>
    <row r="31" spans="1:9" x14ac:dyDescent="0.25">
      <c r="A31" t="str">
        <v>F0016</v>
      </c>
      <c r="B31" t="str">
        <f>IFERROR(INDEX(MARCAS!$B:$B,MATCH($A31,MARCAS!$A:$A,0)),"(sin nombre en hoja MARCAS)")</f>
        <v>Guangxi Liugong Machinery Co., Ltd.</v>
      </c>
      <c r="C31" cm="1">
        <f t="array" ref="C31">ROUND(SUMPRODUCT((Tabla1[COD_FABRICANTE]=$A31)/COUNTIFS(Tabla1[COD_FABRICANTE],Tabla1[COD_FABRICANTE],Tabla1[CENTRO],Tabla1[CENTRO])),0)</f>
        <v>16</v>
      </c>
      <c r="D31" cm="1">
        <f t="array" ref="D31">ROUND(SUMPRODUCT((Tabla1[COD_FABRICANTE]=$A31)/COUNTIFS(Tabla1[COD_FABRICANTE],Tabla1[COD_FABRICANTE],Tabla1[MARCA],Tabla1[MARCA])),0)</f>
        <v>1</v>
      </c>
      <c r="E31">
        <v>96</v>
      </c>
      <c r="F31" t="str" cm="1">
        <f t="array" ref="F31">_xlfn.TEXTJOIN(", ",TRUE,_xlfn._xlws.SORT(_xlfn.UNIQUE(_xlfn._xlws.FILTER(Tabla1[CENTRO],Tabla1[COD_FABRICANTE]=$A31))))</f>
        <v>VC00, VC01, VC02, VC03, VC04, VC05, VC06, VC07, VD00, VD01, VD02, VD03, VD04, VD05, VD06, VD07</v>
      </c>
    </row>
    <row r="32" spans="1:9" x14ac:dyDescent="0.25">
      <c r="A32" t="str">
        <v>F0019</v>
      </c>
      <c r="B32" t="str">
        <f>IFERROR(INDEX(MARCAS!$B:$B,MATCH($A32,MARCAS!$A:$A,0)),"(sin nombre en hoja MARCAS)")</f>
        <v>KYC CHONGQING KUAYUE (GROUP) CO.</v>
      </c>
      <c r="C32" cm="1">
        <f t="array" ref="C32">ROUND(SUMPRODUCT((Tabla1[COD_FABRICANTE]=$A32)/COUNTIFS(Tabla1[COD_FABRICANTE],Tabla1[COD_FABRICANTE],Tabla1[CENTRO],Tabla1[CENTRO])),0)</f>
        <v>4</v>
      </c>
      <c r="D32" cm="1">
        <f t="array" ref="D32">ROUND(SUMPRODUCT((Tabla1[COD_FABRICANTE]=$A32)/COUNTIFS(Tabla1[COD_FABRICANTE],Tabla1[COD_FABRICANTE],Tabla1[MARCA],Tabla1[MARCA])),0)</f>
        <v>1</v>
      </c>
      <c r="E32">
        <v>7</v>
      </c>
      <c r="F32" t="str" cm="1">
        <f t="array" ref="F32">_xlfn.TEXTJOIN(", ",TRUE,_xlfn._xlws.SORT(_xlfn.UNIQUE(_xlfn._xlws.FILTER(Tabla1[CENTRO],Tabla1[COD_FABRICANTE]=$A32))))</f>
        <v>VF00, VF01, VF04, VF06</v>
      </c>
    </row>
    <row r="33" spans="1:6" x14ac:dyDescent="0.25">
      <c r="A33" t="str">
        <v>F0020</v>
      </c>
      <c r="B33" t="str">
        <f>IFERROR(INDEX(MARCAS!$B:$B,MATCH($A33,MARCAS!$A:$A,0)),"(sin nombre en hoja MARCAS)")</f>
        <v>ZXAUTO INTERNATINOAL IMPORT AND EXP</v>
      </c>
      <c r="C33" cm="1">
        <f t="array" ref="C33">ROUND(SUMPRODUCT((Tabla1[COD_FABRICANTE]=$A33)/COUNTIFS(Tabla1[COD_FABRICANTE],Tabla1[COD_FABRICANTE],Tabla1[CENTRO],Tabla1[CENTRO])),0)</f>
        <v>4</v>
      </c>
      <c r="D33" cm="1">
        <f t="array" ref="D33">ROUND(SUMPRODUCT((Tabla1[COD_FABRICANTE]=$A33)/COUNTIFS(Tabla1[COD_FABRICANTE],Tabla1[COD_FABRICANTE],Tabla1[MARCA],Tabla1[MARCA])),0)</f>
        <v>1</v>
      </c>
      <c r="E33">
        <v>7</v>
      </c>
      <c r="F33" t="str" cm="1">
        <f t="array" ref="F33">_xlfn.TEXTJOIN(", ",TRUE,_xlfn._xlws.SORT(_xlfn.UNIQUE(_xlfn._xlws.FILTER(Tabla1[CENTRO],Tabla1[COD_FABRICANTE]=$A33))))</f>
        <v>VF00, VF01, VF04, VF06</v>
      </c>
    </row>
    <row r="34" spans="1:6" x14ac:dyDescent="0.25">
      <c r="A34" t="str">
        <v>F0021</v>
      </c>
      <c r="B34" t="str">
        <f>IFERROR(INDEX(MARCAS!$B:$B,MATCH($A34,MARCAS!$A:$A,0)),"(sin nombre en hoja MARCAS)")</f>
        <v>CHONGQING LIFAN SUZHUI FOREIGN TRAD</v>
      </c>
      <c r="C34" cm="1">
        <f t="array" ref="C34">ROUND(SUMPRODUCT((Tabla1[COD_FABRICANTE]=$A34)/COUNTIFS(Tabla1[COD_FABRICANTE],Tabla1[COD_FABRICANTE],Tabla1[CENTRO],Tabla1[CENTRO])),0)</f>
        <v>3</v>
      </c>
      <c r="D34" cm="1">
        <f t="array" ref="D34">ROUND(SUMPRODUCT((Tabla1[COD_FABRICANTE]=$A34)/COUNTIFS(Tabla1[COD_FABRICANTE],Tabla1[COD_FABRICANTE],Tabla1[MARCA],Tabla1[MARCA])),0)</f>
        <v>1</v>
      </c>
      <c r="E34">
        <v>6</v>
      </c>
      <c r="F34" t="str" cm="1">
        <f t="array" ref="F34">_xlfn.TEXTJOIN(", ",TRUE,_xlfn._xlws.SORT(_xlfn.UNIQUE(_xlfn._xlws.FILTER(Tabla1[CENTRO],Tabla1[COD_FABRICANTE]=$A34))))</f>
        <v>VF00, VF03, VF04</v>
      </c>
    </row>
    <row r="35" spans="1:6" x14ac:dyDescent="0.25">
      <c r="A35" t="str">
        <v>F0022</v>
      </c>
      <c r="B35" t="str">
        <f>IFERROR(INDEX(MARCAS!$B:$B,MATCH($A35,MARCAS!$A:$A,0)),"(sin nombre en hoja MARCAS)")</f>
        <v>DONGFENG AUTOBOBILE CO LTD</v>
      </c>
      <c r="C35" cm="1">
        <f t="array" ref="C35">ROUND(SUMPRODUCT((Tabla1[COD_FABRICANTE]=$A35)/COUNTIFS(Tabla1[COD_FABRICANTE],Tabla1[COD_FABRICANTE],Tabla1[CENTRO],Tabla1[CENTRO])),0)</f>
        <v>11</v>
      </c>
      <c r="D35" cm="1">
        <f t="array" ref="D35">ROUND(SUMPRODUCT((Tabla1[COD_FABRICANTE]=$A35)/COUNTIFS(Tabla1[COD_FABRICANTE],Tabla1[COD_FABRICANTE],Tabla1[MARCA],Tabla1[MARCA])),0)</f>
        <v>1</v>
      </c>
      <c r="E35">
        <v>49</v>
      </c>
      <c r="F35" t="str" cm="1">
        <f t="array" ref="F35">_xlfn.TEXTJOIN(", ",TRUE,_xlfn._xlws.SORT(_xlfn.UNIQUE(_xlfn._xlws.FILTER(Tabla1[CENTRO],Tabla1[COD_FABRICANTE]=$A35))))</f>
        <v>VA00, VA01, VA02, VA03, VA04, VA05, VA06, VF00, VF01, VF04, VF06</v>
      </c>
    </row>
    <row r="36" spans="1:6" x14ac:dyDescent="0.25">
      <c r="A36" t="str">
        <v>F0023</v>
      </c>
      <c r="B36" t="str">
        <f>IFERROR(INDEX(MARCAS!$B:$B,MATCH($A36,MARCAS!$A:$A,0)),"(sin nombre en hoja MARCAS)")</f>
        <v>LIVAN AUTO IMP. &amp; EXP. CO., LTD</v>
      </c>
      <c r="C36" cm="1">
        <f t="array" ref="C36">ROUND(SUMPRODUCT((Tabla1[COD_FABRICANTE]=$A36)/COUNTIFS(Tabla1[COD_FABRICANTE],Tabla1[COD_FABRICANTE],Tabla1[CENTRO],Tabla1[CENTRO])),0)</f>
        <v>4</v>
      </c>
      <c r="D36" cm="1">
        <f t="array" ref="D36">ROUND(SUMPRODUCT((Tabla1[COD_FABRICANTE]=$A36)/COUNTIFS(Tabla1[COD_FABRICANTE],Tabla1[COD_FABRICANTE],Tabla1[MARCA],Tabla1[MARCA])),0)</f>
        <v>1</v>
      </c>
      <c r="E36">
        <v>11</v>
      </c>
      <c r="F36" t="str" cm="1">
        <f t="array" ref="F36">_xlfn.TEXTJOIN(", ",TRUE,_xlfn._xlws.SORT(_xlfn.UNIQUE(_xlfn._xlws.FILTER(Tabla1[CENTRO],Tabla1[COD_FABRICANTE]=$A36))))</f>
        <v>VF00, VF01, VF04, VF06</v>
      </c>
    </row>
    <row r="37" spans="1:6" x14ac:dyDescent="0.25">
      <c r="A37" t="str">
        <v>F0025</v>
      </c>
      <c r="B37" t="str">
        <f>IFERROR(INDEX(MARCAS!$B:$B,MATCH($A37,MARCAS!$A:$A,0)),"(sin nombre en hoja MARCAS)")</f>
        <v>SHANDONG OULING AUTOMOBILE MANUFACT</v>
      </c>
      <c r="C37" cm="1">
        <f t="array" ref="C37">ROUND(SUMPRODUCT((Tabla1[COD_FABRICANTE]=$A37)/COUNTIFS(Tabla1[COD_FABRICANTE],Tabla1[COD_FABRICANTE],Tabla1[CENTRO],Tabla1[CENTRO])),0)</f>
        <v>4</v>
      </c>
      <c r="D37" cm="1">
        <f t="array" ref="D37">ROUND(SUMPRODUCT((Tabla1[COD_FABRICANTE]=$A37)/COUNTIFS(Tabla1[COD_FABRICANTE],Tabla1[COD_FABRICANTE],Tabla1[MARCA],Tabla1[MARCA])),0)</f>
        <v>1</v>
      </c>
      <c r="E37">
        <v>17</v>
      </c>
      <c r="F37" t="str" cm="1">
        <f t="array" ref="F37">_xlfn.TEXTJOIN(", ",TRUE,_xlfn._xlws.SORT(_xlfn.UNIQUE(_xlfn._xlws.FILTER(Tabla1[CENTRO],Tabla1[COD_FABRICANTE]=$A37))))</f>
        <v>VF00, VF01, VF04, VF06</v>
      </c>
    </row>
    <row r="38" spans="1:6" x14ac:dyDescent="0.25">
      <c r="A38" t="str">
        <v>F0027</v>
      </c>
      <c r="B38" t="str">
        <f>IFERROR(INDEX(MARCAS!$B:$B,MATCH($A38,MARCAS!$A:$A,0)),"(sin nombre en hoja MARCAS)")</f>
        <v>LYNK &amp; CO AUTOMOBILE INTERNATIONAL</v>
      </c>
      <c r="C38" cm="1">
        <f t="array" ref="C38">ROUND(SUMPRODUCT((Tabla1[COD_FABRICANTE]=$A38)/COUNTIFS(Tabla1[COD_FABRICANTE],Tabla1[COD_FABRICANTE],Tabla1[CENTRO],Tabla1[CENTRO])),0)</f>
        <v>6</v>
      </c>
      <c r="D38" cm="1">
        <f t="array" ref="D38">ROUND(SUMPRODUCT((Tabla1[COD_FABRICANTE]=$A38)/COUNTIFS(Tabla1[COD_FABRICANTE],Tabla1[COD_FABRICANTE],Tabla1[MARCA],Tabla1[MARCA])),0)</f>
        <v>1</v>
      </c>
      <c r="E38">
        <v>49</v>
      </c>
      <c r="F38" t="str" cm="1">
        <f t="array" ref="F38">_xlfn.TEXTJOIN(", ",TRUE,_xlfn._xlws.SORT(_xlfn.UNIQUE(_xlfn._xlws.FILTER(Tabla1[CENTRO],Tabla1[COD_FABRICANTE]=$A38))))</f>
        <v>VF00, VF01, VF04, VF05, VF06, VF07</v>
      </c>
    </row>
    <row r="39" spans="1:6" x14ac:dyDescent="0.25">
      <c r="A39" t="str">
        <v>F0028</v>
      </c>
      <c r="B39" t="str">
        <f>IFERROR(INDEX(MARCAS!$B:$B,MATCH($A39,MARCAS!$A:$A,0)),"(sin nombre en hoja MARCAS)")</f>
        <v>CHINA FAW GROUP IMPORT &amp; EXPORT CO.</v>
      </c>
      <c r="C39" cm="1">
        <f t="array" ref="C39">ROUND(SUMPRODUCT((Tabla1[COD_FABRICANTE]=$A39)/COUNTIFS(Tabla1[COD_FABRICANTE],Tabla1[COD_FABRICANTE],Tabla1[CENTRO],Tabla1[CENTRO])),0)</f>
        <v>11</v>
      </c>
      <c r="D39" cm="1">
        <f t="array" ref="D39">ROUND(SUMPRODUCT((Tabla1[COD_FABRICANTE]=$A39)/COUNTIFS(Tabla1[COD_FABRICANTE],Tabla1[COD_FABRICANTE],Tabla1[MARCA],Tabla1[MARCA])),0)</f>
        <v>1</v>
      </c>
      <c r="E39">
        <v>96</v>
      </c>
      <c r="F39" t="str" cm="1">
        <f t="array" ref="F39">_xlfn.TEXTJOIN(", ",TRUE,_xlfn._xlws.SORT(_xlfn.UNIQUE(_xlfn._xlws.FILTER(Tabla1[CENTRO],Tabla1[COD_FABRICANTE]=$A39))))</f>
        <v>VA00, VA01, VA02, VA03, VA04, VA05, VA06, VF00, VF01, VF04, VF06</v>
      </c>
    </row>
    <row r="40" spans="1:6" x14ac:dyDescent="0.25">
      <c r="A40" t="str">
        <v>F0029</v>
      </c>
      <c r="B40" t="str">
        <f>IFERROR(INDEX(MARCAS!$B:$B,MATCH($A40,MARCAS!$A:$A,0)),"(sin nombre en hoja MARCAS)")</f>
        <v>CHERY AUTOMOBILE HENAN CO. LT</v>
      </c>
      <c r="C40" cm="1">
        <f t="array" ref="C40">ROUND(SUMPRODUCT((Tabla1[COD_FABRICANTE]=$A40)/COUNTIFS(Tabla1[COD_FABRICANTE],Tabla1[COD_FABRICANTE],Tabla1[CENTRO],Tabla1[CENTRO])),0)</f>
        <v>2</v>
      </c>
      <c r="D40" cm="1">
        <f t="array" ref="D40">ROUND(SUMPRODUCT((Tabla1[COD_FABRICANTE]=$A40)/COUNTIFS(Tabla1[COD_FABRICANTE],Tabla1[COD_FABRICANTE],Tabla1[MARCA],Tabla1[MARCA])),0)</f>
        <v>1</v>
      </c>
      <c r="E40">
        <v>96</v>
      </c>
      <c r="F40" t="str" cm="1">
        <f t="array" ref="F40">_xlfn.TEXTJOIN(", ",TRUE,_xlfn._xlws.SORT(_xlfn.UNIQUE(_xlfn._xlws.FILTER(Tabla1[CENTRO],Tabla1[COD_FABRICANTE]=$A40))))</f>
        <v>VF00, VF04</v>
      </c>
    </row>
    <row r="41" spans="1:6" x14ac:dyDescent="0.25">
      <c r="A41" t="str">
        <v>F9999</v>
      </c>
      <c r="B41" t="str">
        <f>IFERROR(INDEX(MARCAS!$B:$B,MATCH($A41,MARCAS!$A:$A,0)),"(sin nombre en hoja MARCAS)")</f>
        <v>OTRAS MARCAS</v>
      </c>
      <c r="C41" cm="1">
        <f t="array" ref="C41">ROUND(SUMPRODUCT((Tabla1[COD_FABRICANTE]=$A41)/COUNTIFS(Tabla1[COD_FABRICANTE],Tabla1[COD_FABRICANTE],Tabla1[CENTRO],Tabla1[CENTRO])),0)</f>
        <v>20</v>
      </c>
      <c r="D41" cm="1">
        <f t="array" ref="D41">ROUND(SUMPRODUCT((Tabla1[COD_FABRICANTE]=$A41)/COUNTIFS(Tabla1[COD_FABRICANTE],Tabla1[COD_FABRICANTE],Tabla1[MARCA],Tabla1[MARCA])),0)</f>
        <v>1</v>
      </c>
      <c r="E41">
        <v>96</v>
      </c>
      <c r="F41" t="str" cm="1">
        <f t="array" ref="F41">_xlfn.TEXTJOIN(", ",TRUE,_xlfn._xlws.SORT(_xlfn.UNIQUE(_xlfn._xlws.FILTER(Tabla1[CENTRO],Tabla1[COD_FABRICANTE]=$A41))))</f>
        <v>VA00, VA01, VA02, VA03, VA04, VA05, VA06, VC00, VC01, VC02, VC03, VC04, VC05, VC06, VC07, VF00, VF01, VF03, VF04, VF06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A210-0EE2-4FBC-898A-56881E02388A}">
  <dimension ref="A1:BT35"/>
  <sheetViews>
    <sheetView tabSelected="1" topLeftCell="B1" workbookViewId="0">
      <selection activeCell="G38" sqref="G38"/>
    </sheetView>
  </sheetViews>
  <sheetFormatPr baseColWidth="10" defaultColWidth="9.140625" defaultRowHeight="15" x14ac:dyDescent="0.25"/>
  <cols>
    <col min="2" max="2" width="40.85546875" bestFit="1" customWidth="1"/>
  </cols>
  <sheetData>
    <row r="1" spans="1:72" x14ac:dyDescent="0.25">
      <c r="A1" s="48" t="s">
        <v>1837</v>
      </c>
      <c r="B1" s="48" t="s">
        <v>1838</v>
      </c>
      <c r="C1" s="48" t="s">
        <v>6</v>
      </c>
      <c r="D1" s="48" t="s">
        <v>24</v>
      </c>
      <c r="E1" s="48" t="s">
        <v>2020</v>
      </c>
      <c r="F1" s="48" t="s">
        <v>27</v>
      </c>
      <c r="G1" s="48" t="s">
        <v>43</v>
      </c>
      <c r="H1" s="48" t="s">
        <v>2039</v>
      </c>
      <c r="I1" s="48" t="s">
        <v>46</v>
      </c>
      <c r="J1" s="48" t="s">
        <v>49</v>
      </c>
      <c r="K1" s="48" t="s">
        <v>52</v>
      </c>
      <c r="L1" s="48" t="s">
        <v>64</v>
      </c>
      <c r="M1" s="48" t="s">
        <v>75</v>
      </c>
      <c r="N1" s="48" t="s">
        <v>78</v>
      </c>
      <c r="O1" s="48" t="s">
        <v>83</v>
      </c>
      <c r="P1" s="48" t="s">
        <v>85</v>
      </c>
      <c r="Q1" s="48" t="s">
        <v>2067</v>
      </c>
      <c r="R1" s="48" t="s">
        <v>229</v>
      </c>
      <c r="S1" s="48" t="s">
        <v>2076</v>
      </c>
      <c r="T1" s="48" t="s">
        <v>88</v>
      </c>
      <c r="U1" s="48" t="s">
        <v>96</v>
      </c>
      <c r="V1" s="48" t="s">
        <v>149</v>
      </c>
      <c r="W1" s="48" t="s">
        <v>1839</v>
      </c>
      <c r="X1" s="48" t="s">
        <v>2100</v>
      </c>
      <c r="Y1" s="48" t="s">
        <v>2102</v>
      </c>
      <c r="Z1" s="48" t="s">
        <v>2120</v>
      </c>
      <c r="AA1" s="48" t="s">
        <v>2123</v>
      </c>
      <c r="AB1" s="48" t="s">
        <v>2167</v>
      </c>
      <c r="AC1" s="48" t="s">
        <v>2194</v>
      </c>
      <c r="AD1" s="48" t="s">
        <v>2200</v>
      </c>
      <c r="AE1" s="48" t="s">
        <v>2203</v>
      </c>
      <c r="AF1" s="48" t="s">
        <v>99</v>
      </c>
      <c r="AG1" s="48" t="s">
        <v>1996</v>
      </c>
      <c r="AH1" s="48" t="s">
        <v>2002</v>
      </c>
      <c r="AI1" s="48" t="s">
        <v>2008</v>
      </c>
      <c r="AJ1" s="48" t="s">
        <v>2013</v>
      </c>
      <c r="AK1" s="48" t="s">
        <v>2025</v>
      </c>
      <c r="AL1" s="48" t="s">
        <v>2028</v>
      </c>
      <c r="AM1" s="48" t="s">
        <v>2092</v>
      </c>
      <c r="AN1" s="48" t="s">
        <v>2095</v>
      </c>
      <c r="AO1" s="48" t="s">
        <v>2097</v>
      </c>
      <c r="AP1" s="48" t="s">
        <v>2105</v>
      </c>
      <c r="AQ1" s="48" t="s">
        <v>2108</v>
      </c>
      <c r="AR1" s="48" t="s">
        <v>2111</v>
      </c>
      <c r="AS1" s="48" t="s">
        <v>2114</v>
      </c>
      <c r="AT1" s="48" t="s">
        <v>2117</v>
      </c>
      <c r="AU1" s="48" t="s">
        <v>2126</v>
      </c>
      <c r="AV1" s="48" t="s">
        <v>2129</v>
      </c>
      <c r="AW1" s="48" t="s">
        <v>2132</v>
      </c>
      <c r="AX1" s="48" t="s">
        <v>2135</v>
      </c>
      <c r="AY1" s="48" t="s">
        <v>2138</v>
      </c>
      <c r="AZ1" s="48" t="s">
        <v>2141</v>
      </c>
      <c r="BA1" s="48" t="s">
        <v>2144</v>
      </c>
      <c r="BB1" s="48" t="s">
        <v>2147</v>
      </c>
      <c r="BC1" s="48" t="s">
        <v>2150</v>
      </c>
      <c r="BD1" s="48" t="s">
        <v>2153</v>
      </c>
      <c r="BE1" s="48" t="s">
        <v>2156</v>
      </c>
      <c r="BF1" s="48" t="s">
        <v>2159</v>
      </c>
      <c r="BG1" s="48" t="s">
        <v>2162</v>
      </c>
      <c r="BH1" s="48" t="s">
        <v>2165</v>
      </c>
      <c r="BI1" s="48" t="s">
        <v>2170</v>
      </c>
      <c r="BJ1" s="48" t="s">
        <v>2173</v>
      </c>
      <c r="BK1" s="48" t="s">
        <v>2176</v>
      </c>
      <c r="BL1" s="48" t="s">
        <v>2178</v>
      </c>
      <c r="BM1" s="48" t="s">
        <v>2181</v>
      </c>
      <c r="BN1" s="48" t="s">
        <v>2183</v>
      </c>
      <c r="BO1" s="48" t="s">
        <v>2186</v>
      </c>
      <c r="BP1" s="48" t="s">
        <v>2189</v>
      </c>
      <c r="BQ1" s="48" t="s">
        <v>2191</v>
      </c>
      <c r="BR1" s="48" t="s">
        <v>2197</v>
      </c>
      <c r="BS1" s="48" t="s">
        <v>2206</v>
      </c>
      <c r="BT1" s="48" t="s">
        <v>2209</v>
      </c>
    </row>
    <row r="2" spans="1:72" x14ac:dyDescent="0.25">
      <c r="A2" s="47" t="s">
        <v>1840</v>
      </c>
      <c r="B2" s="47" t="s">
        <v>1841</v>
      </c>
      <c r="C2" s="47" t="str">
        <f>_xlfn.XLOOKUP(C1,MARCAS!$A:$A,MARCAS!$C:$C)</f>
        <v>DFCV</v>
      </c>
      <c r="D2" s="47" t="str">
        <f>_xlfn.XLOOKUP(D1,MARCAS!$A:$A,MARCAS!$C:$C)</f>
        <v>INT</v>
      </c>
      <c r="E2" s="47" t="str">
        <f>_xlfn.XLOOKUP(E1,MARCAS!$A:$A,MARCAS!$C:$C)</f>
        <v>BENDI</v>
      </c>
      <c r="F2" s="47" t="str">
        <f>_xlfn.XLOOKUP(F1,MARCAS!$A:$A,MARCAS!$C:$C)</f>
        <v>MXML</v>
      </c>
      <c r="G2" s="47" t="str">
        <f>_xlfn.XLOOKUP(G1,MARCAS!$A:$A,MARCAS!$C:$C)</f>
        <v>HYST</v>
      </c>
      <c r="H2" s="47" t="str">
        <f>_xlfn.XLOOKUP(H1,MARCAS!$A:$A,MARCAS!$C:$C)</f>
        <v>TREL</v>
      </c>
      <c r="I2" s="47" t="str">
        <f>_xlfn.XLOOKUP(I1,MARCAS!$A:$A,MARCAS!$C:$C)</f>
        <v>HMK</v>
      </c>
      <c r="J2" s="47" t="str">
        <f>_xlfn.XLOOKUP(J1,MARCAS!$A:$A,MARCAS!$C:$C)</f>
        <v>TERB</v>
      </c>
      <c r="K2" s="47" t="str">
        <f>_xlfn.XLOOKUP(K1,MARCAS!$A:$A,MARCAS!$C:$C)</f>
        <v>LIUG</v>
      </c>
      <c r="L2" s="47" t="str">
        <f>_xlfn.XLOOKUP(L1,MARCAS!$A:$A,MARCAS!$C:$C)</f>
        <v>KYC</v>
      </c>
      <c r="M2" s="47" t="str">
        <f>_xlfn.XLOOKUP(M1,MARCAS!$A:$A,MARCAS!$C:$C)</f>
        <v>ZXAU</v>
      </c>
      <c r="N2" s="47" t="str">
        <f>_xlfn.XLOOKUP(N1,MARCAS!$A:$A,MARCAS!$C:$C)</f>
        <v>LIFM</v>
      </c>
      <c r="O2" s="47" t="str">
        <f>_xlfn.XLOOKUP(O1,MARCAS!$A:$A,MARCAS!$C:$C)</f>
        <v>DFAC</v>
      </c>
      <c r="P2" s="47" t="str">
        <f>_xlfn.XLOOKUP(P1,MARCAS!$A:$A,MARCAS!$C:$C)</f>
        <v>LIVN</v>
      </c>
      <c r="Q2" s="47" t="str">
        <f>_xlfn.XLOOKUP(Q1,MARCAS!$A:$A,MARCAS!$C:$C)</f>
        <v>LIFA</v>
      </c>
      <c r="R2" s="47" t="str">
        <f>_xlfn.XLOOKUP(R1,MARCAS!$A:$A,MARCAS!$C:$C)</f>
        <v>RIDD</v>
      </c>
      <c r="S2" s="47" t="str">
        <f>_xlfn.XLOOKUP(S1,MARCAS!$A:$A,MARCAS!$C:$C)</f>
        <v>SHIN</v>
      </c>
      <c r="T2" s="47" t="str">
        <f>_xlfn.XLOOKUP(T1,MARCAS!$A:$A,MARCAS!$C:$C)</f>
        <v>LYNK</v>
      </c>
      <c r="U2" s="47" t="str">
        <f>_xlfn.XLOOKUP(U1,MARCAS!$A:$A,MARCAS!$C:$C)</f>
        <v>FAW</v>
      </c>
      <c r="V2" s="47" t="str">
        <f>_xlfn.XLOOKUP(V1,MARCAS!$A:$A,MARCAS!$C:$C)</f>
        <v>JETR</v>
      </c>
      <c r="W2" s="47" t="str">
        <f>_xlfn.XLOOKUP(W1,MARCAS!$A:$A,MARCAS!$C:$C)</f>
        <v>LINH</v>
      </c>
      <c r="X2" s="47" t="str">
        <f>_xlfn.XLOOKUP(X1,MARCAS!$A:$A,MARCAS!$C:$C)</f>
        <v>CUMMI</v>
      </c>
      <c r="Y2" s="47" t="str">
        <f>_xlfn.XLOOKUP(Y1,MARCAS!$A:$A,MARCAS!$C:$C)</f>
        <v>CUMMU</v>
      </c>
      <c r="Z2" s="47" t="str">
        <f>_xlfn.XLOOKUP(Z1,MARCAS!$A:$A,MARCAS!$C:$C)</f>
        <v>EAEND</v>
      </c>
      <c r="AA2" s="47" t="str">
        <f>_xlfn.XLOOKUP(AA1,MARCAS!$A:$A,MARCAS!$C:$C)</f>
        <v>EAFUL</v>
      </c>
      <c r="AB2" s="47" t="str">
        <f>_xlfn.XLOOKUP(AB1,MARCAS!$A:$A,MARCAS!$C:$C)</f>
        <v>NAC</v>
      </c>
      <c r="AC2" s="47" t="str">
        <f>_xlfn.XLOOKUP(AC1,MARCAS!$A:$A,MARCAS!$C:$C)</f>
        <v>TRULI</v>
      </c>
      <c r="AD2" s="47" t="str">
        <f>_xlfn.XLOOKUP(AD1,MARCAS!$A:$A,MARCAS!$C:$C)</f>
        <v>ALT</v>
      </c>
      <c r="AE2" s="47" t="str">
        <f>_xlfn.XLOOKUP(AE1,MARCAS!$A:$A,MARCAS!$C:$C)</f>
        <v>REMAN</v>
      </c>
      <c r="AF2" s="47" t="str">
        <f>_xlfn.XLOOKUP(AF1,MARCAS!$A:$A,MARCAS!$C:$C)</f>
        <v>OTRO</v>
      </c>
      <c r="AG2" s="47" t="s">
        <v>1998</v>
      </c>
      <c r="AH2" s="47" t="s">
        <v>2004</v>
      </c>
      <c r="AI2" s="47" t="s">
        <v>2010</v>
      </c>
      <c r="AJ2" s="47" t="s">
        <v>2014</v>
      </c>
      <c r="AK2" s="47" t="s">
        <v>2027</v>
      </c>
      <c r="AL2" s="47" t="s">
        <v>2030</v>
      </c>
      <c r="AM2" s="47" t="s">
        <v>2094</v>
      </c>
      <c r="AN2" s="47" t="s">
        <v>2096</v>
      </c>
      <c r="AO2" s="47" t="s">
        <v>2099</v>
      </c>
      <c r="AP2" s="47" t="s">
        <v>2107</v>
      </c>
      <c r="AQ2" s="47" t="s">
        <v>2110</v>
      </c>
      <c r="AR2" s="47" t="s">
        <v>2113</v>
      </c>
      <c r="AS2" s="47" t="s">
        <v>2116</v>
      </c>
      <c r="AT2" s="47" t="s">
        <v>2119</v>
      </c>
      <c r="AU2" s="47" t="s">
        <v>2128</v>
      </c>
      <c r="AV2" s="47" t="s">
        <v>2131</v>
      </c>
      <c r="AW2" s="47" t="s">
        <v>2134</v>
      </c>
      <c r="AX2" s="47" t="s">
        <v>2137</v>
      </c>
      <c r="AY2" s="47" t="s">
        <v>2140</v>
      </c>
      <c r="AZ2" s="47" t="s">
        <v>2143</v>
      </c>
      <c r="BA2" s="47" t="s">
        <v>2146</v>
      </c>
      <c r="BB2" s="47" t="s">
        <v>2149</v>
      </c>
      <c r="BC2" s="47" t="s">
        <v>2152</v>
      </c>
      <c r="BD2" s="47" t="s">
        <v>2155</v>
      </c>
      <c r="BE2" s="47" t="s">
        <v>2158</v>
      </c>
      <c r="BF2" s="47" t="s">
        <v>2161</v>
      </c>
      <c r="BG2" s="47" t="s">
        <v>2164</v>
      </c>
      <c r="BH2" s="47" t="s">
        <v>2166</v>
      </c>
      <c r="BI2" s="47" t="s">
        <v>2172</v>
      </c>
      <c r="BJ2" s="47" t="s">
        <v>2175</v>
      </c>
      <c r="BK2" s="47" t="s">
        <v>2177</v>
      </c>
      <c r="BL2" s="47" t="s">
        <v>2180</v>
      </c>
      <c r="BM2" s="47" t="s">
        <v>2182</v>
      </c>
      <c r="BN2" s="47" t="s">
        <v>2185</v>
      </c>
      <c r="BO2" s="47" t="s">
        <v>2188</v>
      </c>
      <c r="BP2" s="47" t="s">
        <v>2190</v>
      </c>
      <c r="BQ2" s="47" t="s">
        <v>2193</v>
      </c>
      <c r="BR2" s="47" t="s">
        <v>2199</v>
      </c>
      <c r="BS2" s="47" t="s">
        <v>2208</v>
      </c>
      <c r="BT2" s="47" t="s">
        <v>2211</v>
      </c>
    </row>
    <row r="3" spans="1:72" x14ac:dyDescent="0.25">
      <c r="A3" s="41" t="s">
        <v>10</v>
      </c>
      <c r="B3" s="41" t="s">
        <v>1842</v>
      </c>
      <c r="C3" s="42">
        <v>1</v>
      </c>
      <c r="D3" s="42">
        <v>1</v>
      </c>
      <c r="E3" s="42">
        <v>1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1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1</v>
      </c>
      <c r="V3" s="42">
        <v>0</v>
      </c>
      <c r="W3" s="42">
        <v>0</v>
      </c>
      <c r="X3" s="42">
        <v>1</v>
      </c>
      <c r="Y3" s="42">
        <v>1</v>
      </c>
      <c r="Z3" s="42">
        <v>1</v>
      </c>
      <c r="AA3" s="42">
        <v>1</v>
      </c>
      <c r="AB3" s="42">
        <v>1</v>
      </c>
      <c r="AC3" s="42">
        <v>1</v>
      </c>
      <c r="AD3" s="42">
        <v>0</v>
      </c>
      <c r="AE3" s="42">
        <v>0</v>
      </c>
      <c r="AF3" s="42">
        <v>1</v>
      </c>
      <c r="AG3" s="42">
        <v>1</v>
      </c>
      <c r="AH3" s="42">
        <v>1</v>
      </c>
      <c r="AI3" s="42">
        <v>1</v>
      </c>
      <c r="AJ3" s="42">
        <v>1</v>
      </c>
      <c r="AK3" s="42">
        <v>1</v>
      </c>
      <c r="AL3" s="42">
        <v>1</v>
      </c>
      <c r="AM3" s="42">
        <v>1</v>
      </c>
      <c r="AN3" s="42">
        <v>1</v>
      </c>
      <c r="AO3" s="42">
        <v>1</v>
      </c>
      <c r="AP3" s="42">
        <v>1</v>
      </c>
      <c r="AQ3" s="42">
        <v>1</v>
      </c>
      <c r="AR3" s="42">
        <v>1</v>
      </c>
      <c r="AS3" s="42">
        <v>1</v>
      </c>
      <c r="AT3" s="42">
        <v>1</v>
      </c>
      <c r="AU3" s="42">
        <v>1</v>
      </c>
      <c r="AV3" s="42">
        <v>1</v>
      </c>
      <c r="AW3" s="42">
        <v>1</v>
      </c>
      <c r="AX3" s="42">
        <v>1</v>
      </c>
      <c r="AY3" s="42">
        <v>1</v>
      </c>
      <c r="AZ3" s="42">
        <v>1</v>
      </c>
      <c r="BA3" s="42">
        <v>1</v>
      </c>
      <c r="BB3" s="42">
        <v>1</v>
      </c>
      <c r="BC3" s="42">
        <v>1</v>
      </c>
      <c r="BD3" s="42">
        <v>1</v>
      </c>
      <c r="BE3" s="42">
        <v>1</v>
      </c>
      <c r="BF3" s="42">
        <v>1</v>
      </c>
      <c r="BG3" s="42">
        <v>1</v>
      </c>
      <c r="BH3" s="42">
        <v>1</v>
      </c>
      <c r="BI3" s="42">
        <v>1</v>
      </c>
      <c r="BJ3" s="42">
        <v>1</v>
      </c>
      <c r="BK3" s="42">
        <v>1</v>
      </c>
      <c r="BL3" s="42">
        <v>1</v>
      </c>
      <c r="BM3" s="42">
        <v>1</v>
      </c>
      <c r="BN3" s="42">
        <v>1</v>
      </c>
      <c r="BO3" s="42">
        <v>1</v>
      </c>
      <c r="BP3" s="42">
        <v>1</v>
      </c>
      <c r="BQ3" s="42">
        <v>1</v>
      </c>
      <c r="BR3" s="42">
        <v>1</v>
      </c>
      <c r="BS3" s="42">
        <v>1</v>
      </c>
      <c r="BT3" s="42">
        <v>1</v>
      </c>
    </row>
    <row r="4" spans="1:72" x14ac:dyDescent="0.25">
      <c r="A4" s="41" t="s">
        <v>12</v>
      </c>
      <c r="B4" s="41" t="s">
        <v>1843</v>
      </c>
      <c r="C4" s="42">
        <v>1</v>
      </c>
      <c r="D4" s="42">
        <v>1</v>
      </c>
      <c r="E4" s="42">
        <v>1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1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1</v>
      </c>
      <c r="V4" s="42">
        <v>0</v>
      </c>
      <c r="W4" s="42">
        <v>0</v>
      </c>
      <c r="X4" s="42">
        <v>1</v>
      </c>
      <c r="Y4" s="42">
        <v>1</v>
      </c>
      <c r="Z4" s="42">
        <v>1</v>
      </c>
      <c r="AA4" s="42">
        <v>1</v>
      </c>
      <c r="AB4" s="42">
        <v>1</v>
      </c>
      <c r="AC4" s="42">
        <v>1</v>
      </c>
      <c r="AD4" s="42">
        <v>0</v>
      </c>
      <c r="AE4" s="42">
        <v>0</v>
      </c>
      <c r="AF4" s="42">
        <v>1</v>
      </c>
      <c r="AG4" s="42">
        <v>1</v>
      </c>
      <c r="AH4" s="42">
        <v>1</v>
      </c>
      <c r="AI4" s="42">
        <v>1</v>
      </c>
      <c r="AJ4" s="42">
        <v>1</v>
      </c>
      <c r="AK4" s="42">
        <v>1</v>
      </c>
      <c r="AL4" s="42">
        <v>1</v>
      </c>
      <c r="AM4" s="42">
        <v>1</v>
      </c>
      <c r="AN4" s="42">
        <v>1</v>
      </c>
      <c r="AO4" s="42">
        <v>1</v>
      </c>
      <c r="AP4" s="42">
        <v>1</v>
      </c>
      <c r="AQ4" s="42">
        <v>1</v>
      </c>
      <c r="AR4" s="42">
        <v>1</v>
      </c>
      <c r="AS4" s="42">
        <v>1</v>
      </c>
      <c r="AT4" s="42">
        <v>1</v>
      </c>
      <c r="AU4" s="42">
        <v>1</v>
      </c>
      <c r="AV4" s="42">
        <v>1</v>
      </c>
      <c r="AW4" s="42">
        <v>1</v>
      </c>
      <c r="AX4" s="42">
        <v>1</v>
      </c>
      <c r="AY4" s="42">
        <v>1</v>
      </c>
      <c r="AZ4" s="42">
        <v>1</v>
      </c>
      <c r="BA4" s="42">
        <v>1</v>
      </c>
      <c r="BB4" s="42">
        <v>1</v>
      </c>
      <c r="BC4" s="42">
        <v>1</v>
      </c>
      <c r="BD4" s="42">
        <v>1</v>
      </c>
      <c r="BE4" s="42">
        <v>1</v>
      </c>
      <c r="BF4" s="42">
        <v>1</v>
      </c>
      <c r="BG4" s="42">
        <v>1</v>
      </c>
      <c r="BH4" s="42">
        <v>1</v>
      </c>
      <c r="BI4" s="42">
        <v>1</v>
      </c>
      <c r="BJ4" s="42">
        <v>1</v>
      </c>
      <c r="BK4" s="42">
        <v>1</v>
      </c>
      <c r="BL4" s="42">
        <v>1</v>
      </c>
      <c r="BM4" s="42">
        <v>1</v>
      </c>
      <c r="BN4" s="42">
        <v>1</v>
      </c>
      <c r="BO4" s="42">
        <v>1</v>
      </c>
      <c r="BP4" s="42">
        <v>1</v>
      </c>
      <c r="BQ4" s="42">
        <v>1</v>
      </c>
      <c r="BR4" s="42">
        <v>1</v>
      </c>
      <c r="BS4" s="42">
        <v>1</v>
      </c>
      <c r="BT4" s="42">
        <v>1</v>
      </c>
    </row>
    <row r="5" spans="1:72" x14ac:dyDescent="0.25">
      <c r="A5" s="41" t="s">
        <v>14</v>
      </c>
      <c r="B5" s="41" t="s">
        <v>1844</v>
      </c>
      <c r="C5" s="42">
        <v>1</v>
      </c>
      <c r="D5" s="42">
        <v>1</v>
      </c>
      <c r="E5" s="42">
        <v>1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1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1</v>
      </c>
      <c r="V5" s="42">
        <v>0</v>
      </c>
      <c r="W5" s="42">
        <v>0</v>
      </c>
      <c r="X5" s="42">
        <v>1</v>
      </c>
      <c r="Y5" s="42">
        <v>1</v>
      </c>
      <c r="Z5" s="42">
        <v>1</v>
      </c>
      <c r="AA5" s="42">
        <v>1</v>
      </c>
      <c r="AB5" s="42">
        <v>1</v>
      </c>
      <c r="AC5" s="42">
        <v>1</v>
      </c>
      <c r="AD5" s="42">
        <v>0</v>
      </c>
      <c r="AE5" s="42">
        <v>0</v>
      </c>
      <c r="AF5" s="42">
        <v>1</v>
      </c>
      <c r="AG5" s="42">
        <v>1</v>
      </c>
      <c r="AH5" s="42">
        <v>1</v>
      </c>
      <c r="AI5" s="42">
        <v>1</v>
      </c>
      <c r="AJ5" s="42">
        <v>1</v>
      </c>
      <c r="AK5" s="42">
        <v>1</v>
      </c>
      <c r="AL5" s="42">
        <v>1</v>
      </c>
      <c r="AM5" s="42">
        <v>1</v>
      </c>
      <c r="AN5" s="42">
        <v>1</v>
      </c>
      <c r="AO5" s="42">
        <v>1</v>
      </c>
      <c r="AP5" s="42">
        <v>1</v>
      </c>
      <c r="AQ5" s="42">
        <v>1</v>
      </c>
      <c r="AR5" s="42">
        <v>1</v>
      </c>
      <c r="AS5" s="42">
        <v>1</v>
      </c>
      <c r="AT5" s="42">
        <v>1</v>
      </c>
      <c r="AU5" s="42">
        <v>1</v>
      </c>
      <c r="AV5" s="42">
        <v>1</v>
      </c>
      <c r="AW5" s="42">
        <v>1</v>
      </c>
      <c r="AX5" s="42">
        <v>1</v>
      </c>
      <c r="AY5" s="42">
        <v>1</v>
      </c>
      <c r="AZ5" s="42">
        <v>1</v>
      </c>
      <c r="BA5" s="42">
        <v>1</v>
      </c>
      <c r="BB5" s="42">
        <v>1</v>
      </c>
      <c r="BC5" s="42">
        <v>1</v>
      </c>
      <c r="BD5" s="42">
        <v>1</v>
      </c>
      <c r="BE5" s="42">
        <v>1</v>
      </c>
      <c r="BF5" s="42">
        <v>1</v>
      </c>
      <c r="BG5" s="42">
        <v>1</v>
      </c>
      <c r="BH5" s="42">
        <v>1</v>
      </c>
      <c r="BI5" s="42">
        <v>1</v>
      </c>
      <c r="BJ5" s="42">
        <v>1</v>
      </c>
      <c r="BK5" s="42">
        <v>1</v>
      </c>
      <c r="BL5" s="42">
        <v>1</v>
      </c>
      <c r="BM5" s="42">
        <v>1</v>
      </c>
      <c r="BN5" s="42">
        <v>1</v>
      </c>
      <c r="BO5" s="42">
        <v>1</v>
      </c>
      <c r="BP5" s="42">
        <v>1</v>
      </c>
      <c r="BQ5" s="42">
        <v>1</v>
      </c>
      <c r="BR5" s="42">
        <v>1</v>
      </c>
      <c r="BS5" s="42">
        <v>1</v>
      </c>
      <c r="BT5" s="42">
        <v>1</v>
      </c>
    </row>
    <row r="6" spans="1:72" x14ac:dyDescent="0.25">
      <c r="A6" s="41" t="s">
        <v>16</v>
      </c>
      <c r="B6" s="41" t="s">
        <v>1845</v>
      </c>
      <c r="C6" s="42">
        <v>1</v>
      </c>
      <c r="D6" s="42">
        <v>1</v>
      </c>
      <c r="E6" s="42">
        <v>1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1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1</v>
      </c>
      <c r="V6" s="42">
        <v>0</v>
      </c>
      <c r="W6" s="42">
        <v>0</v>
      </c>
      <c r="X6" s="42">
        <v>1</v>
      </c>
      <c r="Y6" s="42">
        <v>1</v>
      </c>
      <c r="Z6" s="42">
        <v>1</v>
      </c>
      <c r="AA6" s="42">
        <v>1</v>
      </c>
      <c r="AB6" s="42">
        <v>1</v>
      </c>
      <c r="AC6" s="42">
        <v>1</v>
      </c>
      <c r="AD6" s="42">
        <v>0</v>
      </c>
      <c r="AE6" s="42">
        <v>0</v>
      </c>
      <c r="AF6" s="42">
        <v>1</v>
      </c>
      <c r="AG6" s="42">
        <v>1</v>
      </c>
      <c r="AH6" s="42">
        <v>1</v>
      </c>
      <c r="AI6" s="42">
        <v>1</v>
      </c>
      <c r="AJ6" s="42">
        <v>1</v>
      </c>
      <c r="AK6" s="42">
        <v>1</v>
      </c>
      <c r="AL6" s="42">
        <v>1</v>
      </c>
      <c r="AM6" s="42">
        <v>1</v>
      </c>
      <c r="AN6" s="42">
        <v>1</v>
      </c>
      <c r="AO6" s="42">
        <v>1</v>
      </c>
      <c r="AP6" s="42">
        <v>1</v>
      </c>
      <c r="AQ6" s="42">
        <v>1</v>
      </c>
      <c r="AR6" s="42">
        <v>1</v>
      </c>
      <c r="AS6" s="42">
        <v>1</v>
      </c>
      <c r="AT6" s="42">
        <v>1</v>
      </c>
      <c r="AU6" s="42">
        <v>1</v>
      </c>
      <c r="AV6" s="42">
        <v>1</v>
      </c>
      <c r="AW6" s="42">
        <v>1</v>
      </c>
      <c r="AX6" s="42">
        <v>1</v>
      </c>
      <c r="AY6" s="42">
        <v>1</v>
      </c>
      <c r="AZ6" s="42">
        <v>1</v>
      </c>
      <c r="BA6" s="42">
        <v>1</v>
      </c>
      <c r="BB6" s="42">
        <v>1</v>
      </c>
      <c r="BC6" s="42">
        <v>1</v>
      </c>
      <c r="BD6" s="42">
        <v>1</v>
      </c>
      <c r="BE6" s="42">
        <v>1</v>
      </c>
      <c r="BF6" s="42">
        <v>1</v>
      </c>
      <c r="BG6" s="42">
        <v>1</v>
      </c>
      <c r="BH6" s="42">
        <v>1</v>
      </c>
      <c r="BI6" s="42">
        <v>1</v>
      </c>
      <c r="BJ6" s="42">
        <v>1</v>
      </c>
      <c r="BK6" s="42">
        <v>1</v>
      </c>
      <c r="BL6" s="42">
        <v>1</v>
      </c>
      <c r="BM6" s="42">
        <v>1</v>
      </c>
      <c r="BN6" s="42">
        <v>1</v>
      </c>
      <c r="BO6" s="42">
        <v>1</v>
      </c>
      <c r="BP6" s="42">
        <v>1</v>
      </c>
      <c r="BQ6" s="42">
        <v>1</v>
      </c>
      <c r="BR6" s="42">
        <v>1</v>
      </c>
      <c r="BS6" s="42">
        <v>1</v>
      </c>
      <c r="BT6" s="42">
        <v>1</v>
      </c>
    </row>
    <row r="7" spans="1:72" x14ac:dyDescent="0.25">
      <c r="A7" s="41" t="s">
        <v>18</v>
      </c>
      <c r="B7" s="41" t="s">
        <v>1846</v>
      </c>
      <c r="C7" s="42">
        <v>1</v>
      </c>
      <c r="D7" s="42">
        <v>1</v>
      </c>
      <c r="E7" s="42">
        <v>1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1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1</v>
      </c>
      <c r="V7" s="42">
        <v>0</v>
      </c>
      <c r="W7" s="42">
        <v>0</v>
      </c>
      <c r="X7" s="42">
        <v>1</v>
      </c>
      <c r="Y7" s="42">
        <v>1</v>
      </c>
      <c r="Z7" s="42">
        <v>1</v>
      </c>
      <c r="AA7" s="42">
        <v>1</v>
      </c>
      <c r="AB7" s="42">
        <v>1</v>
      </c>
      <c r="AC7" s="42">
        <v>1</v>
      </c>
      <c r="AD7" s="42">
        <v>0</v>
      </c>
      <c r="AE7" s="42">
        <v>0</v>
      </c>
      <c r="AF7" s="42">
        <v>1</v>
      </c>
      <c r="AG7" s="42">
        <v>1</v>
      </c>
      <c r="AH7" s="42">
        <v>1</v>
      </c>
      <c r="AI7" s="42">
        <v>1</v>
      </c>
      <c r="AJ7" s="42">
        <v>1</v>
      </c>
      <c r="AK7" s="42">
        <v>1</v>
      </c>
      <c r="AL7" s="42">
        <v>1</v>
      </c>
      <c r="AM7" s="42">
        <v>1</v>
      </c>
      <c r="AN7" s="42">
        <v>1</v>
      </c>
      <c r="AO7" s="42">
        <v>1</v>
      </c>
      <c r="AP7" s="42">
        <v>1</v>
      </c>
      <c r="AQ7" s="42">
        <v>1</v>
      </c>
      <c r="AR7" s="42">
        <v>1</v>
      </c>
      <c r="AS7" s="42">
        <v>1</v>
      </c>
      <c r="AT7" s="42">
        <v>1</v>
      </c>
      <c r="AU7" s="42">
        <v>1</v>
      </c>
      <c r="AV7" s="42">
        <v>1</v>
      </c>
      <c r="AW7" s="42">
        <v>1</v>
      </c>
      <c r="AX7" s="42">
        <v>1</v>
      </c>
      <c r="AY7" s="42">
        <v>1</v>
      </c>
      <c r="AZ7" s="42">
        <v>1</v>
      </c>
      <c r="BA7" s="42">
        <v>1</v>
      </c>
      <c r="BB7" s="42">
        <v>1</v>
      </c>
      <c r="BC7" s="42">
        <v>1</v>
      </c>
      <c r="BD7" s="42">
        <v>1</v>
      </c>
      <c r="BE7" s="42">
        <v>1</v>
      </c>
      <c r="BF7" s="42">
        <v>1</v>
      </c>
      <c r="BG7" s="42">
        <v>1</v>
      </c>
      <c r="BH7" s="42">
        <v>1</v>
      </c>
      <c r="BI7" s="42">
        <v>1</v>
      </c>
      <c r="BJ7" s="42">
        <v>1</v>
      </c>
      <c r="BK7" s="42">
        <v>1</v>
      </c>
      <c r="BL7" s="42">
        <v>1</v>
      </c>
      <c r="BM7" s="42">
        <v>1</v>
      </c>
      <c r="BN7" s="42">
        <v>1</v>
      </c>
      <c r="BO7" s="42">
        <v>1</v>
      </c>
      <c r="BP7" s="42">
        <v>1</v>
      </c>
      <c r="BQ7" s="42">
        <v>1</v>
      </c>
      <c r="BR7" s="42">
        <v>1</v>
      </c>
      <c r="BS7" s="42">
        <v>1</v>
      </c>
      <c r="BT7" s="42">
        <v>1</v>
      </c>
    </row>
    <row r="8" spans="1:72" x14ac:dyDescent="0.25">
      <c r="A8" s="41" t="s">
        <v>20</v>
      </c>
      <c r="B8" s="41" t="s">
        <v>1847</v>
      </c>
      <c r="C8" s="42">
        <v>1</v>
      </c>
      <c r="D8" s="42">
        <v>1</v>
      </c>
      <c r="E8" s="42">
        <v>1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1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1</v>
      </c>
      <c r="V8" s="42">
        <v>0</v>
      </c>
      <c r="W8" s="42">
        <v>0</v>
      </c>
      <c r="X8" s="42">
        <v>1</v>
      </c>
      <c r="Y8" s="42">
        <v>1</v>
      </c>
      <c r="Z8" s="42">
        <v>1</v>
      </c>
      <c r="AA8" s="42">
        <v>1</v>
      </c>
      <c r="AB8" s="42">
        <v>1</v>
      </c>
      <c r="AC8" s="42">
        <v>1</v>
      </c>
      <c r="AD8" s="42">
        <v>0</v>
      </c>
      <c r="AE8" s="42">
        <v>0</v>
      </c>
      <c r="AF8" s="42">
        <v>1</v>
      </c>
      <c r="AG8" s="42">
        <v>1</v>
      </c>
      <c r="AH8" s="42">
        <v>1</v>
      </c>
      <c r="AI8" s="42">
        <v>1</v>
      </c>
      <c r="AJ8" s="42">
        <v>1</v>
      </c>
      <c r="AK8" s="42">
        <v>1</v>
      </c>
      <c r="AL8" s="42">
        <v>1</v>
      </c>
      <c r="AM8" s="42">
        <v>1</v>
      </c>
      <c r="AN8" s="42">
        <v>1</v>
      </c>
      <c r="AO8" s="42">
        <v>1</v>
      </c>
      <c r="AP8" s="42">
        <v>1</v>
      </c>
      <c r="AQ8" s="42">
        <v>1</v>
      </c>
      <c r="AR8" s="42">
        <v>1</v>
      </c>
      <c r="AS8" s="42">
        <v>1</v>
      </c>
      <c r="AT8" s="42">
        <v>1</v>
      </c>
      <c r="AU8" s="42">
        <v>1</v>
      </c>
      <c r="AV8" s="42">
        <v>1</v>
      </c>
      <c r="AW8" s="42">
        <v>1</v>
      </c>
      <c r="AX8" s="42">
        <v>1</v>
      </c>
      <c r="AY8" s="42">
        <v>1</v>
      </c>
      <c r="AZ8" s="42">
        <v>1</v>
      </c>
      <c r="BA8" s="42">
        <v>1</v>
      </c>
      <c r="BB8" s="42">
        <v>1</v>
      </c>
      <c r="BC8" s="42">
        <v>1</v>
      </c>
      <c r="BD8" s="42">
        <v>1</v>
      </c>
      <c r="BE8" s="42">
        <v>1</v>
      </c>
      <c r="BF8" s="42">
        <v>1</v>
      </c>
      <c r="BG8" s="42">
        <v>1</v>
      </c>
      <c r="BH8" s="42">
        <v>1</v>
      </c>
      <c r="BI8" s="42">
        <v>1</v>
      </c>
      <c r="BJ8" s="42">
        <v>1</v>
      </c>
      <c r="BK8" s="42">
        <v>1</v>
      </c>
      <c r="BL8" s="42">
        <v>1</v>
      </c>
      <c r="BM8" s="42">
        <v>1</v>
      </c>
      <c r="BN8" s="42">
        <v>1</v>
      </c>
      <c r="BO8" s="42">
        <v>1</v>
      </c>
      <c r="BP8" s="42">
        <v>1</v>
      </c>
      <c r="BQ8" s="42">
        <v>1</v>
      </c>
      <c r="BR8" s="42">
        <v>1</v>
      </c>
      <c r="BS8" s="42">
        <v>1</v>
      </c>
      <c r="BT8" s="42">
        <v>1</v>
      </c>
    </row>
    <row r="9" spans="1:72" x14ac:dyDescent="0.25">
      <c r="A9" s="41" t="s">
        <v>22</v>
      </c>
      <c r="B9" s="41" t="s">
        <v>1848</v>
      </c>
      <c r="C9" s="42">
        <v>1</v>
      </c>
      <c r="D9" s="42">
        <v>1</v>
      </c>
      <c r="E9" s="42">
        <v>1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1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1</v>
      </c>
      <c r="V9" s="42">
        <v>0</v>
      </c>
      <c r="W9" s="42">
        <v>0</v>
      </c>
      <c r="X9" s="42">
        <v>1</v>
      </c>
      <c r="Y9" s="42">
        <v>1</v>
      </c>
      <c r="Z9" s="42">
        <v>1</v>
      </c>
      <c r="AA9" s="42">
        <v>1</v>
      </c>
      <c r="AB9" s="42">
        <v>1</v>
      </c>
      <c r="AC9" s="42">
        <v>1</v>
      </c>
      <c r="AD9" s="42">
        <v>0</v>
      </c>
      <c r="AE9" s="42">
        <v>0</v>
      </c>
      <c r="AF9" s="42">
        <v>1</v>
      </c>
      <c r="AG9" s="42">
        <v>1</v>
      </c>
      <c r="AH9" s="42">
        <v>1</v>
      </c>
      <c r="AI9" s="42">
        <v>1</v>
      </c>
      <c r="AJ9" s="42">
        <v>1</v>
      </c>
      <c r="AK9" s="42">
        <v>1</v>
      </c>
      <c r="AL9" s="42">
        <v>1</v>
      </c>
      <c r="AM9" s="42">
        <v>1</v>
      </c>
      <c r="AN9" s="42">
        <v>1</v>
      </c>
      <c r="AO9" s="42">
        <v>1</v>
      </c>
      <c r="AP9" s="42">
        <v>1</v>
      </c>
      <c r="AQ9" s="42">
        <v>1</v>
      </c>
      <c r="AR9" s="42">
        <v>1</v>
      </c>
      <c r="AS9" s="42">
        <v>1</v>
      </c>
      <c r="AT9" s="42">
        <v>1</v>
      </c>
      <c r="AU9" s="42">
        <v>1</v>
      </c>
      <c r="AV9" s="42">
        <v>1</v>
      </c>
      <c r="AW9" s="42">
        <v>1</v>
      </c>
      <c r="AX9" s="42">
        <v>1</v>
      </c>
      <c r="AY9" s="42">
        <v>1</v>
      </c>
      <c r="AZ9" s="42">
        <v>1</v>
      </c>
      <c r="BA9" s="42">
        <v>1</v>
      </c>
      <c r="BB9" s="42">
        <v>1</v>
      </c>
      <c r="BC9" s="42">
        <v>1</v>
      </c>
      <c r="BD9" s="42">
        <v>1</v>
      </c>
      <c r="BE9" s="42">
        <v>1</v>
      </c>
      <c r="BF9" s="42">
        <v>1</v>
      </c>
      <c r="BG9" s="42">
        <v>1</v>
      </c>
      <c r="BH9" s="42">
        <v>1</v>
      </c>
      <c r="BI9" s="42">
        <v>1</v>
      </c>
      <c r="BJ9" s="42">
        <v>1</v>
      </c>
      <c r="BK9" s="42">
        <v>1</v>
      </c>
      <c r="BL9" s="42">
        <v>1</v>
      </c>
      <c r="BM9" s="42">
        <v>1</v>
      </c>
      <c r="BN9" s="42">
        <v>1</v>
      </c>
      <c r="BO9" s="42">
        <v>1</v>
      </c>
      <c r="BP9" s="42">
        <v>1</v>
      </c>
      <c r="BQ9" s="42">
        <v>1</v>
      </c>
      <c r="BR9" s="42">
        <v>1</v>
      </c>
      <c r="BS9" s="42">
        <v>1</v>
      </c>
      <c r="BT9" s="42">
        <v>1</v>
      </c>
    </row>
    <row r="10" spans="1:72" x14ac:dyDescent="0.25">
      <c r="A10" s="41" t="s">
        <v>1849</v>
      </c>
      <c r="B10" s="41" t="s">
        <v>1850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42">
        <v>0</v>
      </c>
      <c r="BB10" s="42">
        <v>0</v>
      </c>
      <c r="BC10" s="42">
        <v>0</v>
      </c>
      <c r="BD10" s="42">
        <v>0</v>
      </c>
      <c r="BE10" s="42">
        <v>0</v>
      </c>
      <c r="BF10" s="42">
        <v>0</v>
      </c>
      <c r="BG10" s="42">
        <v>0</v>
      </c>
      <c r="BH10" s="42">
        <v>0</v>
      </c>
      <c r="BI10" s="42">
        <v>0</v>
      </c>
      <c r="BJ10" s="42">
        <v>0</v>
      </c>
      <c r="BK10" s="42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2">
        <v>0</v>
      </c>
      <c r="BS10" s="42">
        <v>0</v>
      </c>
      <c r="BT10" s="42">
        <v>0</v>
      </c>
    </row>
    <row r="11" spans="1:72" x14ac:dyDescent="0.25">
      <c r="A11" s="43" t="s">
        <v>35</v>
      </c>
      <c r="B11" s="43" t="s">
        <v>1851</v>
      </c>
      <c r="C11" s="42">
        <v>0</v>
      </c>
      <c r="D11" s="42">
        <v>0</v>
      </c>
      <c r="E11" s="42">
        <v>0</v>
      </c>
      <c r="F11" s="42">
        <v>1</v>
      </c>
      <c r="G11" s="42">
        <v>1</v>
      </c>
      <c r="H11" s="42">
        <v>1</v>
      </c>
      <c r="I11" s="42">
        <v>1</v>
      </c>
      <c r="J11" s="42">
        <v>1</v>
      </c>
      <c r="K11" s="42">
        <v>1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1</v>
      </c>
      <c r="AC11" s="42">
        <v>0</v>
      </c>
      <c r="AD11" s="42">
        <v>1</v>
      </c>
      <c r="AE11" s="42">
        <v>1</v>
      </c>
      <c r="AF11" s="42">
        <v>1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42">
        <v>0</v>
      </c>
      <c r="BB11" s="42">
        <v>0</v>
      </c>
      <c r="BC11" s="42">
        <v>0</v>
      </c>
      <c r="BD11" s="42">
        <v>0</v>
      </c>
      <c r="BE11" s="42">
        <v>0</v>
      </c>
      <c r="BF11" s="42">
        <v>0</v>
      </c>
      <c r="BG11" s="42">
        <v>0</v>
      </c>
      <c r="BH11" s="42">
        <v>0</v>
      </c>
      <c r="BI11" s="42">
        <v>0</v>
      </c>
      <c r="BJ11" s="42">
        <v>0</v>
      </c>
      <c r="BK11" s="42">
        <v>0</v>
      </c>
      <c r="BL11" s="42">
        <v>0</v>
      </c>
      <c r="BM11" s="42">
        <v>0</v>
      </c>
      <c r="BN11" s="42">
        <v>0</v>
      </c>
      <c r="BO11" s="42">
        <v>0</v>
      </c>
      <c r="BP11" s="42">
        <v>0</v>
      </c>
      <c r="BQ11" s="42">
        <v>0</v>
      </c>
      <c r="BR11" s="42">
        <v>0</v>
      </c>
      <c r="BS11" s="42">
        <v>0</v>
      </c>
      <c r="BT11" s="42">
        <v>0</v>
      </c>
    </row>
    <row r="12" spans="1:72" x14ac:dyDescent="0.25">
      <c r="A12" s="43" t="s">
        <v>36</v>
      </c>
      <c r="B12" s="43" t="s">
        <v>1852</v>
      </c>
      <c r="C12" s="42">
        <v>0</v>
      </c>
      <c r="D12" s="42">
        <v>0</v>
      </c>
      <c r="E12" s="42">
        <v>0</v>
      </c>
      <c r="F12" s="42">
        <v>1</v>
      </c>
      <c r="G12" s="42">
        <v>1</v>
      </c>
      <c r="H12" s="42">
        <v>1</v>
      </c>
      <c r="I12" s="42">
        <v>1</v>
      </c>
      <c r="J12" s="42">
        <v>1</v>
      </c>
      <c r="K12" s="42">
        <v>1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1</v>
      </c>
      <c r="AC12" s="42">
        <v>0</v>
      </c>
      <c r="AD12" s="42">
        <v>1</v>
      </c>
      <c r="AE12" s="42">
        <v>1</v>
      </c>
      <c r="AF12" s="42">
        <v>1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42">
        <v>0</v>
      </c>
      <c r="BB12" s="42">
        <v>0</v>
      </c>
      <c r="BC12" s="42">
        <v>0</v>
      </c>
      <c r="BD12" s="42">
        <v>0</v>
      </c>
      <c r="BE12" s="42">
        <v>0</v>
      </c>
      <c r="BF12" s="42">
        <v>0</v>
      </c>
      <c r="BG12" s="42">
        <v>0</v>
      </c>
      <c r="BH12" s="42">
        <v>0</v>
      </c>
      <c r="BI12" s="42">
        <v>0</v>
      </c>
      <c r="BJ12" s="42">
        <v>0</v>
      </c>
      <c r="BK12" s="42">
        <v>0</v>
      </c>
      <c r="BL12" s="42">
        <v>0</v>
      </c>
      <c r="BM12" s="42">
        <v>0</v>
      </c>
      <c r="BN12" s="42">
        <v>0</v>
      </c>
      <c r="BO12" s="42">
        <v>0</v>
      </c>
      <c r="BP12" s="42">
        <v>0</v>
      </c>
      <c r="BQ12" s="42">
        <v>0</v>
      </c>
      <c r="BR12" s="42">
        <v>0</v>
      </c>
      <c r="BS12" s="42">
        <v>0</v>
      </c>
      <c r="BT12" s="42">
        <v>0</v>
      </c>
    </row>
    <row r="13" spans="1:72" x14ac:dyDescent="0.25">
      <c r="A13" s="43" t="s">
        <v>37</v>
      </c>
      <c r="B13" s="43" t="s">
        <v>1853</v>
      </c>
      <c r="C13" s="42">
        <v>0</v>
      </c>
      <c r="D13" s="42">
        <v>0</v>
      </c>
      <c r="E13" s="42">
        <v>0</v>
      </c>
      <c r="F13" s="42">
        <v>1</v>
      </c>
      <c r="G13" s="42">
        <v>1</v>
      </c>
      <c r="H13" s="42">
        <v>1</v>
      </c>
      <c r="I13" s="42">
        <v>1</v>
      </c>
      <c r="J13" s="42">
        <v>1</v>
      </c>
      <c r="K13" s="42">
        <v>1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1</v>
      </c>
      <c r="AC13" s="42">
        <v>0</v>
      </c>
      <c r="AD13" s="42">
        <v>1</v>
      </c>
      <c r="AE13" s="42">
        <v>1</v>
      </c>
      <c r="AF13" s="42">
        <v>1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0</v>
      </c>
      <c r="BG13" s="42">
        <v>0</v>
      </c>
      <c r="BH13" s="42">
        <v>0</v>
      </c>
      <c r="BI13" s="42">
        <v>0</v>
      </c>
      <c r="BJ13" s="42">
        <v>0</v>
      </c>
      <c r="BK13" s="42">
        <v>0</v>
      </c>
      <c r="BL13" s="42">
        <v>0</v>
      </c>
      <c r="BM13" s="42">
        <v>0</v>
      </c>
      <c r="BN13" s="42">
        <v>0</v>
      </c>
      <c r="BO13" s="42">
        <v>0</v>
      </c>
      <c r="BP13" s="42">
        <v>0</v>
      </c>
      <c r="BQ13" s="42">
        <v>0</v>
      </c>
      <c r="BR13" s="42">
        <v>0</v>
      </c>
      <c r="BS13" s="42">
        <v>0</v>
      </c>
      <c r="BT13" s="42">
        <v>0</v>
      </c>
    </row>
    <row r="14" spans="1:72" x14ac:dyDescent="0.25">
      <c r="A14" s="43" t="s">
        <v>39</v>
      </c>
      <c r="B14" s="43" t="s">
        <v>1854</v>
      </c>
      <c r="C14" s="42">
        <v>0</v>
      </c>
      <c r="D14" s="42">
        <v>0</v>
      </c>
      <c r="E14" s="42">
        <v>0</v>
      </c>
      <c r="F14" s="42">
        <v>1</v>
      </c>
      <c r="G14" s="42">
        <v>1</v>
      </c>
      <c r="H14" s="42">
        <v>1</v>
      </c>
      <c r="I14" s="42">
        <v>1</v>
      </c>
      <c r="J14" s="42">
        <v>1</v>
      </c>
      <c r="K14" s="42">
        <v>1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1</v>
      </c>
      <c r="AC14" s="42">
        <v>0</v>
      </c>
      <c r="AD14" s="42">
        <v>1</v>
      </c>
      <c r="AE14" s="42">
        <v>1</v>
      </c>
      <c r="AF14" s="42">
        <v>1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2">
        <v>0</v>
      </c>
      <c r="BF14" s="42">
        <v>0</v>
      </c>
      <c r="BG14" s="42">
        <v>0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2">
        <v>0</v>
      </c>
      <c r="BS14" s="42">
        <v>0</v>
      </c>
      <c r="BT14" s="42">
        <v>0</v>
      </c>
    </row>
    <row r="15" spans="1:72" x14ac:dyDescent="0.25">
      <c r="A15" s="43" t="s">
        <v>40</v>
      </c>
      <c r="B15" s="43" t="s">
        <v>1855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1</v>
      </c>
      <c r="I15" s="42">
        <v>1</v>
      </c>
      <c r="J15" s="42">
        <v>1</v>
      </c>
      <c r="K15" s="42">
        <v>1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1</v>
      </c>
      <c r="AC15" s="42">
        <v>0</v>
      </c>
      <c r="AD15" s="42">
        <v>1</v>
      </c>
      <c r="AE15" s="42">
        <v>1</v>
      </c>
      <c r="AF15" s="42">
        <v>1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42">
        <v>0</v>
      </c>
      <c r="BO15" s="42">
        <v>0</v>
      </c>
      <c r="BP15" s="42">
        <v>0</v>
      </c>
      <c r="BQ15" s="42">
        <v>0</v>
      </c>
      <c r="BR15" s="42">
        <v>0</v>
      </c>
      <c r="BS15" s="42">
        <v>0</v>
      </c>
      <c r="BT15" s="42">
        <v>0</v>
      </c>
    </row>
    <row r="16" spans="1:72" x14ac:dyDescent="0.25">
      <c r="A16" s="43" t="s">
        <v>41</v>
      </c>
      <c r="B16" s="43" t="s">
        <v>1856</v>
      </c>
      <c r="C16" s="42">
        <v>0</v>
      </c>
      <c r="D16" s="42">
        <v>0</v>
      </c>
      <c r="E16" s="42">
        <v>0</v>
      </c>
      <c r="F16" s="42">
        <v>1</v>
      </c>
      <c r="G16" s="42">
        <v>1</v>
      </c>
      <c r="H16" s="42">
        <v>1</v>
      </c>
      <c r="I16" s="42">
        <v>1</v>
      </c>
      <c r="J16" s="42">
        <v>1</v>
      </c>
      <c r="K16" s="42">
        <v>1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1</v>
      </c>
      <c r="AC16" s="42">
        <v>0</v>
      </c>
      <c r="AD16" s="42">
        <v>1</v>
      </c>
      <c r="AE16" s="42">
        <v>1</v>
      </c>
      <c r="AF16" s="42">
        <v>1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42">
        <v>0</v>
      </c>
      <c r="BB16" s="42">
        <v>0</v>
      </c>
      <c r="BC16" s="42">
        <v>0</v>
      </c>
      <c r="BD16" s="42">
        <v>0</v>
      </c>
      <c r="BE16" s="42">
        <v>0</v>
      </c>
      <c r="BF16" s="42">
        <v>0</v>
      </c>
      <c r="BG16" s="42">
        <v>0</v>
      </c>
      <c r="BH16" s="42">
        <v>0</v>
      </c>
      <c r="BI16" s="42">
        <v>0</v>
      </c>
      <c r="BJ16" s="42">
        <v>0</v>
      </c>
      <c r="BK16" s="42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  <c r="BQ16" s="42">
        <v>0</v>
      </c>
      <c r="BR16" s="42">
        <v>0</v>
      </c>
      <c r="BS16" s="42">
        <v>0</v>
      </c>
      <c r="BT16" s="42">
        <v>0</v>
      </c>
    </row>
    <row r="17" spans="1:72" x14ac:dyDescent="0.25">
      <c r="A17" s="43" t="s">
        <v>42</v>
      </c>
      <c r="B17" s="43" t="s">
        <v>1857</v>
      </c>
      <c r="C17" s="42">
        <v>0</v>
      </c>
      <c r="D17" s="42">
        <v>0</v>
      </c>
      <c r="E17" s="42">
        <v>0</v>
      </c>
      <c r="F17" s="42">
        <v>1</v>
      </c>
      <c r="G17" s="42">
        <v>1</v>
      </c>
      <c r="H17" s="42">
        <v>1</v>
      </c>
      <c r="I17" s="42">
        <v>1</v>
      </c>
      <c r="J17" s="42">
        <v>1</v>
      </c>
      <c r="K17" s="42">
        <v>1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1</v>
      </c>
      <c r="AC17" s="42">
        <v>0</v>
      </c>
      <c r="AD17" s="42">
        <v>1</v>
      </c>
      <c r="AE17" s="42">
        <v>1</v>
      </c>
      <c r="AF17" s="42">
        <v>1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42">
        <v>0</v>
      </c>
      <c r="BB17" s="42">
        <v>0</v>
      </c>
      <c r="BC17" s="42">
        <v>0</v>
      </c>
      <c r="BD17" s="42">
        <v>0</v>
      </c>
      <c r="BE17" s="42">
        <v>0</v>
      </c>
      <c r="BF17" s="42">
        <v>0</v>
      </c>
      <c r="BG17" s="42">
        <v>0</v>
      </c>
      <c r="BH17" s="42">
        <v>0</v>
      </c>
      <c r="BI17" s="42">
        <v>0</v>
      </c>
      <c r="BJ17" s="42">
        <v>0</v>
      </c>
      <c r="BK17" s="42">
        <v>0</v>
      </c>
      <c r="BL17" s="42">
        <v>0</v>
      </c>
      <c r="BM17" s="42">
        <v>0</v>
      </c>
      <c r="BN17" s="42">
        <v>0</v>
      </c>
      <c r="BO17" s="42">
        <v>0</v>
      </c>
      <c r="BP17" s="42">
        <v>0</v>
      </c>
      <c r="BQ17" s="42">
        <v>0</v>
      </c>
      <c r="BR17" s="42">
        <v>0</v>
      </c>
      <c r="BS17" s="42">
        <v>0</v>
      </c>
      <c r="BT17" s="42">
        <v>0</v>
      </c>
    </row>
    <row r="18" spans="1:72" x14ac:dyDescent="0.25">
      <c r="A18" s="43" t="s">
        <v>1858</v>
      </c>
      <c r="B18" s="43" t="s">
        <v>1859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42">
        <v>0</v>
      </c>
      <c r="BB18" s="42">
        <v>0</v>
      </c>
      <c r="BC18" s="42">
        <v>0</v>
      </c>
      <c r="BD18" s="42">
        <v>0</v>
      </c>
      <c r="BE18" s="42">
        <v>0</v>
      </c>
      <c r="BF18" s="42">
        <v>0</v>
      </c>
      <c r="BG18" s="42">
        <v>0</v>
      </c>
      <c r="BH18" s="42">
        <v>0</v>
      </c>
      <c r="BI18" s="42">
        <v>0</v>
      </c>
      <c r="BJ18" s="42">
        <v>0</v>
      </c>
      <c r="BK18" s="42">
        <v>0</v>
      </c>
      <c r="BL18" s="42">
        <v>0</v>
      </c>
      <c r="BM18" s="42">
        <v>0</v>
      </c>
      <c r="BN18" s="42">
        <v>0</v>
      </c>
      <c r="BO18" s="42">
        <v>0</v>
      </c>
      <c r="BP18" s="42">
        <v>0</v>
      </c>
      <c r="BQ18" s="42">
        <v>0</v>
      </c>
      <c r="BR18" s="42">
        <v>0</v>
      </c>
      <c r="BS18" s="42">
        <v>0</v>
      </c>
      <c r="BT18" s="42">
        <v>0</v>
      </c>
    </row>
    <row r="19" spans="1:72" x14ac:dyDescent="0.25">
      <c r="A19" s="44" t="s">
        <v>56</v>
      </c>
      <c r="B19" s="44" t="s">
        <v>1860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1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1</v>
      </c>
      <c r="AC19" s="42">
        <v>0</v>
      </c>
      <c r="AD19" s="42">
        <v>1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42">
        <v>0</v>
      </c>
      <c r="BB19" s="42">
        <v>0</v>
      </c>
      <c r="BC19" s="42">
        <v>0</v>
      </c>
      <c r="BD19" s="42">
        <v>0</v>
      </c>
      <c r="BE19" s="42">
        <v>0</v>
      </c>
      <c r="BF19" s="42">
        <v>0</v>
      </c>
      <c r="BG19" s="42">
        <v>0</v>
      </c>
      <c r="BH19" s="42">
        <v>0</v>
      </c>
      <c r="BI19" s="42">
        <v>0</v>
      </c>
      <c r="BJ19" s="42">
        <v>0</v>
      </c>
      <c r="BK19" s="42">
        <v>0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  <c r="BQ19" s="42">
        <v>0</v>
      </c>
      <c r="BR19" s="42">
        <v>0</v>
      </c>
      <c r="BS19" s="42">
        <v>0</v>
      </c>
      <c r="BT19" s="42">
        <v>0</v>
      </c>
    </row>
    <row r="20" spans="1:72" x14ac:dyDescent="0.25">
      <c r="A20" s="44" t="s">
        <v>57</v>
      </c>
      <c r="B20" s="44" t="s">
        <v>1861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1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1</v>
      </c>
      <c r="AC20" s="42">
        <v>0</v>
      </c>
      <c r="AD20" s="42">
        <v>1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  <c r="BR20" s="42">
        <v>0</v>
      </c>
      <c r="BS20" s="42">
        <v>0</v>
      </c>
      <c r="BT20" s="42">
        <v>0</v>
      </c>
    </row>
    <row r="21" spans="1:72" x14ac:dyDescent="0.25">
      <c r="A21" s="44" t="s">
        <v>58</v>
      </c>
      <c r="B21" s="44" t="s">
        <v>1862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1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1</v>
      </c>
      <c r="AC21" s="42">
        <v>0</v>
      </c>
      <c r="AD21" s="42">
        <v>1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42">
        <v>0</v>
      </c>
      <c r="BB21" s="42">
        <v>0</v>
      </c>
      <c r="BC21" s="42">
        <v>0</v>
      </c>
      <c r="BD21" s="42">
        <v>0</v>
      </c>
      <c r="BE21" s="42">
        <v>0</v>
      </c>
      <c r="BF21" s="42">
        <v>0</v>
      </c>
      <c r="BG21" s="42">
        <v>0</v>
      </c>
      <c r="BH21" s="42">
        <v>0</v>
      </c>
      <c r="BI21" s="42">
        <v>0</v>
      </c>
      <c r="BJ21" s="42">
        <v>0</v>
      </c>
      <c r="BK21" s="42">
        <v>0</v>
      </c>
      <c r="BL21" s="42">
        <v>0</v>
      </c>
      <c r="BM21" s="42">
        <v>0</v>
      </c>
      <c r="BN21" s="42">
        <v>0</v>
      </c>
      <c r="BO21" s="42">
        <v>0</v>
      </c>
      <c r="BP21" s="42">
        <v>0</v>
      </c>
      <c r="BQ21" s="42">
        <v>0</v>
      </c>
      <c r="BR21" s="42">
        <v>0</v>
      </c>
      <c r="BS21" s="42">
        <v>0</v>
      </c>
      <c r="BT21" s="42">
        <v>0</v>
      </c>
    </row>
    <row r="22" spans="1:72" x14ac:dyDescent="0.25">
      <c r="A22" s="44" t="s">
        <v>60</v>
      </c>
      <c r="B22" s="44" t="s">
        <v>1863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1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1</v>
      </c>
      <c r="AC22" s="42">
        <v>0</v>
      </c>
      <c r="AD22" s="42">
        <v>1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0</v>
      </c>
      <c r="BF22" s="42">
        <v>0</v>
      </c>
      <c r="BG22" s="42">
        <v>0</v>
      </c>
      <c r="BH22" s="42">
        <v>0</v>
      </c>
      <c r="BI22" s="42">
        <v>0</v>
      </c>
      <c r="BJ22" s="42">
        <v>0</v>
      </c>
      <c r="BK22" s="42">
        <v>0</v>
      </c>
      <c r="BL22" s="42">
        <v>0</v>
      </c>
      <c r="BM22" s="42">
        <v>0</v>
      </c>
      <c r="BN22" s="42">
        <v>0</v>
      </c>
      <c r="BO22" s="42">
        <v>0</v>
      </c>
      <c r="BP22" s="42">
        <v>0</v>
      </c>
      <c r="BQ22" s="42">
        <v>0</v>
      </c>
      <c r="BR22" s="42">
        <v>0</v>
      </c>
      <c r="BS22" s="42">
        <v>0</v>
      </c>
      <c r="BT22" s="42">
        <v>0</v>
      </c>
    </row>
    <row r="23" spans="1:72" x14ac:dyDescent="0.25">
      <c r="A23" s="44" t="s">
        <v>61</v>
      </c>
      <c r="B23" s="44" t="s">
        <v>1864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1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1</v>
      </c>
      <c r="AC23" s="42">
        <v>0</v>
      </c>
      <c r="AD23" s="42">
        <v>1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42">
        <v>0</v>
      </c>
      <c r="BB23" s="42">
        <v>0</v>
      </c>
      <c r="BC23" s="42">
        <v>0</v>
      </c>
      <c r="BD23" s="42">
        <v>0</v>
      </c>
      <c r="BE23" s="42">
        <v>0</v>
      </c>
      <c r="BF23" s="42">
        <v>0</v>
      </c>
      <c r="BG23" s="42">
        <v>0</v>
      </c>
      <c r="BH23" s="42">
        <v>0</v>
      </c>
      <c r="BI23" s="42">
        <v>0</v>
      </c>
      <c r="BJ23" s="42">
        <v>0</v>
      </c>
      <c r="BK23" s="42">
        <v>0</v>
      </c>
      <c r="BL23" s="42">
        <v>0</v>
      </c>
      <c r="BM23" s="42">
        <v>0</v>
      </c>
      <c r="BN23" s="42">
        <v>0</v>
      </c>
      <c r="BO23" s="42">
        <v>0</v>
      </c>
      <c r="BP23" s="42">
        <v>0</v>
      </c>
      <c r="BQ23" s="42">
        <v>0</v>
      </c>
      <c r="BR23" s="42">
        <v>0</v>
      </c>
      <c r="BS23" s="42">
        <v>0</v>
      </c>
      <c r="BT23" s="42">
        <v>0</v>
      </c>
    </row>
    <row r="24" spans="1:72" x14ac:dyDescent="0.25">
      <c r="A24" s="44" t="s">
        <v>62</v>
      </c>
      <c r="B24" s="44" t="s">
        <v>1865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1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1</v>
      </c>
      <c r="AC24" s="42">
        <v>0</v>
      </c>
      <c r="AD24" s="42">
        <v>1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42">
        <v>0</v>
      </c>
      <c r="BB24" s="42">
        <v>0</v>
      </c>
      <c r="BC24" s="42">
        <v>0</v>
      </c>
      <c r="BD24" s="42">
        <v>0</v>
      </c>
      <c r="BE24" s="42">
        <v>0</v>
      </c>
      <c r="BF24" s="42">
        <v>0</v>
      </c>
      <c r="BG24" s="42">
        <v>0</v>
      </c>
      <c r="BH24" s="42">
        <v>0</v>
      </c>
      <c r="BI24" s="42">
        <v>0</v>
      </c>
      <c r="BJ24" s="42">
        <v>0</v>
      </c>
      <c r="BK24" s="42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  <c r="BQ24" s="42">
        <v>0</v>
      </c>
      <c r="BR24" s="42">
        <v>0</v>
      </c>
      <c r="BS24" s="42">
        <v>0</v>
      </c>
      <c r="BT24" s="42">
        <v>0</v>
      </c>
    </row>
    <row r="25" spans="1:72" x14ac:dyDescent="0.25">
      <c r="A25" s="44" t="s">
        <v>63</v>
      </c>
      <c r="B25" s="44" t="s">
        <v>1866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1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1</v>
      </c>
      <c r="AC25" s="42">
        <v>0</v>
      </c>
      <c r="AD25" s="42">
        <v>1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42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  <c r="BQ25" s="42">
        <v>0</v>
      </c>
      <c r="BR25" s="42">
        <v>0</v>
      </c>
      <c r="BS25" s="42">
        <v>0</v>
      </c>
      <c r="BT25" s="42">
        <v>0</v>
      </c>
    </row>
    <row r="26" spans="1:72" x14ac:dyDescent="0.25">
      <c r="A26" s="44" t="s">
        <v>1867</v>
      </c>
      <c r="B26" s="44" t="s">
        <v>1868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42">
        <v>0</v>
      </c>
      <c r="BB26" s="42">
        <v>0</v>
      </c>
      <c r="BC26" s="42">
        <v>0</v>
      </c>
      <c r="BD26" s="42">
        <v>0</v>
      </c>
      <c r="BE26" s="42">
        <v>0</v>
      </c>
      <c r="BF26" s="42">
        <v>0</v>
      </c>
      <c r="BG26" s="42">
        <v>0</v>
      </c>
      <c r="BH26" s="42">
        <v>0</v>
      </c>
      <c r="BI26" s="42">
        <v>0</v>
      </c>
      <c r="BJ26" s="42">
        <v>0</v>
      </c>
      <c r="BK26" s="42">
        <v>0</v>
      </c>
      <c r="BL26" s="42">
        <v>0</v>
      </c>
      <c r="BM26" s="42">
        <v>0</v>
      </c>
      <c r="BN26" s="42">
        <v>0</v>
      </c>
      <c r="BO26" s="42">
        <v>0</v>
      </c>
      <c r="BP26" s="42">
        <v>0</v>
      </c>
      <c r="BQ26" s="42">
        <v>0</v>
      </c>
      <c r="BR26" s="42">
        <v>0</v>
      </c>
      <c r="BS26" s="42">
        <v>0</v>
      </c>
      <c r="BT26" s="42">
        <v>0</v>
      </c>
    </row>
    <row r="27" spans="1:72" x14ac:dyDescent="0.25">
      <c r="A27" s="40" t="s">
        <v>31</v>
      </c>
      <c r="B27" s="40" t="s">
        <v>1869</v>
      </c>
      <c r="C27" s="42">
        <v>0</v>
      </c>
      <c r="D27" s="42">
        <v>0</v>
      </c>
      <c r="E27" s="42">
        <v>0</v>
      </c>
      <c r="F27" s="42">
        <v>1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0</v>
      </c>
      <c r="BA27" s="42">
        <v>0</v>
      </c>
      <c r="BB27" s="42">
        <v>0</v>
      </c>
      <c r="BC27" s="42">
        <v>0</v>
      </c>
      <c r="BD27" s="42">
        <v>0</v>
      </c>
      <c r="BE27" s="42">
        <v>0</v>
      </c>
      <c r="BF27" s="42">
        <v>0</v>
      </c>
      <c r="BG27" s="42">
        <v>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  <c r="BR27" s="42">
        <v>0</v>
      </c>
      <c r="BS27" s="42">
        <v>0</v>
      </c>
      <c r="BT27" s="42">
        <v>0</v>
      </c>
    </row>
    <row r="28" spans="1:72" x14ac:dyDescent="0.25">
      <c r="A28" s="40" t="s">
        <v>1832</v>
      </c>
      <c r="B28" s="40" t="s">
        <v>1831</v>
      </c>
      <c r="C28" s="42">
        <v>0</v>
      </c>
      <c r="D28" s="42">
        <v>0</v>
      </c>
      <c r="E28" s="42">
        <v>0</v>
      </c>
      <c r="F28" s="42">
        <v>1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  <c r="BR28" s="42">
        <v>0</v>
      </c>
      <c r="BS28" s="42">
        <v>0</v>
      </c>
      <c r="BT28" s="42">
        <v>0</v>
      </c>
    </row>
    <row r="29" spans="1:72" x14ac:dyDescent="0.25">
      <c r="A29" s="45" t="s">
        <v>68</v>
      </c>
      <c r="B29" s="45" t="s">
        <v>1870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1</v>
      </c>
      <c r="M29" s="42">
        <v>1</v>
      </c>
      <c r="N29" s="42">
        <v>1</v>
      </c>
      <c r="O29" s="42">
        <v>1</v>
      </c>
      <c r="P29" s="42">
        <v>1</v>
      </c>
      <c r="Q29" s="42">
        <v>1</v>
      </c>
      <c r="R29" s="42">
        <v>1</v>
      </c>
      <c r="S29" s="42">
        <v>1</v>
      </c>
      <c r="T29" s="42">
        <v>1</v>
      </c>
      <c r="U29" s="42">
        <v>1</v>
      </c>
      <c r="V29" s="42">
        <v>1</v>
      </c>
      <c r="W29" s="42">
        <v>1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1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0</v>
      </c>
      <c r="BA29" s="42">
        <v>0</v>
      </c>
      <c r="BB29" s="42">
        <v>0</v>
      </c>
      <c r="BC29" s="42">
        <v>0</v>
      </c>
      <c r="BD29" s="42">
        <v>0</v>
      </c>
      <c r="BE29" s="42">
        <v>0</v>
      </c>
      <c r="BF29" s="42">
        <v>0</v>
      </c>
      <c r="BG29" s="42">
        <v>0</v>
      </c>
      <c r="BH29" s="42">
        <v>0</v>
      </c>
      <c r="BI29" s="42">
        <v>0</v>
      </c>
      <c r="BJ29" s="42">
        <v>0</v>
      </c>
      <c r="BK29" s="42">
        <v>0</v>
      </c>
      <c r="BL29" s="42">
        <v>0</v>
      </c>
      <c r="BM29" s="42">
        <v>0</v>
      </c>
      <c r="BN29" s="42">
        <v>0</v>
      </c>
      <c r="BO29" s="42">
        <v>0</v>
      </c>
      <c r="BP29" s="42">
        <v>0</v>
      </c>
      <c r="BQ29" s="42">
        <v>0</v>
      </c>
      <c r="BR29" s="42">
        <v>0</v>
      </c>
      <c r="BS29" s="42">
        <v>0</v>
      </c>
      <c r="BT29" s="42">
        <v>0</v>
      </c>
    </row>
    <row r="30" spans="1:72" x14ac:dyDescent="0.25">
      <c r="A30" s="45" t="s">
        <v>69</v>
      </c>
      <c r="B30" s="45" t="s">
        <v>1871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/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/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0</v>
      </c>
      <c r="BA30" s="42">
        <v>0</v>
      </c>
      <c r="BB30" s="42">
        <v>0</v>
      </c>
      <c r="BC30" s="42">
        <v>0</v>
      </c>
      <c r="BD30" s="42">
        <v>0</v>
      </c>
      <c r="BE30" s="42">
        <v>0</v>
      </c>
      <c r="BF30" s="42">
        <v>0</v>
      </c>
      <c r="BG30" s="42">
        <v>0</v>
      </c>
      <c r="BH30" s="42">
        <v>0</v>
      </c>
      <c r="BI30" s="42">
        <v>0</v>
      </c>
      <c r="BJ30" s="42">
        <v>0</v>
      </c>
      <c r="BK30" s="42">
        <v>0</v>
      </c>
      <c r="BL30" s="42">
        <v>0</v>
      </c>
      <c r="BM30" s="42">
        <v>0</v>
      </c>
      <c r="BN30" s="42">
        <v>0</v>
      </c>
      <c r="BO30" s="42">
        <v>0</v>
      </c>
      <c r="BP30" s="42">
        <v>0</v>
      </c>
      <c r="BQ30" s="42">
        <v>0</v>
      </c>
      <c r="BR30" s="42">
        <v>0</v>
      </c>
      <c r="BS30" s="42">
        <v>0</v>
      </c>
      <c r="BT30" s="42">
        <v>0</v>
      </c>
    </row>
    <row r="31" spans="1:72" x14ac:dyDescent="0.25">
      <c r="A31" s="45" t="s">
        <v>81</v>
      </c>
      <c r="B31" s="45" t="s">
        <v>1872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1</v>
      </c>
      <c r="M31" s="42">
        <v>1</v>
      </c>
      <c r="N31" s="42">
        <v>1</v>
      </c>
      <c r="O31" s="42">
        <v>1</v>
      </c>
      <c r="P31" s="42">
        <v>1</v>
      </c>
      <c r="Q31" s="42">
        <v>1</v>
      </c>
      <c r="R31" s="42">
        <v>1</v>
      </c>
      <c r="S31" s="42">
        <v>1</v>
      </c>
      <c r="T31" s="42">
        <v>0</v>
      </c>
      <c r="U31" s="42">
        <v>1</v>
      </c>
      <c r="V31" s="42">
        <v>1</v>
      </c>
      <c r="W31" s="42">
        <v>1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1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42">
        <v>0</v>
      </c>
      <c r="BB31" s="42">
        <v>0</v>
      </c>
      <c r="BC31" s="42">
        <v>0</v>
      </c>
      <c r="BD31" s="42">
        <v>0</v>
      </c>
      <c r="BE31" s="42">
        <v>0</v>
      </c>
      <c r="BF31" s="42">
        <v>0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  <c r="BQ31" s="42">
        <v>0</v>
      </c>
      <c r="BR31" s="42">
        <v>0</v>
      </c>
      <c r="BS31" s="42">
        <v>0</v>
      </c>
      <c r="BT31" s="42">
        <v>0</v>
      </c>
    </row>
    <row r="32" spans="1:72" x14ac:dyDescent="0.25">
      <c r="A32" s="45" t="s">
        <v>71</v>
      </c>
      <c r="B32" s="45" t="s">
        <v>1873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42">
        <v>0</v>
      </c>
      <c r="BB32" s="42">
        <v>0</v>
      </c>
      <c r="BC32" s="42">
        <v>0</v>
      </c>
      <c r="BD32" s="42">
        <v>0</v>
      </c>
      <c r="BE32" s="42">
        <v>0</v>
      </c>
      <c r="BF32" s="42">
        <v>0</v>
      </c>
      <c r="BG32" s="42">
        <v>0</v>
      </c>
      <c r="BH32" s="42">
        <v>0</v>
      </c>
      <c r="BI32" s="42">
        <v>0</v>
      </c>
      <c r="BJ32" s="42">
        <v>0</v>
      </c>
      <c r="BK32" s="42">
        <v>0</v>
      </c>
      <c r="BL32" s="42">
        <v>0</v>
      </c>
      <c r="BM32" s="42">
        <v>0</v>
      </c>
      <c r="BN32" s="42">
        <v>0</v>
      </c>
      <c r="BO32" s="42">
        <v>0</v>
      </c>
      <c r="BP32" s="42">
        <v>0</v>
      </c>
      <c r="BQ32" s="42">
        <v>0</v>
      </c>
      <c r="BR32" s="42">
        <v>0</v>
      </c>
      <c r="BS32" s="42">
        <v>0</v>
      </c>
      <c r="BT32" s="42">
        <v>0</v>
      </c>
    </row>
    <row r="33" spans="1:72" x14ac:dyDescent="0.25">
      <c r="A33" s="45" t="s">
        <v>92</v>
      </c>
      <c r="B33" s="45" t="s">
        <v>1874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0</v>
      </c>
      <c r="BB33" s="42">
        <v>0</v>
      </c>
      <c r="BC33" s="42">
        <v>0</v>
      </c>
      <c r="BD33" s="42">
        <v>0</v>
      </c>
      <c r="BE33" s="42">
        <v>0</v>
      </c>
      <c r="BF33" s="42">
        <v>0</v>
      </c>
      <c r="BG33" s="42">
        <v>0</v>
      </c>
      <c r="BH33" s="42">
        <v>0</v>
      </c>
      <c r="BI33" s="42">
        <v>0</v>
      </c>
      <c r="BJ33" s="42">
        <v>0</v>
      </c>
      <c r="BK33" s="42">
        <v>0</v>
      </c>
      <c r="BL33" s="42">
        <v>0</v>
      </c>
      <c r="BM33" s="42">
        <v>0</v>
      </c>
      <c r="BN33" s="42">
        <v>0</v>
      </c>
      <c r="BO33" s="42">
        <v>0</v>
      </c>
      <c r="BP33" s="42">
        <v>0</v>
      </c>
      <c r="BQ33" s="42">
        <v>0</v>
      </c>
      <c r="BR33" s="42">
        <v>0</v>
      </c>
      <c r="BS33" s="42">
        <v>0</v>
      </c>
      <c r="BT33" s="42">
        <v>0</v>
      </c>
    </row>
    <row r="34" spans="1:72" x14ac:dyDescent="0.25">
      <c r="A34" s="45" t="s">
        <v>73</v>
      </c>
      <c r="B34" s="45" t="s">
        <v>1875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  <c r="BR34" s="42">
        <v>0</v>
      </c>
      <c r="BS34" s="42">
        <v>0</v>
      </c>
      <c r="BT34" s="42">
        <v>0</v>
      </c>
    </row>
    <row r="35" spans="1:72" x14ac:dyDescent="0.25">
      <c r="A35" s="45" t="s">
        <v>1876</v>
      </c>
      <c r="B35" s="45" t="s">
        <v>1877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  <c r="BQ35" s="42">
        <v>0</v>
      </c>
      <c r="BR35" s="42">
        <v>0</v>
      </c>
      <c r="BS35" s="42">
        <v>0</v>
      </c>
      <c r="BT35" s="42">
        <v>0</v>
      </c>
    </row>
  </sheetData>
  <conditionalFormatting sqref="C3:BT35">
    <cfRule type="cellIs" dxfId="2" priority="1" operator="equal">
      <formula>1</formula>
    </cfRule>
    <cfRule type="cellIs" dxfId="1" priority="2" operator="equal">
      <formula>0</formula>
    </cfRule>
    <cfRule type="cellIs" dxfId="0" priority="3" operator="equal">
      <formula>0.5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AA6D-5E03-4AF0-B035-B7188CDD9F6E}">
  <dimension ref="A1:B12"/>
  <sheetViews>
    <sheetView workbookViewId="0">
      <selection activeCell="F12" sqref="F12"/>
    </sheetView>
  </sheetViews>
  <sheetFormatPr baseColWidth="10" defaultColWidth="9.140625" defaultRowHeight="15" x14ac:dyDescent="0.25"/>
  <sheetData>
    <row r="1" spans="1:2" ht="23.25" x14ac:dyDescent="0.25">
      <c r="A1" s="64" t="s">
        <v>1838</v>
      </c>
      <c r="B1" s="65" t="s">
        <v>2232</v>
      </c>
    </row>
    <row r="2" spans="1:2" x14ac:dyDescent="0.25">
      <c r="A2" s="12" t="s">
        <v>64</v>
      </c>
      <c r="B2" s="12" t="s">
        <v>66</v>
      </c>
    </row>
    <row r="3" spans="1:2" x14ac:dyDescent="0.25">
      <c r="A3" s="12" t="s">
        <v>75</v>
      </c>
      <c r="B3" s="12" t="s">
        <v>2056</v>
      </c>
    </row>
    <row r="4" spans="1:2" x14ac:dyDescent="0.25">
      <c r="A4" s="12" t="s">
        <v>78</v>
      </c>
      <c r="B4" s="12" t="s">
        <v>2060</v>
      </c>
    </row>
    <row r="5" spans="1:2" x14ac:dyDescent="0.25">
      <c r="A5" s="12" t="s">
        <v>83</v>
      </c>
      <c r="B5" s="12" t="s">
        <v>2064</v>
      </c>
    </row>
    <row r="6" spans="1:2" x14ac:dyDescent="0.25">
      <c r="A6" s="12" t="s">
        <v>85</v>
      </c>
      <c r="B6" s="12" t="s">
        <v>2066</v>
      </c>
    </row>
    <row r="7" spans="1:2" x14ac:dyDescent="0.25">
      <c r="A7" s="12" t="s">
        <v>2067</v>
      </c>
      <c r="B7" s="12" t="s">
        <v>2069</v>
      </c>
    </row>
    <row r="8" spans="1:2" x14ac:dyDescent="0.25">
      <c r="A8" s="12" t="s">
        <v>229</v>
      </c>
      <c r="B8" s="12" t="s">
        <v>2073</v>
      </c>
    </row>
    <row r="9" spans="1:2" x14ac:dyDescent="0.25">
      <c r="A9" s="12" t="s">
        <v>2076</v>
      </c>
      <c r="B9" s="12" t="s">
        <v>2078</v>
      </c>
    </row>
    <row r="10" spans="1:2" x14ac:dyDescent="0.25">
      <c r="A10" s="12" t="s">
        <v>96</v>
      </c>
      <c r="B10" s="12" t="s">
        <v>98</v>
      </c>
    </row>
    <row r="11" spans="1:2" x14ac:dyDescent="0.25">
      <c r="A11" s="12" t="s">
        <v>149</v>
      </c>
      <c r="B11" s="12" t="s">
        <v>2087</v>
      </c>
    </row>
    <row r="12" spans="1:2" x14ac:dyDescent="0.25">
      <c r="A12" s="12" t="s">
        <v>1839</v>
      </c>
      <c r="B12" s="12" t="s">
        <v>2091</v>
      </c>
    </row>
  </sheetData>
  <autoFilter ref="A1:B1" xr:uid="{30C0AA6D-5E03-4AF0-B035-B7188CDD9F6E}">
    <sortState xmlns:xlrd2="http://schemas.microsoft.com/office/spreadsheetml/2017/richdata2" ref="A2:B12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817C-BEB4-46CA-880C-3D3A43968488}">
  <sheetPr filterMode="1"/>
  <dimension ref="A1:L138"/>
  <sheetViews>
    <sheetView workbookViewId="0">
      <selection activeCell="F140" sqref="F140"/>
    </sheetView>
  </sheetViews>
  <sheetFormatPr baseColWidth="10" defaultColWidth="9.140625" defaultRowHeight="15" x14ac:dyDescent="0.25"/>
  <cols>
    <col min="1" max="1" width="20.7109375" bestFit="1" customWidth="1"/>
    <col min="2" max="2" width="18.140625" bestFit="1" customWidth="1"/>
    <col min="3" max="3" width="25" bestFit="1" customWidth="1"/>
    <col min="4" max="4" width="21.42578125" bestFit="1" customWidth="1"/>
    <col min="5" max="5" width="10" bestFit="1" customWidth="1"/>
    <col min="6" max="6" width="23" bestFit="1" customWidth="1"/>
    <col min="7" max="7" width="14.7109375" bestFit="1" customWidth="1"/>
    <col min="8" max="8" width="20.140625" bestFit="1" customWidth="1"/>
    <col min="9" max="9" width="15.5703125" bestFit="1" customWidth="1"/>
    <col min="10" max="10" width="43.85546875" bestFit="1" customWidth="1"/>
    <col min="11" max="11" width="26.42578125" bestFit="1" customWidth="1"/>
    <col min="12" max="12" width="87.5703125" bestFit="1" customWidth="1"/>
  </cols>
  <sheetData>
    <row r="1" spans="1:12" ht="15.75" x14ac:dyDescent="0.25">
      <c r="A1" s="50" t="s">
        <v>3</v>
      </c>
      <c r="B1" s="51" t="s">
        <v>107</v>
      </c>
      <c r="C1" s="51" t="s">
        <v>108</v>
      </c>
      <c r="D1" s="51" t="s">
        <v>5</v>
      </c>
      <c r="E1" s="51" t="s">
        <v>4</v>
      </c>
      <c r="F1" s="51" t="s">
        <v>2</v>
      </c>
      <c r="G1" s="51" t="s">
        <v>1</v>
      </c>
      <c r="H1" s="51" t="s">
        <v>0</v>
      </c>
      <c r="I1" s="52" t="s">
        <v>109</v>
      </c>
      <c r="J1" s="53" t="s">
        <v>110</v>
      </c>
      <c r="K1" s="54" t="s">
        <v>111</v>
      </c>
      <c r="L1" s="9" t="s">
        <v>2233</v>
      </c>
    </row>
    <row r="2" spans="1:12" hidden="1" x14ac:dyDescent="0.25">
      <c r="A2" s="55" t="s">
        <v>67</v>
      </c>
      <c r="B2" s="56" t="s">
        <v>68</v>
      </c>
      <c r="C2" s="56" t="s">
        <v>112</v>
      </c>
      <c r="D2" s="56" t="s">
        <v>95</v>
      </c>
      <c r="E2" s="56" t="s">
        <v>94</v>
      </c>
      <c r="F2" s="56" t="s">
        <v>90</v>
      </c>
      <c r="G2" s="56" t="str">
        <f>_xlfn.XLOOKUP(F2,MARCAS!E:E,MARCAS!F:F)</f>
        <v>170</v>
      </c>
      <c r="H2" s="56" t="s">
        <v>88</v>
      </c>
      <c r="I2" s="57" t="s">
        <v>113</v>
      </c>
      <c r="J2" s="58" t="s">
        <v>114</v>
      </c>
      <c r="K2" s="59" t="s">
        <v>115</v>
      </c>
      <c r="L2" s="2" t="str">
        <f>_xlfn.XLOOKUP(H2,Unidades!$1:$1,Unidades!$36:$36)</f>
        <v>VF00, VF01, VF04, VF05, VF06, VF08</v>
      </c>
    </row>
    <row r="3" spans="1:12" hidden="1" x14ac:dyDescent="0.25">
      <c r="A3" s="55" t="s">
        <v>67</v>
      </c>
      <c r="B3" s="56" t="s">
        <v>68</v>
      </c>
      <c r="C3" s="56" t="s">
        <v>112</v>
      </c>
      <c r="D3" s="56" t="s">
        <v>82</v>
      </c>
      <c r="E3" s="56" t="s">
        <v>81</v>
      </c>
      <c r="F3" s="56" t="s">
        <v>80</v>
      </c>
      <c r="G3" s="56" t="str">
        <f>_xlfn.XLOOKUP(F3,MARCAS!E:E,MARCAS!F:F)</f>
        <v>140</v>
      </c>
      <c r="H3" s="56" t="s">
        <v>78</v>
      </c>
      <c r="I3" s="57" t="s">
        <v>116</v>
      </c>
      <c r="J3" s="58" t="s">
        <v>117</v>
      </c>
      <c r="K3" s="59" t="s">
        <v>118</v>
      </c>
      <c r="L3" s="2" t="str">
        <f>_xlfn.XLOOKUP(H3,Unidades!$1:$1,Unidades!$36:$36)</f>
        <v>VF00, VF01, VF03, VF04, VF06, VF08</v>
      </c>
    </row>
    <row r="4" spans="1:12" hidden="1" x14ac:dyDescent="0.25">
      <c r="A4" s="55" t="s">
        <v>67</v>
      </c>
      <c r="B4" s="56" t="s">
        <v>68</v>
      </c>
      <c r="C4" s="56" t="s">
        <v>112</v>
      </c>
      <c r="D4" s="56" t="s">
        <v>82</v>
      </c>
      <c r="E4" s="56" t="s">
        <v>81</v>
      </c>
      <c r="F4" s="56" t="s">
        <v>105</v>
      </c>
      <c r="G4" s="56" t="str">
        <f>_xlfn.XLOOKUP(F4,MARCAS!E:E,MARCAS!F:F)</f>
        <v>280</v>
      </c>
      <c r="H4" s="56" t="s">
        <v>99</v>
      </c>
      <c r="I4" s="57" t="s">
        <v>119</v>
      </c>
      <c r="J4" s="58" t="s">
        <v>120</v>
      </c>
      <c r="K4" s="59" t="s">
        <v>121</v>
      </c>
      <c r="L4" s="2" t="str">
        <f>_xlfn.XLOOKUP(H4,Unidades!$1:$1,Unidades!$36:$36)</f>
        <v>VA00, VA01, VA02, VA03, VA04, VA05, VA06, VA07, VC00, VC01, VC02, VC04, VC05, VC06, VC07, VC08, VF00, VF01, VF03, VF04, VF06, VF08</v>
      </c>
    </row>
    <row r="5" spans="1:12" hidden="1" x14ac:dyDescent="0.25">
      <c r="A5" s="55" t="s">
        <v>67</v>
      </c>
      <c r="B5" s="56" t="s">
        <v>68</v>
      </c>
      <c r="C5" s="56" t="s">
        <v>112</v>
      </c>
      <c r="D5" s="56" t="s">
        <v>91</v>
      </c>
      <c r="E5" s="56" t="s">
        <v>69</v>
      </c>
      <c r="F5" s="56" t="s">
        <v>90</v>
      </c>
      <c r="G5" s="56" t="str">
        <f>_xlfn.XLOOKUP(F5,MARCAS!E:E,MARCAS!F:F)</f>
        <v>170</v>
      </c>
      <c r="H5" s="56" t="s">
        <v>88</v>
      </c>
      <c r="I5" s="57" t="s">
        <v>122</v>
      </c>
      <c r="J5" s="58" t="s">
        <v>123</v>
      </c>
      <c r="K5" s="59" t="s">
        <v>124</v>
      </c>
      <c r="L5" s="2" t="str">
        <f>_xlfn.XLOOKUP(H5,Unidades!$1:$1,Unidades!$36:$36)</f>
        <v>VF00, VF01, VF04, VF05, VF06, VF08</v>
      </c>
    </row>
    <row r="6" spans="1:12" hidden="1" x14ac:dyDescent="0.25">
      <c r="A6" s="55" t="s">
        <v>67</v>
      </c>
      <c r="B6" s="56" t="s">
        <v>68</v>
      </c>
      <c r="C6" s="56" t="s">
        <v>112</v>
      </c>
      <c r="D6" s="56" t="s">
        <v>70</v>
      </c>
      <c r="E6" s="56" t="s">
        <v>69</v>
      </c>
      <c r="F6" s="56" t="s">
        <v>84</v>
      </c>
      <c r="G6" s="56" t="str">
        <f>_xlfn.XLOOKUP(F6,MARCAS!E:E,MARCAS!F:F)</f>
        <v>060</v>
      </c>
      <c r="H6" s="56" t="s">
        <v>83</v>
      </c>
      <c r="I6" s="57" t="s">
        <v>125</v>
      </c>
      <c r="J6" s="58" t="s">
        <v>126</v>
      </c>
      <c r="K6" s="59" t="s">
        <v>127</v>
      </c>
      <c r="L6" s="2" t="str">
        <f>_xlfn.XLOOKUP(H6,Unidades!$1:$1,Unidades!$36:$36)</f>
        <v>VA00, VA01, VA02, VA03, VA04, VA05, VA06, VA07, VF00, VF01, VF04, VF06, VF08</v>
      </c>
    </row>
    <row r="7" spans="1:12" hidden="1" x14ac:dyDescent="0.25">
      <c r="A7" s="55" t="s">
        <v>67</v>
      </c>
      <c r="B7" s="56" t="s">
        <v>68</v>
      </c>
      <c r="C7" s="56" t="s">
        <v>112</v>
      </c>
      <c r="D7" s="56" t="s">
        <v>70</v>
      </c>
      <c r="E7" s="56" t="s">
        <v>69</v>
      </c>
      <c r="F7" s="56" t="s">
        <v>98</v>
      </c>
      <c r="G7" s="56" t="str">
        <f>_xlfn.XLOOKUP(F7,MARCAS!E:E,MARCAS!F:F)</f>
        <v>080</v>
      </c>
      <c r="H7" s="56" t="s">
        <v>96</v>
      </c>
      <c r="I7" s="57" t="s">
        <v>128</v>
      </c>
      <c r="J7" s="58" t="s">
        <v>129</v>
      </c>
      <c r="K7" s="59" t="s">
        <v>130</v>
      </c>
      <c r="L7" s="2" t="str">
        <f>_xlfn.XLOOKUP(H7,Unidades!$1:$1,Unidades!$36:$36)</f>
        <v>VA00, VA01, VA02, VA03, VA04, VA05, VA06, VA07</v>
      </c>
    </row>
    <row r="8" spans="1:12" hidden="1" x14ac:dyDescent="0.25">
      <c r="A8" s="55" t="s">
        <v>67</v>
      </c>
      <c r="B8" s="56" t="s">
        <v>68</v>
      </c>
      <c r="C8" s="56" t="s">
        <v>112</v>
      </c>
      <c r="D8" s="56" t="s">
        <v>70</v>
      </c>
      <c r="E8" s="56" t="s">
        <v>69</v>
      </c>
      <c r="F8" s="56" t="s">
        <v>66</v>
      </c>
      <c r="G8" s="56" t="str">
        <f>_xlfn.XLOOKUP(F8,MARCAS!E:E,MARCAS!F:F)</f>
        <v>130</v>
      </c>
      <c r="H8" s="56" t="s">
        <v>64</v>
      </c>
      <c r="I8" s="57" t="s">
        <v>131</v>
      </c>
      <c r="J8" s="58" t="s">
        <v>132</v>
      </c>
      <c r="K8" s="59" t="s">
        <v>133</v>
      </c>
      <c r="L8" s="2" t="str">
        <f>_xlfn.XLOOKUP(H8,Unidades!$1:$1,Unidades!$36:$36)</f>
        <v>VA02, VA04, VA06, VF00, VF01, VF04, VF06, VF08</v>
      </c>
    </row>
    <row r="9" spans="1:12" hidden="1" x14ac:dyDescent="0.25">
      <c r="A9" s="55" t="s">
        <v>67</v>
      </c>
      <c r="B9" s="56" t="s">
        <v>68</v>
      </c>
      <c r="C9" s="56" t="s">
        <v>112</v>
      </c>
      <c r="D9" s="56" t="s">
        <v>70</v>
      </c>
      <c r="E9" s="56" t="s">
        <v>69</v>
      </c>
      <c r="F9" s="56" t="s">
        <v>87</v>
      </c>
      <c r="G9" s="56" t="str">
        <f>_xlfn.XLOOKUP(F9,MARCAS!E:E,MARCAS!F:F)</f>
        <v>160</v>
      </c>
      <c r="H9" s="56" t="s">
        <v>85</v>
      </c>
      <c r="I9" s="57" t="s">
        <v>134</v>
      </c>
      <c r="J9" s="58" t="s">
        <v>135</v>
      </c>
      <c r="K9" s="59" t="s">
        <v>136</v>
      </c>
      <c r="L9" s="2" t="str">
        <f>_xlfn.XLOOKUP(H9,Unidades!$1:$1,Unidades!$36:$36)</f>
        <v>VF00, VF01, VF04, VF06, VF08</v>
      </c>
    </row>
    <row r="10" spans="1:12" hidden="1" x14ac:dyDescent="0.25">
      <c r="A10" s="55" t="s">
        <v>67</v>
      </c>
      <c r="B10" s="56" t="s">
        <v>68</v>
      </c>
      <c r="C10" s="56" t="s">
        <v>112</v>
      </c>
      <c r="D10" s="56" t="s">
        <v>70</v>
      </c>
      <c r="E10" s="56" t="s">
        <v>69</v>
      </c>
      <c r="F10" s="56" t="s">
        <v>105</v>
      </c>
      <c r="G10" s="56" t="str">
        <f>_xlfn.XLOOKUP(F10,MARCAS!E:E,MARCAS!F:F)</f>
        <v>280</v>
      </c>
      <c r="H10" s="56" t="s">
        <v>99</v>
      </c>
      <c r="I10" s="57" t="s">
        <v>137</v>
      </c>
      <c r="J10" s="58" t="s">
        <v>138</v>
      </c>
      <c r="K10" s="59" t="s">
        <v>139</v>
      </c>
      <c r="L10" s="2" t="str">
        <f>_xlfn.XLOOKUP(H10,Unidades!$1:$1,Unidades!$36:$36)</f>
        <v>VA00, VA01, VA02, VA03, VA04, VA05, VA06, VA07, VC00, VC01, VC02, VC04, VC05, VC06, VC07, VC08, VF00, VF01, VF03, VF04, VF06, VF08</v>
      </c>
    </row>
    <row r="11" spans="1:12" hidden="1" x14ac:dyDescent="0.25">
      <c r="A11" s="55" t="s">
        <v>67</v>
      </c>
      <c r="B11" s="56" t="s">
        <v>68</v>
      </c>
      <c r="C11" s="56" t="s">
        <v>112</v>
      </c>
      <c r="D11" s="56" t="s">
        <v>70</v>
      </c>
      <c r="E11" s="56" t="s">
        <v>69</v>
      </c>
      <c r="F11" s="56" t="s">
        <v>77</v>
      </c>
      <c r="G11" s="56" t="str">
        <f>_xlfn.XLOOKUP(F11,MARCAS!E:E,MARCAS!F:F)</f>
        <v>260</v>
      </c>
      <c r="H11" s="56" t="s">
        <v>75</v>
      </c>
      <c r="I11" s="57" t="s">
        <v>140</v>
      </c>
      <c r="J11" s="58" t="s">
        <v>141</v>
      </c>
      <c r="K11" s="59" t="s">
        <v>142</v>
      </c>
      <c r="L11" s="2" t="str">
        <f>_xlfn.XLOOKUP(H11,Unidades!$1:$1,Unidades!$36:$36)</f>
        <v>VF00, VF01, VF04, VF06, VF08</v>
      </c>
    </row>
    <row r="12" spans="1:12" hidden="1" x14ac:dyDescent="0.25">
      <c r="A12" s="55" t="s">
        <v>67</v>
      </c>
      <c r="B12" s="56" t="s">
        <v>68</v>
      </c>
      <c r="C12" s="56" t="s">
        <v>112</v>
      </c>
      <c r="D12" s="56" t="s">
        <v>72</v>
      </c>
      <c r="E12" s="56" t="s">
        <v>71</v>
      </c>
      <c r="F12" s="56" t="s">
        <v>84</v>
      </c>
      <c r="G12" s="56" t="str">
        <f>_xlfn.XLOOKUP(F12,MARCAS!E:E,MARCAS!F:F)</f>
        <v>060</v>
      </c>
      <c r="H12" s="56" t="s">
        <v>83</v>
      </c>
      <c r="I12" s="57" t="s">
        <v>143</v>
      </c>
      <c r="J12" s="58" t="s">
        <v>144</v>
      </c>
      <c r="K12" s="59" t="s">
        <v>145</v>
      </c>
      <c r="L12" s="2" t="str">
        <f>_xlfn.XLOOKUP(H12,Unidades!$1:$1,Unidades!$36:$36)</f>
        <v>VA00, VA01, VA02, VA03, VA04, VA05, VA06, VA07, VF00, VF01, VF04, VF06, VF08</v>
      </c>
    </row>
    <row r="13" spans="1:12" hidden="1" x14ac:dyDescent="0.25">
      <c r="A13" s="55" t="s">
        <v>67</v>
      </c>
      <c r="B13" s="56" t="s">
        <v>68</v>
      </c>
      <c r="C13" s="56" t="s">
        <v>112</v>
      </c>
      <c r="D13" s="56" t="s">
        <v>72</v>
      </c>
      <c r="E13" s="56" t="s">
        <v>71</v>
      </c>
      <c r="F13" s="56" t="s">
        <v>98</v>
      </c>
      <c r="G13" s="56" t="str">
        <f>_xlfn.XLOOKUP(F13,MARCAS!E:E,MARCAS!F:F)</f>
        <v>080</v>
      </c>
      <c r="H13" s="56" t="s">
        <v>96</v>
      </c>
      <c r="I13" s="57" t="s">
        <v>146</v>
      </c>
      <c r="J13" s="58" t="s">
        <v>147</v>
      </c>
      <c r="K13" s="59" t="s">
        <v>148</v>
      </c>
      <c r="L13" s="2" t="str">
        <f>_xlfn.XLOOKUP(H13,Unidades!$1:$1,Unidades!$36:$36)</f>
        <v>VA00, VA01, VA02, VA03, VA04, VA05, VA06, VA07</v>
      </c>
    </row>
    <row r="14" spans="1:12" hidden="1" x14ac:dyDescent="0.25">
      <c r="A14" s="55" t="s">
        <v>67</v>
      </c>
      <c r="B14" s="56" t="s">
        <v>68</v>
      </c>
      <c r="C14" s="56" t="s">
        <v>112</v>
      </c>
      <c r="D14" s="56" t="s">
        <v>72</v>
      </c>
      <c r="E14" s="56" t="s">
        <v>71</v>
      </c>
      <c r="F14" s="56" t="s">
        <v>101</v>
      </c>
      <c r="G14" s="56" t="str">
        <f>_xlfn.XLOOKUP(F14,MARCAS!E:E,MARCAS!F:F)</f>
        <v>120</v>
      </c>
      <c r="H14" s="60" t="s">
        <v>149</v>
      </c>
      <c r="I14" s="57" t="s">
        <v>150</v>
      </c>
      <c r="J14" s="58" t="s">
        <v>151</v>
      </c>
      <c r="K14" s="59" t="s">
        <v>152</v>
      </c>
      <c r="L14" s="2" t="str">
        <f>_xlfn.XLOOKUP(H14,Unidades!$1:$1,Unidades!$36:$36)</f>
        <v>VF00, VF04</v>
      </c>
    </row>
    <row r="15" spans="1:12" hidden="1" x14ac:dyDescent="0.25">
      <c r="A15" s="55" t="s">
        <v>67</v>
      </c>
      <c r="B15" s="56" t="s">
        <v>68</v>
      </c>
      <c r="C15" s="56" t="s">
        <v>112</v>
      </c>
      <c r="D15" s="56" t="s">
        <v>72</v>
      </c>
      <c r="E15" s="56" t="s">
        <v>71</v>
      </c>
      <c r="F15" s="56" t="s">
        <v>66</v>
      </c>
      <c r="G15" s="56" t="str">
        <f>_xlfn.XLOOKUP(F15,MARCAS!E:E,MARCAS!F:F)</f>
        <v>130</v>
      </c>
      <c r="H15" s="56" t="s">
        <v>64</v>
      </c>
      <c r="I15" s="57" t="s">
        <v>153</v>
      </c>
      <c r="J15" s="58" t="s">
        <v>154</v>
      </c>
      <c r="K15" s="59" t="s">
        <v>155</v>
      </c>
      <c r="L15" s="2" t="str">
        <f>_xlfn.XLOOKUP(H15,Unidades!$1:$1,Unidades!$36:$36)</f>
        <v>VA02, VA04, VA06, VF00, VF01, VF04, VF06, VF08</v>
      </c>
    </row>
    <row r="16" spans="1:12" hidden="1" x14ac:dyDescent="0.25">
      <c r="A16" s="55" t="s">
        <v>67</v>
      </c>
      <c r="B16" s="56" t="s">
        <v>68</v>
      </c>
      <c r="C16" s="56" t="s">
        <v>112</v>
      </c>
      <c r="D16" s="56" t="s">
        <v>72</v>
      </c>
      <c r="E16" s="56" t="s">
        <v>71</v>
      </c>
      <c r="F16" s="56" t="s">
        <v>80</v>
      </c>
      <c r="G16" s="56" t="str">
        <f>_xlfn.XLOOKUP(F16,MARCAS!E:E,MARCAS!F:F)</f>
        <v>140</v>
      </c>
      <c r="H16" s="56" t="s">
        <v>78</v>
      </c>
      <c r="I16" s="57" t="s">
        <v>156</v>
      </c>
      <c r="J16" s="58" t="s">
        <v>157</v>
      </c>
      <c r="K16" s="59" t="s">
        <v>158</v>
      </c>
      <c r="L16" s="2" t="str">
        <f>_xlfn.XLOOKUP(H16,Unidades!$1:$1,Unidades!$36:$36)</f>
        <v>VF00, VF01, VF03, VF04, VF06, VF08</v>
      </c>
    </row>
    <row r="17" spans="1:12" hidden="1" x14ac:dyDescent="0.25">
      <c r="A17" s="55" t="s">
        <v>67</v>
      </c>
      <c r="B17" s="56" t="s">
        <v>68</v>
      </c>
      <c r="C17" s="56" t="s">
        <v>112</v>
      </c>
      <c r="D17" s="56" t="s">
        <v>72</v>
      </c>
      <c r="E17" s="56" t="s">
        <v>71</v>
      </c>
      <c r="F17" s="56" t="s">
        <v>87</v>
      </c>
      <c r="G17" s="56" t="str">
        <f>_xlfn.XLOOKUP(F17,MARCAS!E:E,MARCAS!F:F)</f>
        <v>160</v>
      </c>
      <c r="H17" s="56" t="s">
        <v>85</v>
      </c>
      <c r="I17" s="57" t="s">
        <v>159</v>
      </c>
      <c r="J17" s="58" t="s">
        <v>160</v>
      </c>
      <c r="K17" s="59" t="s">
        <v>161</v>
      </c>
      <c r="L17" s="2" t="str">
        <f>_xlfn.XLOOKUP(H17,Unidades!$1:$1,Unidades!$36:$36)</f>
        <v>VF00, VF01, VF04, VF06, VF08</v>
      </c>
    </row>
    <row r="18" spans="1:12" hidden="1" x14ac:dyDescent="0.25">
      <c r="A18" s="55" t="s">
        <v>67</v>
      </c>
      <c r="B18" s="56" t="s">
        <v>68</v>
      </c>
      <c r="C18" s="56" t="s">
        <v>112</v>
      </c>
      <c r="D18" s="56" t="s">
        <v>72</v>
      </c>
      <c r="E18" s="56" t="s">
        <v>71</v>
      </c>
      <c r="F18" s="56" t="s">
        <v>90</v>
      </c>
      <c r="G18" s="56" t="str">
        <f>_xlfn.XLOOKUP(F18,MARCAS!E:E,MARCAS!F:F)</f>
        <v>170</v>
      </c>
      <c r="H18" s="56" t="s">
        <v>88</v>
      </c>
      <c r="I18" s="57" t="s">
        <v>162</v>
      </c>
      <c r="J18" s="58" t="s">
        <v>163</v>
      </c>
      <c r="K18" s="59" t="s">
        <v>164</v>
      </c>
      <c r="L18" s="2" t="str">
        <f>_xlfn.XLOOKUP(H18,Unidades!$1:$1,Unidades!$36:$36)</f>
        <v>VF00, VF01, VF04, VF05, VF06, VF08</v>
      </c>
    </row>
    <row r="19" spans="1:12" hidden="1" x14ac:dyDescent="0.25">
      <c r="A19" s="55" t="s">
        <v>67</v>
      </c>
      <c r="B19" s="56" t="s">
        <v>68</v>
      </c>
      <c r="C19" s="56" t="s">
        <v>112</v>
      </c>
      <c r="D19" s="56" t="s">
        <v>72</v>
      </c>
      <c r="E19" s="56" t="s">
        <v>71</v>
      </c>
      <c r="F19" s="56" t="s">
        <v>105</v>
      </c>
      <c r="G19" s="56" t="str">
        <f>_xlfn.XLOOKUP(F19,MARCAS!E:E,MARCAS!F:F)</f>
        <v>280</v>
      </c>
      <c r="H19" s="56" t="s">
        <v>99</v>
      </c>
      <c r="I19" s="57" t="s">
        <v>165</v>
      </c>
      <c r="J19" s="58" t="s">
        <v>166</v>
      </c>
      <c r="K19" s="59" t="s">
        <v>167</v>
      </c>
      <c r="L19" s="2" t="str">
        <f>_xlfn.XLOOKUP(H19,Unidades!$1:$1,Unidades!$36:$36)</f>
        <v>VA00, VA01, VA02, VA03, VA04, VA05, VA06, VA07, VC00, VC01, VC02, VC04, VC05, VC06, VC07, VC08, VF00, VF01, VF03, VF04, VF06, VF08</v>
      </c>
    </row>
    <row r="20" spans="1:12" hidden="1" x14ac:dyDescent="0.25">
      <c r="A20" s="55" t="s">
        <v>67</v>
      </c>
      <c r="B20" s="56" t="s">
        <v>68</v>
      </c>
      <c r="C20" s="56" t="s">
        <v>112</v>
      </c>
      <c r="D20" s="56" t="s">
        <v>72</v>
      </c>
      <c r="E20" s="56" t="s">
        <v>71</v>
      </c>
      <c r="F20" s="56" t="s">
        <v>77</v>
      </c>
      <c r="G20" s="56" t="str">
        <f>_xlfn.XLOOKUP(F20,MARCAS!E:E,MARCAS!F:F)</f>
        <v>260</v>
      </c>
      <c r="H20" s="56" t="s">
        <v>75</v>
      </c>
      <c r="I20" s="57" t="s">
        <v>168</v>
      </c>
      <c r="J20" s="58" t="s">
        <v>169</v>
      </c>
      <c r="K20" s="59" t="s">
        <v>170</v>
      </c>
      <c r="L20" s="2" t="str">
        <f>_xlfn.XLOOKUP(H20,Unidades!$1:$1,Unidades!$36:$36)</f>
        <v>VF00, VF01, VF04, VF06, VF08</v>
      </c>
    </row>
    <row r="21" spans="1:12" x14ac:dyDescent="0.25">
      <c r="A21" s="55" t="s">
        <v>67</v>
      </c>
      <c r="B21" s="56" t="s">
        <v>68</v>
      </c>
      <c r="C21" s="56" t="s">
        <v>112</v>
      </c>
      <c r="D21" s="56" t="s">
        <v>74</v>
      </c>
      <c r="E21" s="56" t="s">
        <v>73</v>
      </c>
      <c r="F21" s="56" t="s">
        <v>84</v>
      </c>
      <c r="G21" s="56" t="str">
        <f>_xlfn.XLOOKUP(F21,MARCAS!E:E,MARCAS!F:F)</f>
        <v>060</v>
      </c>
      <c r="H21" s="56" t="s">
        <v>83</v>
      </c>
      <c r="I21" s="57" t="s">
        <v>171</v>
      </c>
      <c r="J21" s="58" t="s">
        <v>172</v>
      </c>
      <c r="K21" s="59" t="s">
        <v>173</v>
      </c>
      <c r="L21" s="2" t="str">
        <f>_xlfn.XLOOKUP(H21,Unidades!$1:$1,Unidades!$36:$36)</f>
        <v>VA00, VA01, VA02, VA03, VA04, VA05, VA06, VA07, VF00, VF01, VF04, VF06, VF08</v>
      </c>
    </row>
    <row r="22" spans="1:12" x14ac:dyDescent="0.25">
      <c r="A22" s="55" t="s">
        <v>67</v>
      </c>
      <c r="B22" s="56" t="s">
        <v>68</v>
      </c>
      <c r="C22" s="56" t="s">
        <v>112</v>
      </c>
      <c r="D22" s="56" t="s">
        <v>74</v>
      </c>
      <c r="E22" s="56" t="s">
        <v>73</v>
      </c>
      <c r="F22" s="56" t="s">
        <v>98</v>
      </c>
      <c r="G22" s="56" t="str">
        <f>_xlfn.XLOOKUP(F22,MARCAS!E:E,MARCAS!F:F)</f>
        <v>080</v>
      </c>
      <c r="H22" s="56" t="s">
        <v>96</v>
      </c>
      <c r="I22" s="57" t="s">
        <v>174</v>
      </c>
      <c r="J22" s="58" t="s">
        <v>175</v>
      </c>
      <c r="K22" s="59" t="s">
        <v>176</v>
      </c>
      <c r="L22" s="2" t="str">
        <f>_xlfn.XLOOKUP(H22,Unidades!$1:$1,Unidades!$36:$36)</f>
        <v>VA00, VA01, VA02, VA03, VA04, VA05, VA06, VA07</v>
      </c>
    </row>
    <row r="23" spans="1:12" x14ac:dyDescent="0.25">
      <c r="A23" s="55" t="s">
        <v>67</v>
      </c>
      <c r="B23" s="56" t="s">
        <v>68</v>
      </c>
      <c r="C23" s="56" t="s">
        <v>112</v>
      </c>
      <c r="D23" s="56" t="s">
        <v>74</v>
      </c>
      <c r="E23" s="56" t="s">
        <v>73</v>
      </c>
      <c r="F23" s="56" t="s">
        <v>66</v>
      </c>
      <c r="G23" s="56" t="str">
        <f>_xlfn.XLOOKUP(F23,MARCAS!E:E,MARCAS!F:F)</f>
        <v>130</v>
      </c>
      <c r="H23" s="56" t="s">
        <v>64</v>
      </c>
      <c r="I23" s="57" t="s">
        <v>177</v>
      </c>
      <c r="J23" s="58" t="s">
        <v>178</v>
      </c>
      <c r="K23" s="59" t="s">
        <v>179</v>
      </c>
      <c r="L23" s="2" t="str">
        <f>_xlfn.XLOOKUP(H23,Unidades!$1:$1,Unidades!$36:$36)</f>
        <v>VA02, VA04, VA06, VF00, VF01, VF04, VF06, VF08</v>
      </c>
    </row>
    <row r="24" spans="1:12" x14ac:dyDescent="0.25">
      <c r="A24" s="55" t="s">
        <v>67</v>
      </c>
      <c r="B24" s="56" t="s">
        <v>68</v>
      </c>
      <c r="C24" s="56" t="s">
        <v>112</v>
      </c>
      <c r="D24" s="56" t="s">
        <v>74</v>
      </c>
      <c r="E24" s="56" t="s">
        <v>73</v>
      </c>
      <c r="F24" s="56" t="s">
        <v>87</v>
      </c>
      <c r="G24" s="56" t="str">
        <f>_xlfn.XLOOKUP(F24,MARCAS!E:E,MARCAS!F:F)</f>
        <v>160</v>
      </c>
      <c r="H24" s="56" t="s">
        <v>85</v>
      </c>
      <c r="I24" s="57" t="s">
        <v>180</v>
      </c>
      <c r="J24" s="58" t="s">
        <v>181</v>
      </c>
      <c r="K24" s="59" t="s">
        <v>182</v>
      </c>
      <c r="L24" s="2" t="str">
        <f>_xlfn.XLOOKUP(H24,Unidades!$1:$1,Unidades!$36:$36)</f>
        <v>VF00, VF01, VF04, VF06, VF08</v>
      </c>
    </row>
    <row r="25" spans="1:12" x14ac:dyDescent="0.25">
      <c r="A25" s="55" t="s">
        <v>67</v>
      </c>
      <c r="B25" s="56" t="s">
        <v>68</v>
      </c>
      <c r="C25" s="56" t="s">
        <v>112</v>
      </c>
      <c r="D25" s="56" t="s">
        <v>74</v>
      </c>
      <c r="E25" s="56" t="s">
        <v>73</v>
      </c>
      <c r="F25" s="56" t="s">
        <v>90</v>
      </c>
      <c r="G25" s="56" t="str">
        <f>_xlfn.XLOOKUP(F25,MARCAS!E:E,MARCAS!F:F)</f>
        <v>170</v>
      </c>
      <c r="H25" s="56" t="s">
        <v>88</v>
      </c>
      <c r="I25" s="57" t="s">
        <v>183</v>
      </c>
      <c r="J25" s="58" t="s">
        <v>184</v>
      </c>
      <c r="K25" s="59" t="s">
        <v>185</v>
      </c>
      <c r="L25" s="2" t="str">
        <f>_xlfn.XLOOKUP(H25,Unidades!$1:$1,Unidades!$36:$36)</f>
        <v>VF00, VF01, VF04, VF05, VF06, VF08</v>
      </c>
    </row>
    <row r="26" spans="1:12" x14ac:dyDescent="0.25">
      <c r="A26" s="55" t="s">
        <v>67</v>
      </c>
      <c r="B26" s="56" t="s">
        <v>68</v>
      </c>
      <c r="C26" s="56" t="s">
        <v>112</v>
      </c>
      <c r="D26" s="56" t="s">
        <v>74</v>
      </c>
      <c r="E26" s="56" t="s">
        <v>73</v>
      </c>
      <c r="F26" s="56" t="s">
        <v>105</v>
      </c>
      <c r="G26" s="56" t="str">
        <f>_xlfn.XLOOKUP(F26,MARCAS!E:E,MARCAS!F:F)</f>
        <v>280</v>
      </c>
      <c r="H26" s="56" t="s">
        <v>99</v>
      </c>
      <c r="I26" s="57" t="s">
        <v>186</v>
      </c>
      <c r="J26" s="58" t="s">
        <v>187</v>
      </c>
      <c r="K26" s="59" t="s">
        <v>188</v>
      </c>
      <c r="L26" s="2" t="str">
        <f>_xlfn.XLOOKUP(H26,Unidades!$1:$1,Unidades!$36:$36)</f>
        <v>VA00, VA01, VA02, VA03, VA04, VA05, VA06, VA07, VC00, VC01, VC02, VC04, VC05, VC06, VC07, VC08, VF00, VF01, VF03, VF04, VF06, VF08</v>
      </c>
    </row>
    <row r="27" spans="1:12" x14ac:dyDescent="0.25">
      <c r="A27" s="55" t="s">
        <v>67</v>
      </c>
      <c r="B27" s="56" t="s">
        <v>68</v>
      </c>
      <c r="C27" s="56" t="s">
        <v>112</v>
      </c>
      <c r="D27" s="56" t="s">
        <v>74</v>
      </c>
      <c r="E27" s="56" t="s">
        <v>73</v>
      </c>
      <c r="F27" s="56" t="s">
        <v>77</v>
      </c>
      <c r="G27" s="56" t="str">
        <f>_xlfn.XLOOKUP(F27,MARCAS!E:E,MARCAS!F:F)</f>
        <v>260</v>
      </c>
      <c r="H27" s="56" t="s">
        <v>75</v>
      </c>
      <c r="I27" s="57" t="s">
        <v>189</v>
      </c>
      <c r="J27" s="58" t="s">
        <v>190</v>
      </c>
      <c r="K27" s="59" t="s">
        <v>191</v>
      </c>
      <c r="L27" s="2" t="str">
        <f>_xlfn.XLOOKUP(H27,Unidades!$1:$1,Unidades!$36:$36)</f>
        <v>VF00, VF01, VF04, VF06, VF08</v>
      </c>
    </row>
    <row r="28" spans="1:12" hidden="1" x14ac:dyDescent="0.25">
      <c r="A28" s="55" t="s">
        <v>67</v>
      </c>
      <c r="B28" s="56" t="s">
        <v>68</v>
      </c>
      <c r="C28" s="56" t="s">
        <v>112</v>
      </c>
      <c r="D28" s="56" t="s">
        <v>11</v>
      </c>
      <c r="E28" s="56" t="s">
        <v>68</v>
      </c>
      <c r="F28" s="63" t="s">
        <v>84</v>
      </c>
      <c r="G28" s="56" t="str">
        <f>_xlfn.XLOOKUP(F28,MARCAS!E:E,MARCAS!F:F)</f>
        <v>060</v>
      </c>
      <c r="H28" s="56" t="s">
        <v>83</v>
      </c>
      <c r="I28" s="57" t="s">
        <v>192</v>
      </c>
      <c r="J28" s="58" t="s">
        <v>193</v>
      </c>
      <c r="K28" s="59" t="s">
        <v>194</v>
      </c>
      <c r="L28" s="2" t="str">
        <f>_xlfn.XLOOKUP(H28,Unidades!$1:$1,Unidades!$36:$36)</f>
        <v>VA00, VA01, VA02, VA03, VA04, VA05, VA06, VA07, VF00, VF01, VF04, VF06, VF08</v>
      </c>
    </row>
    <row r="29" spans="1:12" hidden="1" x14ac:dyDescent="0.25">
      <c r="A29" s="55" t="s">
        <v>67</v>
      </c>
      <c r="B29" s="56" t="s">
        <v>68</v>
      </c>
      <c r="C29" s="56" t="s">
        <v>112</v>
      </c>
      <c r="D29" s="56" t="s">
        <v>11</v>
      </c>
      <c r="E29" s="56" t="s">
        <v>68</v>
      </c>
      <c r="F29" s="56" t="s">
        <v>98</v>
      </c>
      <c r="G29" s="56" t="str">
        <f>_xlfn.XLOOKUP(F29,MARCAS!E:E,MARCAS!F:F)</f>
        <v>080</v>
      </c>
      <c r="H29" s="56" t="s">
        <v>96</v>
      </c>
      <c r="I29" s="57" t="s">
        <v>195</v>
      </c>
      <c r="J29" s="58" t="s">
        <v>196</v>
      </c>
      <c r="K29" s="59" t="s">
        <v>197</v>
      </c>
      <c r="L29" s="2" t="str">
        <f>_xlfn.XLOOKUP(H29,Unidades!$1:$1,Unidades!$36:$36)</f>
        <v>VA00, VA01, VA02, VA03, VA04, VA05, VA06, VA07</v>
      </c>
    </row>
    <row r="30" spans="1:12" hidden="1" x14ac:dyDescent="0.25">
      <c r="A30" s="55" t="s">
        <v>67</v>
      </c>
      <c r="B30" s="56" t="s">
        <v>68</v>
      </c>
      <c r="C30" s="56" t="s">
        <v>112</v>
      </c>
      <c r="D30" s="56" t="s">
        <v>11</v>
      </c>
      <c r="E30" s="56" t="s">
        <v>68</v>
      </c>
      <c r="F30" s="56" t="s">
        <v>66</v>
      </c>
      <c r="G30" s="56" t="str">
        <f>_xlfn.XLOOKUP(F30,MARCAS!E:E,MARCAS!F:F)</f>
        <v>130</v>
      </c>
      <c r="H30" s="56" t="s">
        <v>64</v>
      </c>
      <c r="I30" s="57" t="s">
        <v>198</v>
      </c>
      <c r="J30" s="58" t="s">
        <v>199</v>
      </c>
      <c r="K30" s="59" t="s">
        <v>200</v>
      </c>
      <c r="L30" s="2" t="str">
        <f>_xlfn.XLOOKUP(H30,Unidades!$1:$1,Unidades!$36:$36)</f>
        <v>VA02, VA04, VA06, VF00, VF01, VF04, VF06, VF08</v>
      </c>
    </row>
    <row r="31" spans="1:12" hidden="1" x14ac:dyDescent="0.25">
      <c r="A31" s="55" t="s">
        <v>67</v>
      </c>
      <c r="B31" s="56" t="s">
        <v>68</v>
      </c>
      <c r="C31" s="56" t="s">
        <v>112</v>
      </c>
      <c r="D31" s="56" t="s">
        <v>11</v>
      </c>
      <c r="E31" s="56" t="s">
        <v>68</v>
      </c>
      <c r="F31" s="56" t="s">
        <v>80</v>
      </c>
      <c r="G31" s="56" t="str">
        <f>_xlfn.XLOOKUP(F31,MARCAS!E:E,MARCAS!F:F)</f>
        <v>140</v>
      </c>
      <c r="H31" s="56" t="s">
        <v>78</v>
      </c>
      <c r="I31" s="57" t="s">
        <v>201</v>
      </c>
      <c r="J31" s="58" t="s">
        <v>202</v>
      </c>
      <c r="K31" s="59" t="s">
        <v>203</v>
      </c>
      <c r="L31" s="2" t="str">
        <f>_xlfn.XLOOKUP(H31,Unidades!$1:$1,Unidades!$36:$36)</f>
        <v>VF00, VF01, VF03, VF04, VF06, VF08</v>
      </c>
    </row>
    <row r="32" spans="1:12" hidden="1" x14ac:dyDescent="0.25">
      <c r="A32" s="55" t="s">
        <v>67</v>
      </c>
      <c r="B32" s="56" t="s">
        <v>68</v>
      </c>
      <c r="C32" s="56" t="s">
        <v>112</v>
      </c>
      <c r="D32" s="56" t="s">
        <v>11</v>
      </c>
      <c r="E32" s="56" t="s">
        <v>68</v>
      </c>
      <c r="F32" s="56" t="s">
        <v>87</v>
      </c>
      <c r="G32" s="56" t="str">
        <f>_xlfn.XLOOKUP(F32,MARCAS!E:E,MARCAS!F:F)</f>
        <v>160</v>
      </c>
      <c r="H32" s="56" t="s">
        <v>85</v>
      </c>
      <c r="I32" s="57" t="s">
        <v>204</v>
      </c>
      <c r="J32" s="58" t="s">
        <v>205</v>
      </c>
      <c r="K32" s="59" t="s">
        <v>206</v>
      </c>
      <c r="L32" s="2" t="str">
        <f>_xlfn.XLOOKUP(H32,Unidades!$1:$1,Unidades!$36:$36)</f>
        <v>VF00, VF01, VF04, VF06, VF08</v>
      </c>
    </row>
    <row r="33" spans="1:12" hidden="1" x14ac:dyDescent="0.25">
      <c r="A33" s="55" t="s">
        <v>67</v>
      </c>
      <c r="B33" s="56" t="s">
        <v>68</v>
      </c>
      <c r="C33" s="56" t="s">
        <v>112</v>
      </c>
      <c r="D33" s="56" t="s">
        <v>11</v>
      </c>
      <c r="E33" s="56" t="s">
        <v>68</v>
      </c>
      <c r="F33" s="56" t="s">
        <v>90</v>
      </c>
      <c r="G33" s="56" t="str">
        <f>_xlfn.XLOOKUP(F33,MARCAS!E:E,MARCAS!F:F)</f>
        <v>170</v>
      </c>
      <c r="H33" s="56" t="s">
        <v>88</v>
      </c>
      <c r="I33" s="57" t="s">
        <v>207</v>
      </c>
      <c r="J33" s="58" t="s">
        <v>208</v>
      </c>
      <c r="K33" s="59" t="s">
        <v>209</v>
      </c>
      <c r="L33" s="2" t="str">
        <f>_xlfn.XLOOKUP(H33,Unidades!$1:$1,Unidades!$36:$36)</f>
        <v>VF00, VF01, VF04, VF05, VF06, VF08</v>
      </c>
    </row>
    <row r="34" spans="1:12" hidden="1" x14ac:dyDescent="0.25">
      <c r="A34" s="55" t="s">
        <v>67</v>
      </c>
      <c r="B34" s="56" t="s">
        <v>68</v>
      </c>
      <c r="C34" s="56" t="s">
        <v>112</v>
      </c>
      <c r="D34" s="56" t="s">
        <v>11</v>
      </c>
      <c r="E34" s="56" t="s">
        <v>68</v>
      </c>
      <c r="F34" s="56" t="s">
        <v>105</v>
      </c>
      <c r="G34" s="56" t="str">
        <f>_xlfn.XLOOKUP(F34,MARCAS!E:E,MARCAS!F:F)</f>
        <v>280</v>
      </c>
      <c r="H34" s="56" t="s">
        <v>99</v>
      </c>
      <c r="I34" s="57" t="s">
        <v>210</v>
      </c>
      <c r="J34" s="58" t="s">
        <v>211</v>
      </c>
      <c r="K34" s="59" t="s">
        <v>212</v>
      </c>
      <c r="L34" s="2" t="str">
        <f>_xlfn.XLOOKUP(H34,Unidades!$1:$1,Unidades!$36:$36)</f>
        <v>VA00, VA01, VA02, VA03, VA04, VA05, VA06, VA07, VC00, VC01, VC02, VC04, VC05, VC06, VC07, VC08, VF00, VF01, VF03, VF04, VF06, VF08</v>
      </c>
    </row>
    <row r="35" spans="1:12" hidden="1" x14ac:dyDescent="0.25">
      <c r="A35" s="55" t="s">
        <v>67</v>
      </c>
      <c r="B35" s="56" t="s">
        <v>68</v>
      </c>
      <c r="C35" s="56" t="s">
        <v>112</v>
      </c>
      <c r="D35" s="56" t="s">
        <v>11</v>
      </c>
      <c r="E35" s="56" t="s">
        <v>68</v>
      </c>
      <c r="F35" s="56" t="s">
        <v>77</v>
      </c>
      <c r="G35" s="56" t="str">
        <f>_xlfn.XLOOKUP(F35,MARCAS!E:E,MARCAS!F:F)</f>
        <v>260</v>
      </c>
      <c r="H35" s="56" t="s">
        <v>75</v>
      </c>
      <c r="I35" s="57" t="s">
        <v>213</v>
      </c>
      <c r="J35" s="58" t="s">
        <v>214</v>
      </c>
      <c r="K35" s="59" t="s">
        <v>215</v>
      </c>
      <c r="L35" s="2" t="str">
        <f>_xlfn.XLOOKUP(H35,Unidades!$1:$1,Unidades!$36:$36)</f>
        <v>VF00, VF01, VF04, VF06, VF08</v>
      </c>
    </row>
    <row r="36" spans="1:12" hidden="1" x14ac:dyDescent="0.25">
      <c r="A36" s="55" t="s">
        <v>67</v>
      </c>
      <c r="B36" s="56" t="s">
        <v>68</v>
      </c>
      <c r="C36" s="56" t="s">
        <v>112</v>
      </c>
      <c r="D36" s="56" t="s">
        <v>93</v>
      </c>
      <c r="E36" s="56" t="s">
        <v>92</v>
      </c>
      <c r="F36" s="56" t="s">
        <v>90</v>
      </c>
      <c r="G36" s="56" t="str">
        <f>_xlfn.XLOOKUP(F36,MARCAS!E:E,MARCAS!F:F)</f>
        <v>170</v>
      </c>
      <c r="H36" s="56" t="s">
        <v>88</v>
      </c>
      <c r="I36" s="57" t="s">
        <v>216</v>
      </c>
      <c r="J36" s="58" t="s">
        <v>217</v>
      </c>
      <c r="K36" s="59" t="s">
        <v>218</v>
      </c>
      <c r="L36" s="2" t="str">
        <f>_xlfn.XLOOKUP(H36,Unidades!$1:$1,Unidades!$36:$36)</f>
        <v>VF00, VF01, VF04, VF05, VF06, VF08</v>
      </c>
    </row>
    <row r="37" spans="1:12" hidden="1" x14ac:dyDescent="0.25">
      <c r="A37" s="55" t="s">
        <v>9</v>
      </c>
      <c r="B37" s="56" t="s">
        <v>10</v>
      </c>
      <c r="C37" s="56" t="s">
        <v>112</v>
      </c>
      <c r="D37" s="56" t="s">
        <v>15</v>
      </c>
      <c r="E37" s="56" t="s">
        <v>14</v>
      </c>
      <c r="F37" s="56" t="s">
        <v>8</v>
      </c>
      <c r="G37" s="56" t="str">
        <f>_xlfn.XLOOKUP(F37,MARCAS!E:E,MARCAS!F:F)</f>
        <v>060</v>
      </c>
      <c r="H37" s="56" t="s">
        <v>6</v>
      </c>
      <c r="I37" s="61" t="s">
        <v>840</v>
      </c>
      <c r="J37" s="58" t="s">
        <v>841</v>
      </c>
      <c r="K37" s="59" t="s">
        <v>842</v>
      </c>
      <c r="L37" s="2" t="str">
        <f>_xlfn.XLOOKUP(H37,Unidades!$1:$1,Unidades!$36:$36)</f>
        <v>VA00, VA01, VA02, VA03, VA04, VA05, VA06, VA07</v>
      </c>
    </row>
    <row r="38" spans="1:12" hidden="1" x14ac:dyDescent="0.25">
      <c r="A38" s="55" t="s">
        <v>9</v>
      </c>
      <c r="B38" s="56" t="s">
        <v>10</v>
      </c>
      <c r="C38" s="56" t="s">
        <v>112</v>
      </c>
      <c r="D38" s="56" t="s">
        <v>15</v>
      </c>
      <c r="E38" s="56" t="s">
        <v>14</v>
      </c>
      <c r="F38" s="56" t="s">
        <v>98</v>
      </c>
      <c r="G38" s="56" t="str">
        <f>_xlfn.XLOOKUP(F38,MARCAS!E:E,MARCAS!F:F)</f>
        <v>080</v>
      </c>
      <c r="H38" s="56" t="s">
        <v>96</v>
      </c>
      <c r="I38" s="61" t="s">
        <v>843</v>
      </c>
      <c r="J38" s="58" t="s">
        <v>844</v>
      </c>
      <c r="K38" s="59" t="s">
        <v>845</v>
      </c>
      <c r="L38" s="2" t="str">
        <f>_xlfn.XLOOKUP(H38,Unidades!$1:$1,Unidades!$36:$36)</f>
        <v>VA00, VA01, VA02, VA03, VA04, VA05, VA06, VA07</v>
      </c>
    </row>
    <row r="39" spans="1:12" hidden="1" x14ac:dyDescent="0.25">
      <c r="A39" s="55" t="s">
        <v>9</v>
      </c>
      <c r="B39" s="56" t="s">
        <v>10</v>
      </c>
      <c r="C39" s="56" t="s">
        <v>112</v>
      </c>
      <c r="D39" s="56" t="s">
        <v>15</v>
      </c>
      <c r="E39" s="56" t="s">
        <v>14</v>
      </c>
      <c r="F39" s="56" t="s">
        <v>26</v>
      </c>
      <c r="G39" s="56" t="str">
        <f>_xlfn.XLOOKUP(F39,MARCAS!E:E,MARCAS!F:F)</f>
        <v>110</v>
      </c>
      <c r="H39" s="56" t="s">
        <v>24</v>
      </c>
      <c r="I39" s="61" t="s">
        <v>846</v>
      </c>
      <c r="J39" s="58" t="s">
        <v>847</v>
      </c>
      <c r="K39" s="59" t="s">
        <v>848</v>
      </c>
      <c r="L39" s="2" t="str">
        <f>_xlfn.XLOOKUP(H39,Unidades!$1:$1,Unidades!$36:$36)</f>
        <v>VA00, VA01, VA02, VA03, VA04, VA05, VA06, VA07</v>
      </c>
    </row>
    <row r="40" spans="1:12" hidden="1" x14ac:dyDescent="0.25">
      <c r="A40" s="55" t="s">
        <v>9</v>
      </c>
      <c r="B40" s="56" t="s">
        <v>10</v>
      </c>
      <c r="C40" s="56" t="s">
        <v>112</v>
      </c>
      <c r="D40" s="56" t="s">
        <v>15</v>
      </c>
      <c r="E40" s="56" t="s">
        <v>14</v>
      </c>
      <c r="F40" s="56" t="s">
        <v>84</v>
      </c>
      <c r="G40" s="56" t="str">
        <f>_xlfn.XLOOKUP(F40,MARCAS!E:E,MARCAS!F:F)</f>
        <v>060</v>
      </c>
      <c r="H40" s="56" t="s">
        <v>83</v>
      </c>
      <c r="I40" s="61" t="s">
        <v>849</v>
      </c>
      <c r="J40" s="58" t="s">
        <v>850</v>
      </c>
      <c r="K40" s="59" t="s">
        <v>851</v>
      </c>
      <c r="L40" s="2" t="str">
        <f>_xlfn.XLOOKUP(H40,Unidades!$1:$1,Unidades!$36:$36)</f>
        <v>VA00, VA01, VA02, VA03, VA04, VA05, VA06, VA07, VF00, VF01, VF04, VF06, VF08</v>
      </c>
    </row>
    <row r="41" spans="1:12" hidden="1" x14ac:dyDescent="0.25">
      <c r="A41" s="55" t="s">
        <v>9</v>
      </c>
      <c r="B41" s="56" t="s">
        <v>10</v>
      </c>
      <c r="C41" s="56" t="s">
        <v>112</v>
      </c>
      <c r="D41" s="56" t="s">
        <v>13</v>
      </c>
      <c r="E41" s="56" t="s">
        <v>12</v>
      </c>
      <c r="F41" s="56" t="s">
        <v>8</v>
      </c>
      <c r="G41" s="56" t="str">
        <f>_xlfn.XLOOKUP(F41,MARCAS!E:E,MARCAS!F:F)</f>
        <v>060</v>
      </c>
      <c r="H41" s="56" t="s">
        <v>6</v>
      </c>
      <c r="I41" s="61" t="s">
        <v>852</v>
      </c>
      <c r="J41" s="58" t="s">
        <v>853</v>
      </c>
      <c r="K41" s="59" t="s">
        <v>854</v>
      </c>
      <c r="L41" s="2" t="str">
        <f>_xlfn.XLOOKUP(H41,Unidades!$1:$1,Unidades!$36:$36)</f>
        <v>VA00, VA01, VA02, VA03, VA04, VA05, VA06, VA07</v>
      </c>
    </row>
    <row r="42" spans="1:12" hidden="1" x14ac:dyDescent="0.25">
      <c r="A42" s="55" t="s">
        <v>9</v>
      </c>
      <c r="B42" s="56" t="s">
        <v>10</v>
      </c>
      <c r="C42" s="56" t="s">
        <v>112</v>
      </c>
      <c r="D42" s="56" t="s">
        <v>13</v>
      </c>
      <c r="E42" s="56" t="s">
        <v>12</v>
      </c>
      <c r="F42" s="56" t="s">
        <v>98</v>
      </c>
      <c r="G42" s="56" t="str">
        <f>_xlfn.XLOOKUP(F42,MARCAS!E:E,MARCAS!F:F)</f>
        <v>080</v>
      </c>
      <c r="H42" s="56" t="s">
        <v>96</v>
      </c>
      <c r="I42" s="61" t="s">
        <v>855</v>
      </c>
      <c r="J42" s="58" t="s">
        <v>856</v>
      </c>
      <c r="K42" s="59" t="s">
        <v>857</v>
      </c>
      <c r="L42" s="2" t="str">
        <f>_xlfn.XLOOKUP(H42,Unidades!$1:$1,Unidades!$36:$36)</f>
        <v>VA00, VA01, VA02, VA03, VA04, VA05, VA06, VA07</v>
      </c>
    </row>
    <row r="43" spans="1:12" hidden="1" x14ac:dyDescent="0.25">
      <c r="A43" s="55" t="s">
        <v>9</v>
      </c>
      <c r="B43" s="56" t="s">
        <v>10</v>
      </c>
      <c r="C43" s="56" t="s">
        <v>112</v>
      </c>
      <c r="D43" s="56" t="s">
        <v>13</v>
      </c>
      <c r="E43" s="56" t="s">
        <v>12</v>
      </c>
      <c r="F43" s="56" t="s">
        <v>26</v>
      </c>
      <c r="G43" s="56" t="str">
        <f>_xlfn.XLOOKUP(F43,MARCAS!E:E,MARCAS!F:F)</f>
        <v>110</v>
      </c>
      <c r="H43" s="56" t="s">
        <v>24</v>
      </c>
      <c r="I43" s="61" t="s">
        <v>858</v>
      </c>
      <c r="J43" s="58" t="s">
        <v>859</v>
      </c>
      <c r="K43" s="59" t="s">
        <v>860</v>
      </c>
      <c r="L43" s="2" t="str">
        <f>_xlfn.XLOOKUP(H43,Unidades!$1:$1,Unidades!$36:$36)</f>
        <v>VA00, VA01, VA02, VA03, VA04, VA05, VA06, VA07</v>
      </c>
    </row>
    <row r="44" spans="1:12" hidden="1" x14ac:dyDescent="0.25">
      <c r="A44" s="55" t="s">
        <v>9</v>
      </c>
      <c r="B44" s="56" t="s">
        <v>10</v>
      </c>
      <c r="C44" s="56" t="s">
        <v>112</v>
      </c>
      <c r="D44" s="56" t="s">
        <v>13</v>
      </c>
      <c r="E44" s="56" t="s">
        <v>12</v>
      </c>
      <c r="F44" s="56" t="s">
        <v>84</v>
      </c>
      <c r="G44" s="56" t="str">
        <f>_xlfn.XLOOKUP(F44,MARCAS!E:E,MARCAS!F:F)</f>
        <v>060</v>
      </c>
      <c r="H44" s="56" t="s">
        <v>83</v>
      </c>
      <c r="I44" s="61" t="s">
        <v>861</v>
      </c>
      <c r="J44" s="58" t="s">
        <v>862</v>
      </c>
      <c r="K44" s="59" t="s">
        <v>863</v>
      </c>
      <c r="L44" s="2" t="str">
        <f>_xlfn.XLOOKUP(H44,Unidades!$1:$1,Unidades!$36:$36)</f>
        <v>VA00, VA01, VA02, VA03, VA04, VA05, VA06, VA07, VF00, VF01, VF04, VF06, VF08</v>
      </c>
    </row>
    <row r="45" spans="1:12" hidden="1" x14ac:dyDescent="0.25">
      <c r="A45" s="55" t="s">
        <v>9</v>
      </c>
      <c r="B45" s="56" t="s">
        <v>10</v>
      </c>
      <c r="C45" s="56" t="s">
        <v>112</v>
      </c>
      <c r="D45" s="56" t="s">
        <v>17</v>
      </c>
      <c r="E45" s="56" t="s">
        <v>16</v>
      </c>
      <c r="F45" s="56" t="s">
        <v>8</v>
      </c>
      <c r="G45" s="56" t="str">
        <f>_xlfn.XLOOKUP(F45,MARCAS!E:E,MARCAS!F:F)</f>
        <v>060</v>
      </c>
      <c r="H45" s="56" t="s">
        <v>6</v>
      </c>
      <c r="I45" s="61" t="s">
        <v>864</v>
      </c>
      <c r="J45" s="58" t="s">
        <v>865</v>
      </c>
      <c r="K45" s="59" t="s">
        <v>866</v>
      </c>
      <c r="L45" s="2" t="str">
        <f>_xlfn.XLOOKUP(H45,Unidades!$1:$1,Unidades!$36:$36)</f>
        <v>VA00, VA01, VA02, VA03, VA04, VA05, VA06, VA07</v>
      </c>
    </row>
    <row r="46" spans="1:12" hidden="1" x14ac:dyDescent="0.25">
      <c r="A46" s="55" t="s">
        <v>9</v>
      </c>
      <c r="B46" s="56" t="s">
        <v>10</v>
      </c>
      <c r="C46" s="56" t="s">
        <v>112</v>
      </c>
      <c r="D46" s="56" t="s">
        <v>17</v>
      </c>
      <c r="E46" s="56" t="s">
        <v>16</v>
      </c>
      <c r="F46" s="56" t="s">
        <v>98</v>
      </c>
      <c r="G46" s="56" t="str">
        <f>_xlfn.XLOOKUP(F46,MARCAS!E:E,MARCAS!F:F)</f>
        <v>080</v>
      </c>
      <c r="H46" s="56" t="s">
        <v>96</v>
      </c>
      <c r="I46" s="61" t="s">
        <v>867</v>
      </c>
      <c r="J46" s="58" t="s">
        <v>868</v>
      </c>
      <c r="K46" s="59" t="s">
        <v>869</v>
      </c>
      <c r="L46" s="2" t="str">
        <f>_xlfn.XLOOKUP(H46,Unidades!$1:$1,Unidades!$36:$36)</f>
        <v>VA00, VA01, VA02, VA03, VA04, VA05, VA06, VA07</v>
      </c>
    </row>
    <row r="47" spans="1:12" hidden="1" x14ac:dyDescent="0.25">
      <c r="A47" s="55" t="s">
        <v>9</v>
      </c>
      <c r="B47" s="56" t="s">
        <v>10</v>
      </c>
      <c r="C47" s="56" t="s">
        <v>112</v>
      </c>
      <c r="D47" s="56" t="s">
        <v>17</v>
      </c>
      <c r="E47" s="56" t="s">
        <v>16</v>
      </c>
      <c r="F47" s="56" t="s">
        <v>26</v>
      </c>
      <c r="G47" s="56" t="str">
        <f>_xlfn.XLOOKUP(F47,MARCAS!E:E,MARCAS!F:F)</f>
        <v>110</v>
      </c>
      <c r="H47" s="56" t="s">
        <v>24</v>
      </c>
      <c r="I47" s="61" t="s">
        <v>870</v>
      </c>
      <c r="J47" s="58" t="s">
        <v>871</v>
      </c>
      <c r="K47" s="59" t="s">
        <v>872</v>
      </c>
      <c r="L47" s="2" t="str">
        <f>_xlfn.XLOOKUP(H47,Unidades!$1:$1,Unidades!$36:$36)</f>
        <v>VA00, VA01, VA02, VA03, VA04, VA05, VA06, VA07</v>
      </c>
    </row>
    <row r="48" spans="1:12" hidden="1" x14ac:dyDescent="0.25">
      <c r="A48" s="55" t="s">
        <v>9</v>
      </c>
      <c r="B48" s="56" t="s">
        <v>10</v>
      </c>
      <c r="C48" s="56" t="s">
        <v>112</v>
      </c>
      <c r="D48" s="56" t="s">
        <v>17</v>
      </c>
      <c r="E48" s="56" t="s">
        <v>16</v>
      </c>
      <c r="F48" s="56" t="s">
        <v>84</v>
      </c>
      <c r="G48" s="56" t="str">
        <f>_xlfn.XLOOKUP(F48,MARCAS!E:E,MARCAS!F:F)</f>
        <v>060</v>
      </c>
      <c r="H48" s="56" t="s">
        <v>83</v>
      </c>
      <c r="I48" s="61" t="s">
        <v>873</v>
      </c>
      <c r="J48" s="58" t="s">
        <v>874</v>
      </c>
      <c r="K48" s="59" t="s">
        <v>875</v>
      </c>
      <c r="L48" s="2" t="str">
        <f>_xlfn.XLOOKUP(H48,Unidades!$1:$1,Unidades!$36:$36)</f>
        <v>VA00, VA01, VA02, VA03, VA04, VA05, VA06, VA07, VF00, VF01, VF04, VF06, VF08</v>
      </c>
    </row>
    <row r="49" spans="1:12" hidden="1" x14ac:dyDescent="0.25">
      <c r="A49" s="55" t="s">
        <v>9</v>
      </c>
      <c r="B49" s="56" t="s">
        <v>10</v>
      </c>
      <c r="C49" s="56" t="s">
        <v>112</v>
      </c>
      <c r="D49" s="56" t="s">
        <v>23</v>
      </c>
      <c r="E49" s="56" t="s">
        <v>22</v>
      </c>
      <c r="F49" s="56" t="s">
        <v>8</v>
      </c>
      <c r="G49" s="56" t="str">
        <f>_xlfn.XLOOKUP(F49,MARCAS!E:E,MARCAS!F:F)</f>
        <v>060</v>
      </c>
      <c r="H49" s="56" t="s">
        <v>6</v>
      </c>
      <c r="I49" s="61" t="s">
        <v>876</v>
      </c>
      <c r="J49" s="58" t="s">
        <v>877</v>
      </c>
      <c r="K49" s="59" t="s">
        <v>878</v>
      </c>
      <c r="L49" s="2" t="str">
        <f>_xlfn.XLOOKUP(H49,Unidades!$1:$1,Unidades!$36:$36)</f>
        <v>VA00, VA01, VA02, VA03, VA04, VA05, VA06, VA07</v>
      </c>
    </row>
    <row r="50" spans="1:12" hidden="1" x14ac:dyDescent="0.25">
      <c r="A50" s="55" t="s">
        <v>9</v>
      </c>
      <c r="B50" s="56" t="s">
        <v>10</v>
      </c>
      <c r="C50" s="56" t="s">
        <v>112</v>
      </c>
      <c r="D50" s="56" t="s">
        <v>23</v>
      </c>
      <c r="E50" s="56" t="s">
        <v>22</v>
      </c>
      <c r="F50" s="56" t="s">
        <v>98</v>
      </c>
      <c r="G50" s="56" t="str">
        <f>_xlfn.XLOOKUP(F50,MARCAS!E:E,MARCAS!F:F)</f>
        <v>080</v>
      </c>
      <c r="H50" s="56" t="s">
        <v>96</v>
      </c>
      <c r="I50" s="61" t="s">
        <v>879</v>
      </c>
      <c r="J50" s="58" t="s">
        <v>880</v>
      </c>
      <c r="K50" s="59" t="s">
        <v>881</v>
      </c>
      <c r="L50" s="2" t="str">
        <f>_xlfn.XLOOKUP(H50,Unidades!$1:$1,Unidades!$36:$36)</f>
        <v>VA00, VA01, VA02, VA03, VA04, VA05, VA06, VA07</v>
      </c>
    </row>
    <row r="51" spans="1:12" hidden="1" x14ac:dyDescent="0.25">
      <c r="A51" s="55" t="s">
        <v>9</v>
      </c>
      <c r="B51" s="56" t="s">
        <v>10</v>
      </c>
      <c r="C51" s="56" t="s">
        <v>112</v>
      </c>
      <c r="D51" s="56" t="s">
        <v>23</v>
      </c>
      <c r="E51" s="56" t="s">
        <v>22</v>
      </c>
      <c r="F51" s="56" t="s">
        <v>26</v>
      </c>
      <c r="G51" s="56" t="str">
        <f>_xlfn.XLOOKUP(F51,MARCAS!E:E,MARCAS!F:F)</f>
        <v>110</v>
      </c>
      <c r="H51" s="56" t="s">
        <v>24</v>
      </c>
      <c r="I51" s="61" t="s">
        <v>882</v>
      </c>
      <c r="J51" s="58" t="s">
        <v>883</v>
      </c>
      <c r="K51" s="59" t="s">
        <v>884</v>
      </c>
      <c r="L51" s="2" t="str">
        <f>_xlfn.XLOOKUP(H51,Unidades!$1:$1,Unidades!$36:$36)</f>
        <v>VA00, VA01, VA02, VA03, VA04, VA05, VA06, VA07</v>
      </c>
    </row>
    <row r="52" spans="1:12" hidden="1" x14ac:dyDescent="0.25">
      <c r="A52" s="55" t="s">
        <v>9</v>
      </c>
      <c r="B52" s="56" t="s">
        <v>10</v>
      </c>
      <c r="C52" s="56" t="s">
        <v>112</v>
      </c>
      <c r="D52" s="56" t="s">
        <v>23</v>
      </c>
      <c r="E52" s="56" t="s">
        <v>22</v>
      </c>
      <c r="F52" s="56" t="s">
        <v>84</v>
      </c>
      <c r="G52" s="56" t="str">
        <f>_xlfn.XLOOKUP(F52,MARCAS!E:E,MARCAS!F:F)</f>
        <v>060</v>
      </c>
      <c r="H52" s="56" t="s">
        <v>83</v>
      </c>
      <c r="I52" s="61" t="s">
        <v>885</v>
      </c>
      <c r="J52" s="58" t="s">
        <v>886</v>
      </c>
      <c r="K52" s="59" t="s">
        <v>887</v>
      </c>
      <c r="L52" s="2" t="str">
        <f>_xlfn.XLOOKUP(H52,Unidades!$1:$1,Unidades!$36:$36)</f>
        <v>VA00, VA01, VA02, VA03, VA04, VA05, VA06, VA07, VF00, VF01, VF04, VF06, VF08</v>
      </c>
    </row>
    <row r="53" spans="1:12" hidden="1" x14ac:dyDescent="0.25">
      <c r="A53" s="55" t="s">
        <v>9</v>
      </c>
      <c r="B53" s="56" t="s">
        <v>10</v>
      </c>
      <c r="C53" s="56" t="s">
        <v>112</v>
      </c>
      <c r="D53" s="56" t="s">
        <v>11</v>
      </c>
      <c r="E53" s="56" t="s">
        <v>10</v>
      </c>
      <c r="F53" s="56" t="s">
        <v>8</v>
      </c>
      <c r="G53" s="56" t="str">
        <f>_xlfn.XLOOKUP(F53,MARCAS!E:E,MARCAS!F:F)</f>
        <v>060</v>
      </c>
      <c r="H53" s="56" t="s">
        <v>6</v>
      </c>
      <c r="I53" s="61" t="s">
        <v>888</v>
      </c>
      <c r="J53" s="58" t="s">
        <v>889</v>
      </c>
      <c r="K53" s="59" t="s">
        <v>890</v>
      </c>
      <c r="L53" s="2" t="str">
        <f>_xlfn.XLOOKUP(H53,Unidades!$1:$1,Unidades!$36:$36)</f>
        <v>VA00, VA01, VA02, VA03, VA04, VA05, VA06, VA07</v>
      </c>
    </row>
    <row r="54" spans="1:12" hidden="1" x14ac:dyDescent="0.25">
      <c r="A54" s="55" t="s">
        <v>9</v>
      </c>
      <c r="B54" s="56" t="s">
        <v>10</v>
      </c>
      <c r="C54" s="56" t="s">
        <v>112</v>
      </c>
      <c r="D54" s="56" t="s">
        <v>11</v>
      </c>
      <c r="E54" s="56" t="s">
        <v>10</v>
      </c>
      <c r="F54" s="56" t="s">
        <v>98</v>
      </c>
      <c r="G54" s="56" t="str">
        <f>_xlfn.XLOOKUP(F54,MARCAS!E:E,MARCAS!F:F)</f>
        <v>080</v>
      </c>
      <c r="H54" s="56" t="s">
        <v>96</v>
      </c>
      <c r="I54" s="61" t="s">
        <v>891</v>
      </c>
      <c r="J54" s="58" t="s">
        <v>892</v>
      </c>
      <c r="K54" s="59" t="s">
        <v>893</v>
      </c>
      <c r="L54" s="2" t="str">
        <f>_xlfn.XLOOKUP(H54,Unidades!$1:$1,Unidades!$36:$36)</f>
        <v>VA00, VA01, VA02, VA03, VA04, VA05, VA06, VA07</v>
      </c>
    </row>
    <row r="55" spans="1:12" hidden="1" x14ac:dyDescent="0.25">
      <c r="A55" s="55" t="s">
        <v>9</v>
      </c>
      <c r="B55" s="56" t="s">
        <v>10</v>
      </c>
      <c r="C55" s="56" t="s">
        <v>112</v>
      </c>
      <c r="D55" s="56" t="s">
        <v>11</v>
      </c>
      <c r="E55" s="56" t="s">
        <v>10</v>
      </c>
      <c r="F55" s="56" t="s">
        <v>26</v>
      </c>
      <c r="G55" s="56" t="str">
        <f>_xlfn.XLOOKUP(F55,MARCAS!E:E,MARCAS!F:F)</f>
        <v>110</v>
      </c>
      <c r="H55" s="56" t="s">
        <v>24</v>
      </c>
      <c r="I55" s="61" t="s">
        <v>894</v>
      </c>
      <c r="J55" s="58" t="s">
        <v>895</v>
      </c>
      <c r="K55" s="59" t="s">
        <v>896</v>
      </c>
      <c r="L55" s="2" t="str">
        <f>_xlfn.XLOOKUP(H55,Unidades!$1:$1,Unidades!$36:$36)</f>
        <v>VA00, VA01, VA02, VA03, VA04, VA05, VA06, VA07</v>
      </c>
    </row>
    <row r="56" spans="1:12" hidden="1" x14ac:dyDescent="0.25">
      <c r="A56" s="55" t="s">
        <v>9</v>
      </c>
      <c r="B56" s="56" t="s">
        <v>10</v>
      </c>
      <c r="C56" s="56" t="s">
        <v>112</v>
      </c>
      <c r="D56" s="56" t="s">
        <v>11</v>
      </c>
      <c r="E56" s="56" t="s">
        <v>10</v>
      </c>
      <c r="F56" s="56" t="s">
        <v>84</v>
      </c>
      <c r="G56" s="56" t="str">
        <f>_xlfn.XLOOKUP(F56,MARCAS!E:E,MARCAS!F:F)</f>
        <v>060</v>
      </c>
      <c r="H56" s="56" t="s">
        <v>83</v>
      </c>
      <c r="I56" s="61" t="s">
        <v>897</v>
      </c>
      <c r="J56" s="58" t="s">
        <v>898</v>
      </c>
      <c r="K56" s="59" t="s">
        <v>899</v>
      </c>
      <c r="L56" s="2" t="str">
        <f>_xlfn.XLOOKUP(H56,Unidades!$1:$1,Unidades!$36:$36)</f>
        <v>VA00, VA01, VA02, VA03, VA04, VA05, VA06, VA07, VF00, VF01, VF04, VF06, VF08</v>
      </c>
    </row>
    <row r="57" spans="1:12" hidden="1" x14ac:dyDescent="0.25">
      <c r="A57" s="55" t="s">
        <v>9</v>
      </c>
      <c r="B57" s="56" t="s">
        <v>10</v>
      </c>
      <c r="C57" s="56" t="s">
        <v>112</v>
      </c>
      <c r="D57" s="56" t="s">
        <v>19</v>
      </c>
      <c r="E57" s="56" t="s">
        <v>18</v>
      </c>
      <c r="F57" s="56" t="s">
        <v>8</v>
      </c>
      <c r="G57" s="56" t="str">
        <f>_xlfn.XLOOKUP(F57,MARCAS!E:E,MARCAS!F:F)</f>
        <v>060</v>
      </c>
      <c r="H57" s="56" t="s">
        <v>6</v>
      </c>
      <c r="I57" s="61" t="s">
        <v>900</v>
      </c>
      <c r="J57" s="58" t="s">
        <v>901</v>
      </c>
      <c r="K57" s="59" t="s">
        <v>902</v>
      </c>
      <c r="L57" s="2" t="str">
        <f>_xlfn.XLOOKUP(H57,Unidades!$1:$1,Unidades!$36:$36)</f>
        <v>VA00, VA01, VA02, VA03, VA04, VA05, VA06, VA07</v>
      </c>
    </row>
    <row r="58" spans="1:12" hidden="1" x14ac:dyDescent="0.25">
      <c r="A58" s="55" t="s">
        <v>9</v>
      </c>
      <c r="B58" s="56" t="s">
        <v>10</v>
      </c>
      <c r="C58" s="56" t="s">
        <v>112</v>
      </c>
      <c r="D58" s="56" t="s">
        <v>19</v>
      </c>
      <c r="E58" s="56" t="s">
        <v>18</v>
      </c>
      <c r="F58" s="56" t="s">
        <v>98</v>
      </c>
      <c r="G58" s="56" t="str">
        <f>_xlfn.XLOOKUP(F58,MARCAS!E:E,MARCAS!F:F)</f>
        <v>080</v>
      </c>
      <c r="H58" s="56" t="s">
        <v>96</v>
      </c>
      <c r="I58" s="61" t="s">
        <v>903</v>
      </c>
      <c r="J58" s="58" t="s">
        <v>904</v>
      </c>
      <c r="K58" s="59" t="s">
        <v>905</v>
      </c>
      <c r="L58" s="2" t="str">
        <f>_xlfn.XLOOKUP(H58,Unidades!$1:$1,Unidades!$36:$36)</f>
        <v>VA00, VA01, VA02, VA03, VA04, VA05, VA06, VA07</v>
      </c>
    </row>
    <row r="59" spans="1:12" hidden="1" x14ac:dyDescent="0.25">
      <c r="A59" s="55" t="s">
        <v>9</v>
      </c>
      <c r="B59" s="56" t="s">
        <v>10</v>
      </c>
      <c r="C59" s="56" t="s">
        <v>112</v>
      </c>
      <c r="D59" s="56" t="s">
        <v>19</v>
      </c>
      <c r="E59" s="56" t="s">
        <v>18</v>
      </c>
      <c r="F59" s="56" t="s">
        <v>26</v>
      </c>
      <c r="G59" s="56" t="str">
        <f>_xlfn.XLOOKUP(F59,MARCAS!E:E,MARCAS!F:F)</f>
        <v>110</v>
      </c>
      <c r="H59" s="56" t="s">
        <v>24</v>
      </c>
      <c r="I59" s="61" t="s">
        <v>906</v>
      </c>
      <c r="J59" s="58" t="s">
        <v>907</v>
      </c>
      <c r="K59" s="59" t="s">
        <v>908</v>
      </c>
      <c r="L59" s="2" t="str">
        <f>_xlfn.XLOOKUP(H59,Unidades!$1:$1,Unidades!$36:$36)</f>
        <v>VA00, VA01, VA02, VA03, VA04, VA05, VA06, VA07</v>
      </c>
    </row>
    <row r="60" spans="1:12" hidden="1" x14ac:dyDescent="0.25">
      <c r="A60" s="55" t="s">
        <v>9</v>
      </c>
      <c r="B60" s="56" t="s">
        <v>10</v>
      </c>
      <c r="C60" s="56" t="s">
        <v>112</v>
      </c>
      <c r="D60" s="56" t="s">
        <v>19</v>
      </c>
      <c r="E60" s="56" t="s">
        <v>18</v>
      </c>
      <c r="F60" s="56" t="s">
        <v>84</v>
      </c>
      <c r="G60" s="56" t="str">
        <f>_xlfn.XLOOKUP(F60,MARCAS!E:E,MARCAS!F:F)</f>
        <v>060</v>
      </c>
      <c r="H60" s="56" t="s">
        <v>83</v>
      </c>
      <c r="I60" s="61" t="s">
        <v>909</v>
      </c>
      <c r="J60" s="58" t="s">
        <v>910</v>
      </c>
      <c r="K60" s="59" t="s">
        <v>911</v>
      </c>
      <c r="L60" s="2" t="str">
        <f>_xlfn.XLOOKUP(H60,Unidades!$1:$1,Unidades!$36:$36)</f>
        <v>VA00, VA01, VA02, VA03, VA04, VA05, VA06, VA07, VF00, VF01, VF04, VF06, VF08</v>
      </c>
    </row>
    <row r="61" spans="1:12" hidden="1" x14ac:dyDescent="0.25">
      <c r="A61" s="55" t="s">
        <v>9</v>
      </c>
      <c r="B61" s="56" t="s">
        <v>10</v>
      </c>
      <c r="C61" s="56" t="s">
        <v>112</v>
      </c>
      <c r="D61" s="56" t="s">
        <v>21</v>
      </c>
      <c r="E61" s="56" t="s">
        <v>20</v>
      </c>
      <c r="F61" s="56" t="s">
        <v>8</v>
      </c>
      <c r="G61" s="56" t="str">
        <f>_xlfn.XLOOKUP(F61,MARCAS!E:E,MARCAS!F:F)</f>
        <v>060</v>
      </c>
      <c r="H61" s="56" t="s">
        <v>6</v>
      </c>
      <c r="I61" s="61" t="s">
        <v>912</v>
      </c>
      <c r="J61" s="58" t="s">
        <v>913</v>
      </c>
      <c r="K61" s="59" t="s">
        <v>914</v>
      </c>
      <c r="L61" s="2" t="str">
        <f>_xlfn.XLOOKUP(H61,Unidades!$1:$1,Unidades!$36:$36)</f>
        <v>VA00, VA01, VA02, VA03, VA04, VA05, VA06, VA07</v>
      </c>
    </row>
    <row r="62" spans="1:12" hidden="1" x14ac:dyDescent="0.25">
      <c r="A62" s="55" t="s">
        <v>9</v>
      </c>
      <c r="B62" s="56" t="s">
        <v>10</v>
      </c>
      <c r="C62" s="56" t="s">
        <v>112</v>
      </c>
      <c r="D62" s="56" t="s">
        <v>21</v>
      </c>
      <c r="E62" s="56" t="s">
        <v>20</v>
      </c>
      <c r="F62" s="56" t="s">
        <v>98</v>
      </c>
      <c r="G62" s="56" t="str">
        <f>_xlfn.XLOOKUP(F62,MARCAS!E:E,MARCAS!F:F)</f>
        <v>080</v>
      </c>
      <c r="H62" s="56" t="s">
        <v>96</v>
      </c>
      <c r="I62" s="61" t="s">
        <v>915</v>
      </c>
      <c r="J62" s="58" t="s">
        <v>916</v>
      </c>
      <c r="K62" s="59" t="s">
        <v>917</v>
      </c>
      <c r="L62" s="2" t="str">
        <f>_xlfn.XLOOKUP(H62,Unidades!$1:$1,Unidades!$36:$36)</f>
        <v>VA00, VA01, VA02, VA03, VA04, VA05, VA06, VA07</v>
      </c>
    </row>
    <row r="63" spans="1:12" hidden="1" x14ac:dyDescent="0.25">
      <c r="A63" s="55" t="s">
        <v>9</v>
      </c>
      <c r="B63" s="56" t="s">
        <v>10</v>
      </c>
      <c r="C63" s="56" t="s">
        <v>112</v>
      </c>
      <c r="D63" s="56" t="s">
        <v>21</v>
      </c>
      <c r="E63" s="56" t="s">
        <v>20</v>
      </c>
      <c r="F63" s="56" t="s">
        <v>26</v>
      </c>
      <c r="G63" s="56" t="str">
        <f>_xlfn.XLOOKUP(F63,MARCAS!E:E,MARCAS!F:F)</f>
        <v>110</v>
      </c>
      <c r="H63" s="56" t="s">
        <v>24</v>
      </c>
      <c r="I63" s="61" t="s">
        <v>918</v>
      </c>
      <c r="J63" s="58" t="s">
        <v>919</v>
      </c>
      <c r="K63" s="59" t="s">
        <v>920</v>
      </c>
      <c r="L63" s="2" t="str">
        <f>_xlfn.XLOOKUP(H63,Unidades!$1:$1,Unidades!$36:$36)</f>
        <v>VA00, VA01, VA02, VA03, VA04, VA05, VA06, VA07</v>
      </c>
    </row>
    <row r="64" spans="1:12" hidden="1" x14ac:dyDescent="0.25">
      <c r="A64" s="55" t="s">
        <v>9</v>
      </c>
      <c r="B64" s="56" t="s">
        <v>10</v>
      </c>
      <c r="C64" s="56" t="s">
        <v>112</v>
      </c>
      <c r="D64" s="56" t="s">
        <v>21</v>
      </c>
      <c r="E64" s="56" t="s">
        <v>20</v>
      </c>
      <c r="F64" s="56" t="s">
        <v>84</v>
      </c>
      <c r="G64" s="56" t="str">
        <f>_xlfn.XLOOKUP(F64,MARCAS!E:E,MARCAS!F:F)</f>
        <v>060</v>
      </c>
      <c r="H64" s="56" t="s">
        <v>83</v>
      </c>
      <c r="I64" s="61" t="s">
        <v>921</v>
      </c>
      <c r="J64" s="58" t="s">
        <v>922</v>
      </c>
      <c r="K64" s="59" t="s">
        <v>923</v>
      </c>
      <c r="L64" s="2" t="str">
        <f>_xlfn.XLOOKUP(H64,Unidades!$1:$1,Unidades!$36:$36)</f>
        <v>VA00, VA01, VA02, VA03, VA04, VA05, VA06, VA07, VF00, VF01, VF04, VF06, VF08</v>
      </c>
    </row>
    <row r="65" spans="1:12" hidden="1" x14ac:dyDescent="0.25">
      <c r="A65" s="55" t="s">
        <v>34</v>
      </c>
      <c r="B65" s="56" t="s">
        <v>35</v>
      </c>
      <c r="C65" s="56" t="s">
        <v>112</v>
      </c>
      <c r="D65" s="56" t="s">
        <v>15</v>
      </c>
      <c r="E65" s="56" t="s">
        <v>37</v>
      </c>
      <c r="F65" s="56" t="s">
        <v>45</v>
      </c>
      <c r="G65" s="56" t="str">
        <f>_xlfn.XLOOKUP(F65,MARCAS!E:E,MARCAS!F:F)</f>
        <v>100</v>
      </c>
      <c r="H65" s="56" t="s">
        <v>43</v>
      </c>
      <c r="I65" s="61" t="s">
        <v>1484</v>
      </c>
      <c r="J65" s="58" t="s">
        <v>1485</v>
      </c>
      <c r="K65" s="59" t="s">
        <v>1486</v>
      </c>
      <c r="L65" s="2" t="str">
        <f>_xlfn.XLOOKUP(H65,Unidades!$1:$1,Unidades!$36:$36)</f>
        <v>VC00, VC01, VC02, VC04, VC05, VC06, VC07, VC08</v>
      </c>
    </row>
    <row r="66" spans="1:12" hidden="1" x14ac:dyDescent="0.25">
      <c r="A66" s="55" t="s">
        <v>34</v>
      </c>
      <c r="B66" s="56" t="s">
        <v>35</v>
      </c>
      <c r="C66" s="56" t="s">
        <v>112</v>
      </c>
      <c r="D66" s="56" t="s">
        <v>11</v>
      </c>
      <c r="E66" s="56" t="s">
        <v>35</v>
      </c>
      <c r="F66" s="56" t="s">
        <v>45</v>
      </c>
      <c r="G66" s="56" t="str">
        <f>_xlfn.XLOOKUP(F66,MARCAS!E:E,MARCAS!F:F)</f>
        <v>100</v>
      </c>
      <c r="H66" s="56" t="s">
        <v>43</v>
      </c>
      <c r="I66" s="61" t="s">
        <v>1487</v>
      </c>
      <c r="J66" s="58" t="s">
        <v>1488</v>
      </c>
      <c r="K66" s="59" t="s">
        <v>1489</v>
      </c>
      <c r="L66" s="2" t="str">
        <f>_xlfn.XLOOKUP(H66,Unidades!$1:$1,Unidades!$36:$36)</f>
        <v>VC00, VC01, VC02, VC04, VC05, VC06, VC07, VC08</v>
      </c>
    </row>
    <row r="67" spans="1:12" hidden="1" x14ac:dyDescent="0.25">
      <c r="A67" s="55" t="s">
        <v>34</v>
      </c>
      <c r="B67" s="56" t="s">
        <v>35</v>
      </c>
      <c r="C67" s="56" t="s">
        <v>112</v>
      </c>
      <c r="D67" s="56" t="s">
        <v>17</v>
      </c>
      <c r="E67" s="56" t="s">
        <v>39</v>
      </c>
      <c r="F67" s="56" t="s">
        <v>45</v>
      </c>
      <c r="G67" s="56" t="str">
        <f>_xlfn.XLOOKUP(F67,MARCAS!E:E,MARCAS!F:F)</f>
        <v>100</v>
      </c>
      <c r="H67" s="56" t="s">
        <v>43</v>
      </c>
      <c r="I67" s="61" t="s">
        <v>1490</v>
      </c>
      <c r="J67" s="58" t="s">
        <v>1491</v>
      </c>
      <c r="K67" s="59" t="s">
        <v>1492</v>
      </c>
      <c r="L67" s="2" t="str">
        <f>_xlfn.XLOOKUP(H67,Unidades!$1:$1,Unidades!$36:$36)</f>
        <v>VC00, VC01, VC02, VC04, VC05, VC06, VC07, VC08</v>
      </c>
    </row>
    <row r="68" spans="1:12" hidden="1" x14ac:dyDescent="0.25">
      <c r="A68" s="55" t="s">
        <v>34</v>
      </c>
      <c r="B68" s="56" t="s">
        <v>35</v>
      </c>
      <c r="C68" s="56" t="s">
        <v>112</v>
      </c>
      <c r="D68" s="56" t="s">
        <v>19</v>
      </c>
      <c r="E68" s="56" t="s">
        <v>40</v>
      </c>
      <c r="F68" s="56" t="s">
        <v>45</v>
      </c>
      <c r="G68" s="56" t="str">
        <f>_xlfn.XLOOKUP(F68,MARCAS!E:E,MARCAS!F:F)</f>
        <v>100</v>
      </c>
      <c r="H68" s="56" t="s">
        <v>43</v>
      </c>
      <c r="I68" s="61" t="s">
        <v>1493</v>
      </c>
      <c r="J68" s="58" t="s">
        <v>1494</v>
      </c>
      <c r="K68" s="59" t="s">
        <v>1495</v>
      </c>
      <c r="L68" s="2" t="str">
        <f>_xlfn.XLOOKUP(H68,Unidades!$1:$1,Unidades!$36:$36)</f>
        <v>VC00, VC01, VC02, VC04, VC05, VC06, VC07, VC08</v>
      </c>
    </row>
    <row r="69" spans="1:12" hidden="1" x14ac:dyDescent="0.25">
      <c r="A69" s="55" t="s">
        <v>34</v>
      </c>
      <c r="B69" s="56" t="s">
        <v>35</v>
      </c>
      <c r="C69" s="56" t="s">
        <v>112</v>
      </c>
      <c r="D69" s="56" t="s">
        <v>13</v>
      </c>
      <c r="E69" s="56" t="s">
        <v>36</v>
      </c>
      <c r="F69" s="56" t="s">
        <v>45</v>
      </c>
      <c r="G69" s="56" t="str">
        <f>_xlfn.XLOOKUP(F69,MARCAS!E:E,MARCAS!F:F)</f>
        <v>100</v>
      </c>
      <c r="H69" s="56" t="s">
        <v>43</v>
      </c>
      <c r="I69" s="61" t="s">
        <v>1496</v>
      </c>
      <c r="J69" s="58" t="s">
        <v>1497</v>
      </c>
      <c r="K69" s="59" t="s">
        <v>1498</v>
      </c>
      <c r="L69" s="2" t="str">
        <f>_xlfn.XLOOKUP(H69,Unidades!$1:$1,Unidades!$36:$36)</f>
        <v>VC00, VC01, VC02, VC04, VC05, VC06, VC07, VC08</v>
      </c>
    </row>
    <row r="70" spans="1:12" hidden="1" x14ac:dyDescent="0.25">
      <c r="A70" s="55" t="s">
        <v>34</v>
      </c>
      <c r="B70" s="56" t="s">
        <v>35</v>
      </c>
      <c r="C70" s="56" t="s">
        <v>112</v>
      </c>
      <c r="D70" s="56" t="s">
        <v>23</v>
      </c>
      <c r="E70" s="56" t="s">
        <v>41</v>
      </c>
      <c r="F70" s="56" t="s">
        <v>45</v>
      </c>
      <c r="G70" s="56" t="str">
        <f>_xlfn.XLOOKUP(F70,MARCAS!E:E,MARCAS!F:F)</f>
        <v>100</v>
      </c>
      <c r="H70" s="56" t="s">
        <v>43</v>
      </c>
      <c r="I70" s="61" t="s">
        <v>1499</v>
      </c>
      <c r="J70" s="58" t="s">
        <v>1500</v>
      </c>
      <c r="K70" s="59" t="s">
        <v>1501</v>
      </c>
      <c r="L70" s="2" t="str">
        <f>_xlfn.XLOOKUP(H70,Unidades!$1:$1,Unidades!$36:$36)</f>
        <v>VC00, VC01, VC02, VC04, VC05, VC06, VC07, VC08</v>
      </c>
    </row>
    <row r="71" spans="1:12" hidden="1" x14ac:dyDescent="0.25">
      <c r="A71" s="55" t="s">
        <v>34</v>
      </c>
      <c r="B71" s="56" t="s">
        <v>35</v>
      </c>
      <c r="C71" s="56" t="s">
        <v>112</v>
      </c>
      <c r="D71" s="56" t="s">
        <v>32</v>
      </c>
      <c r="E71" s="56" t="s">
        <v>38</v>
      </c>
      <c r="F71" s="56" t="s">
        <v>45</v>
      </c>
      <c r="G71" s="56" t="str">
        <f>_xlfn.XLOOKUP(F71,MARCAS!E:E,MARCAS!F:F)</f>
        <v>100</v>
      </c>
      <c r="H71" s="56" t="s">
        <v>43</v>
      </c>
      <c r="I71" s="61" t="s">
        <v>1502</v>
      </c>
      <c r="J71" s="58" t="s">
        <v>1503</v>
      </c>
      <c r="K71" s="59" t="s">
        <v>1504</v>
      </c>
      <c r="L71" s="2" t="str">
        <f>_xlfn.XLOOKUP(H71,Unidades!$1:$1,Unidades!$36:$36)</f>
        <v>VC00, VC01, VC02, VC04, VC05, VC06, VC07, VC08</v>
      </c>
    </row>
    <row r="72" spans="1:12" hidden="1" x14ac:dyDescent="0.25">
      <c r="A72" s="55" t="s">
        <v>34</v>
      </c>
      <c r="B72" s="56" t="s">
        <v>35</v>
      </c>
      <c r="C72" s="56" t="s">
        <v>112</v>
      </c>
      <c r="D72" s="56" t="s">
        <v>33</v>
      </c>
      <c r="E72" s="56" t="s">
        <v>42</v>
      </c>
      <c r="F72" s="56" t="s">
        <v>45</v>
      </c>
      <c r="G72" s="56" t="str">
        <f>_xlfn.XLOOKUP(F72,MARCAS!E:E,MARCAS!F:F)</f>
        <v>100</v>
      </c>
      <c r="H72" s="56" t="s">
        <v>43</v>
      </c>
      <c r="I72" s="61" t="s">
        <v>1505</v>
      </c>
      <c r="J72" s="58" t="s">
        <v>1506</v>
      </c>
      <c r="K72" s="59" t="s">
        <v>1507</v>
      </c>
      <c r="L72" s="2" t="str">
        <f>_xlfn.XLOOKUP(H72,Unidades!$1:$1,Unidades!$36:$36)</f>
        <v>VC00, VC01, VC02, VC04, VC05, VC06, VC07, VC08</v>
      </c>
    </row>
    <row r="73" spans="1:12" hidden="1" x14ac:dyDescent="0.25">
      <c r="A73" s="55" t="s">
        <v>34</v>
      </c>
      <c r="B73" s="56" t="s">
        <v>35</v>
      </c>
      <c r="C73" s="56" t="s">
        <v>112</v>
      </c>
      <c r="D73" s="56" t="s">
        <v>15</v>
      </c>
      <c r="E73" s="56" t="s">
        <v>37</v>
      </c>
      <c r="F73" s="56" t="s">
        <v>48</v>
      </c>
      <c r="G73" s="56" t="str">
        <f>_xlfn.XLOOKUP(F73,MARCAS!E:E,MARCAS!F:F)</f>
        <v>090</v>
      </c>
      <c r="H73" s="56" t="s">
        <v>46</v>
      </c>
      <c r="I73" s="61" t="s">
        <v>1508</v>
      </c>
      <c r="J73" s="58" t="s">
        <v>1509</v>
      </c>
      <c r="K73" s="59" t="s">
        <v>1510</v>
      </c>
      <c r="L73" s="2" t="str">
        <f>_xlfn.XLOOKUP(H73,Unidades!$1:$1,Unidades!$36:$36)</f>
        <v>VC00, VC01, VC02, VC04, VC05, VC06, VC07, VC08</v>
      </c>
    </row>
    <row r="74" spans="1:12" hidden="1" x14ac:dyDescent="0.25">
      <c r="A74" s="55" t="s">
        <v>34</v>
      </c>
      <c r="B74" s="56" t="s">
        <v>35</v>
      </c>
      <c r="C74" s="56" t="s">
        <v>112</v>
      </c>
      <c r="D74" s="56" t="s">
        <v>11</v>
      </c>
      <c r="E74" s="56" t="s">
        <v>35</v>
      </c>
      <c r="F74" s="56" t="s">
        <v>48</v>
      </c>
      <c r="G74" s="56" t="str">
        <f>_xlfn.XLOOKUP(F74,MARCAS!E:E,MARCAS!F:F)</f>
        <v>090</v>
      </c>
      <c r="H74" s="56" t="s">
        <v>46</v>
      </c>
      <c r="I74" s="61" t="s">
        <v>1511</v>
      </c>
      <c r="J74" s="58" t="s">
        <v>1512</v>
      </c>
      <c r="K74" s="59" t="s">
        <v>1513</v>
      </c>
      <c r="L74" s="2" t="str">
        <f>_xlfn.XLOOKUP(H74,Unidades!$1:$1,Unidades!$36:$36)</f>
        <v>VC00, VC01, VC02, VC04, VC05, VC06, VC07, VC08</v>
      </c>
    </row>
    <row r="75" spans="1:12" hidden="1" x14ac:dyDescent="0.25">
      <c r="A75" s="55" t="s">
        <v>34</v>
      </c>
      <c r="B75" s="56" t="s">
        <v>35</v>
      </c>
      <c r="C75" s="56" t="s">
        <v>112</v>
      </c>
      <c r="D75" s="56" t="s">
        <v>17</v>
      </c>
      <c r="E75" s="56" t="s">
        <v>39</v>
      </c>
      <c r="F75" s="56" t="s">
        <v>48</v>
      </c>
      <c r="G75" s="56" t="str">
        <f>_xlfn.XLOOKUP(F75,MARCAS!E:E,MARCAS!F:F)</f>
        <v>090</v>
      </c>
      <c r="H75" s="56" t="s">
        <v>46</v>
      </c>
      <c r="I75" s="61" t="s">
        <v>1514</v>
      </c>
      <c r="J75" s="58" t="s">
        <v>1515</v>
      </c>
      <c r="K75" s="59" t="s">
        <v>1516</v>
      </c>
      <c r="L75" s="2" t="str">
        <f>_xlfn.XLOOKUP(H75,Unidades!$1:$1,Unidades!$36:$36)</f>
        <v>VC00, VC01, VC02, VC04, VC05, VC06, VC07, VC08</v>
      </c>
    </row>
    <row r="76" spans="1:12" hidden="1" x14ac:dyDescent="0.25">
      <c r="A76" s="55" t="s">
        <v>34</v>
      </c>
      <c r="B76" s="56" t="s">
        <v>35</v>
      </c>
      <c r="C76" s="56" t="s">
        <v>112</v>
      </c>
      <c r="D76" s="56" t="s">
        <v>19</v>
      </c>
      <c r="E76" s="56" t="s">
        <v>40</v>
      </c>
      <c r="F76" s="56" t="s">
        <v>48</v>
      </c>
      <c r="G76" s="56" t="str">
        <f>_xlfn.XLOOKUP(F76,MARCAS!E:E,MARCAS!F:F)</f>
        <v>090</v>
      </c>
      <c r="H76" s="56" t="s">
        <v>46</v>
      </c>
      <c r="I76" s="61" t="s">
        <v>1517</v>
      </c>
      <c r="J76" s="58" t="s">
        <v>1518</v>
      </c>
      <c r="K76" s="59" t="s">
        <v>1519</v>
      </c>
      <c r="L76" s="2" t="str">
        <f>_xlfn.XLOOKUP(H76,Unidades!$1:$1,Unidades!$36:$36)</f>
        <v>VC00, VC01, VC02, VC04, VC05, VC06, VC07, VC08</v>
      </c>
    </row>
    <row r="77" spans="1:12" hidden="1" x14ac:dyDescent="0.25">
      <c r="A77" s="55" t="s">
        <v>34</v>
      </c>
      <c r="B77" s="56" t="s">
        <v>35</v>
      </c>
      <c r="C77" s="56" t="s">
        <v>112</v>
      </c>
      <c r="D77" s="56" t="s">
        <v>13</v>
      </c>
      <c r="E77" s="56" t="s">
        <v>36</v>
      </c>
      <c r="F77" s="56" t="s">
        <v>48</v>
      </c>
      <c r="G77" s="56" t="str">
        <f>_xlfn.XLOOKUP(F77,MARCAS!E:E,MARCAS!F:F)</f>
        <v>090</v>
      </c>
      <c r="H77" s="56" t="s">
        <v>46</v>
      </c>
      <c r="I77" s="61" t="s">
        <v>1520</v>
      </c>
      <c r="J77" s="58" t="s">
        <v>1521</v>
      </c>
      <c r="K77" s="59" t="s">
        <v>1522</v>
      </c>
      <c r="L77" s="2" t="str">
        <f>_xlfn.XLOOKUP(H77,Unidades!$1:$1,Unidades!$36:$36)</f>
        <v>VC00, VC01, VC02, VC04, VC05, VC06, VC07, VC08</v>
      </c>
    </row>
    <row r="78" spans="1:12" hidden="1" x14ac:dyDescent="0.25">
      <c r="A78" s="55" t="s">
        <v>34</v>
      </c>
      <c r="B78" s="56" t="s">
        <v>35</v>
      </c>
      <c r="C78" s="56" t="s">
        <v>112</v>
      </c>
      <c r="D78" s="56" t="s">
        <v>23</v>
      </c>
      <c r="E78" s="56" t="s">
        <v>41</v>
      </c>
      <c r="F78" s="56" t="s">
        <v>48</v>
      </c>
      <c r="G78" s="56" t="str">
        <f>_xlfn.XLOOKUP(F78,MARCAS!E:E,MARCAS!F:F)</f>
        <v>090</v>
      </c>
      <c r="H78" s="56" t="s">
        <v>46</v>
      </c>
      <c r="I78" s="61" t="s">
        <v>1523</v>
      </c>
      <c r="J78" s="58" t="s">
        <v>1524</v>
      </c>
      <c r="K78" s="59" t="s">
        <v>1525</v>
      </c>
      <c r="L78" s="2" t="str">
        <f>_xlfn.XLOOKUP(H78,Unidades!$1:$1,Unidades!$36:$36)</f>
        <v>VC00, VC01, VC02, VC04, VC05, VC06, VC07, VC08</v>
      </c>
    </row>
    <row r="79" spans="1:12" hidden="1" x14ac:dyDescent="0.25">
      <c r="A79" s="55" t="s">
        <v>34</v>
      </c>
      <c r="B79" s="56" t="s">
        <v>35</v>
      </c>
      <c r="C79" s="56" t="s">
        <v>112</v>
      </c>
      <c r="D79" s="56" t="s">
        <v>32</v>
      </c>
      <c r="E79" s="56" t="s">
        <v>38</v>
      </c>
      <c r="F79" s="56" t="s">
        <v>48</v>
      </c>
      <c r="G79" s="56" t="str">
        <f>_xlfn.XLOOKUP(F79,MARCAS!E:E,MARCAS!F:F)</f>
        <v>090</v>
      </c>
      <c r="H79" s="56" t="s">
        <v>46</v>
      </c>
      <c r="I79" s="61" t="s">
        <v>1526</v>
      </c>
      <c r="J79" s="58" t="s">
        <v>1527</v>
      </c>
      <c r="K79" s="59" t="s">
        <v>1528</v>
      </c>
      <c r="L79" s="2" t="str">
        <f>_xlfn.XLOOKUP(H79,Unidades!$1:$1,Unidades!$36:$36)</f>
        <v>VC00, VC01, VC02, VC04, VC05, VC06, VC07, VC08</v>
      </c>
    </row>
    <row r="80" spans="1:12" hidden="1" x14ac:dyDescent="0.25">
      <c r="A80" s="55" t="s">
        <v>34</v>
      </c>
      <c r="B80" s="56" t="s">
        <v>35</v>
      </c>
      <c r="C80" s="56" t="s">
        <v>112</v>
      </c>
      <c r="D80" s="56" t="s">
        <v>33</v>
      </c>
      <c r="E80" s="56" t="s">
        <v>42</v>
      </c>
      <c r="F80" s="56" t="s">
        <v>48</v>
      </c>
      <c r="G80" s="56" t="str">
        <f>_xlfn.XLOOKUP(F80,MARCAS!E:E,MARCAS!F:F)</f>
        <v>090</v>
      </c>
      <c r="H80" s="56" t="s">
        <v>46</v>
      </c>
      <c r="I80" s="61" t="s">
        <v>1529</v>
      </c>
      <c r="J80" s="58" t="s">
        <v>1530</v>
      </c>
      <c r="K80" s="59" t="s">
        <v>1531</v>
      </c>
      <c r="L80" s="2" t="str">
        <f>_xlfn.XLOOKUP(H80,Unidades!$1:$1,Unidades!$36:$36)</f>
        <v>VC00, VC01, VC02, VC04, VC05, VC06, VC07, VC08</v>
      </c>
    </row>
    <row r="81" spans="1:12" hidden="1" x14ac:dyDescent="0.25">
      <c r="A81" s="55" t="s">
        <v>34</v>
      </c>
      <c r="B81" s="56" t="s">
        <v>35</v>
      </c>
      <c r="C81" s="56" t="s">
        <v>112</v>
      </c>
      <c r="D81" s="56" t="s">
        <v>15</v>
      </c>
      <c r="E81" s="56" t="s">
        <v>37</v>
      </c>
      <c r="F81" s="56" t="s">
        <v>51</v>
      </c>
      <c r="G81" s="56" t="str">
        <f>_xlfn.XLOOKUP(F81,MARCAS!E:E,MARCAS!F:F)</f>
        <v>230</v>
      </c>
      <c r="H81" s="56" t="s">
        <v>49</v>
      </c>
      <c r="I81" s="61" t="s">
        <v>1532</v>
      </c>
      <c r="J81" s="58" t="s">
        <v>1533</v>
      </c>
      <c r="K81" s="59" t="s">
        <v>1534</v>
      </c>
      <c r="L81" s="2" t="str">
        <f>_xlfn.XLOOKUP(H81,Unidades!$1:$1,Unidades!$36:$36)</f>
        <v>VC00, VC01, VC02, VC04, VC05, VC06, VC07, VC08</v>
      </c>
    </row>
    <row r="82" spans="1:12" hidden="1" x14ac:dyDescent="0.25">
      <c r="A82" s="55" t="s">
        <v>34</v>
      </c>
      <c r="B82" s="56" t="s">
        <v>35</v>
      </c>
      <c r="C82" s="56" t="s">
        <v>112</v>
      </c>
      <c r="D82" s="56" t="s">
        <v>11</v>
      </c>
      <c r="E82" s="56" t="s">
        <v>35</v>
      </c>
      <c r="F82" s="56" t="s">
        <v>51</v>
      </c>
      <c r="G82" s="56" t="str">
        <f>_xlfn.XLOOKUP(F82,MARCAS!E:E,MARCAS!F:F)</f>
        <v>230</v>
      </c>
      <c r="H82" s="56" t="s">
        <v>49</v>
      </c>
      <c r="I82" s="61" t="s">
        <v>1535</v>
      </c>
      <c r="J82" s="58" t="s">
        <v>1536</v>
      </c>
      <c r="K82" s="59" t="s">
        <v>1537</v>
      </c>
      <c r="L82" s="2" t="str">
        <f>_xlfn.XLOOKUP(H82,Unidades!$1:$1,Unidades!$36:$36)</f>
        <v>VC00, VC01, VC02, VC04, VC05, VC06, VC07, VC08</v>
      </c>
    </row>
    <row r="83" spans="1:12" hidden="1" x14ac:dyDescent="0.25">
      <c r="A83" s="55" t="s">
        <v>34</v>
      </c>
      <c r="B83" s="56" t="s">
        <v>35</v>
      </c>
      <c r="C83" s="56" t="s">
        <v>112</v>
      </c>
      <c r="D83" s="56" t="s">
        <v>17</v>
      </c>
      <c r="E83" s="56" t="s">
        <v>39</v>
      </c>
      <c r="F83" s="56" t="s">
        <v>51</v>
      </c>
      <c r="G83" s="56" t="str">
        <f>_xlfn.XLOOKUP(F83,MARCAS!E:E,MARCAS!F:F)</f>
        <v>230</v>
      </c>
      <c r="H83" s="56" t="s">
        <v>49</v>
      </c>
      <c r="I83" s="61" t="s">
        <v>1538</v>
      </c>
      <c r="J83" s="58" t="s">
        <v>1539</v>
      </c>
      <c r="K83" s="59" t="s">
        <v>1540</v>
      </c>
      <c r="L83" s="2" t="str">
        <f>_xlfn.XLOOKUP(H83,Unidades!$1:$1,Unidades!$36:$36)</f>
        <v>VC00, VC01, VC02, VC04, VC05, VC06, VC07, VC08</v>
      </c>
    </row>
    <row r="84" spans="1:12" hidden="1" x14ac:dyDescent="0.25">
      <c r="A84" s="55" t="s">
        <v>34</v>
      </c>
      <c r="B84" s="56" t="s">
        <v>35</v>
      </c>
      <c r="C84" s="56" t="s">
        <v>112</v>
      </c>
      <c r="D84" s="56" t="s">
        <v>19</v>
      </c>
      <c r="E84" s="56" t="s">
        <v>40</v>
      </c>
      <c r="F84" s="56" t="s">
        <v>51</v>
      </c>
      <c r="G84" s="56" t="str">
        <f>_xlfn.XLOOKUP(F84,MARCAS!E:E,MARCAS!F:F)</f>
        <v>230</v>
      </c>
      <c r="H84" s="56" t="s">
        <v>49</v>
      </c>
      <c r="I84" s="61" t="s">
        <v>1541</v>
      </c>
      <c r="J84" s="58" t="s">
        <v>1542</v>
      </c>
      <c r="K84" s="59" t="s">
        <v>1543</v>
      </c>
      <c r="L84" s="2" t="str">
        <f>_xlfn.XLOOKUP(H84,Unidades!$1:$1,Unidades!$36:$36)</f>
        <v>VC00, VC01, VC02, VC04, VC05, VC06, VC07, VC08</v>
      </c>
    </row>
    <row r="85" spans="1:12" hidden="1" x14ac:dyDescent="0.25">
      <c r="A85" s="55" t="s">
        <v>34</v>
      </c>
      <c r="B85" s="56" t="s">
        <v>35</v>
      </c>
      <c r="C85" s="56" t="s">
        <v>112</v>
      </c>
      <c r="D85" s="56" t="s">
        <v>13</v>
      </c>
      <c r="E85" s="56" t="s">
        <v>36</v>
      </c>
      <c r="F85" s="56" t="s">
        <v>51</v>
      </c>
      <c r="G85" s="56" t="str">
        <f>_xlfn.XLOOKUP(F85,MARCAS!E:E,MARCAS!F:F)</f>
        <v>230</v>
      </c>
      <c r="H85" s="56" t="s">
        <v>49</v>
      </c>
      <c r="I85" s="61" t="s">
        <v>1544</v>
      </c>
      <c r="J85" s="58" t="s">
        <v>1545</v>
      </c>
      <c r="K85" s="59" t="s">
        <v>1546</v>
      </c>
      <c r="L85" s="2" t="str">
        <f>_xlfn.XLOOKUP(H85,Unidades!$1:$1,Unidades!$36:$36)</f>
        <v>VC00, VC01, VC02, VC04, VC05, VC06, VC07, VC08</v>
      </c>
    </row>
    <row r="86" spans="1:12" hidden="1" x14ac:dyDescent="0.25">
      <c r="A86" s="55" t="s">
        <v>34</v>
      </c>
      <c r="B86" s="56" t="s">
        <v>35</v>
      </c>
      <c r="C86" s="56" t="s">
        <v>112</v>
      </c>
      <c r="D86" s="56" t="s">
        <v>23</v>
      </c>
      <c r="E86" s="56" t="s">
        <v>41</v>
      </c>
      <c r="F86" s="56" t="s">
        <v>51</v>
      </c>
      <c r="G86" s="56" t="str">
        <f>_xlfn.XLOOKUP(F86,MARCAS!E:E,MARCAS!F:F)</f>
        <v>230</v>
      </c>
      <c r="H86" s="56" t="s">
        <v>49</v>
      </c>
      <c r="I86" s="61" t="s">
        <v>1547</v>
      </c>
      <c r="J86" s="58" t="s">
        <v>1548</v>
      </c>
      <c r="K86" s="59" t="s">
        <v>1549</v>
      </c>
      <c r="L86" s="2" t="str">
        <f>_xlfn.XLOOKUP(H86,Unidades!$1:$1,Unidades!$36:$36)</f>
        <v>VC00, VC01, VC02, VC04, VC05, VC06, VC07, VC08</v>
      </c>
    </row>
    <row r="87" spans="1:12" hidden="1" x14ac:dyDescent="0.25">
      <c r="A87" s="55" t="s">
        <v>34</v>
      </c>
      <c r="B87" s="56" t="s">
        <v>35</v>
      </c>
      <c r="C87" s="56" t="s">
        <v>112</v>
      </c>
      <c r="D87" s="56" t="s">
        <v>32</v>
      </c>
      <c r="E87" s="56" t="s">
        <v>38</v>
      </c>
      <c r="F87" s="56" t="s">
        <v>51</v>
      </c>
      <c r="G87" s="56" t="str">
        <f>_xlfn.XLOOKUP(F87,MARCAS!E:E,MARCAS!F:F)</f>
        <v>230</v>
      </c>
      <c r="H87" s="56" t="s">
        <v>49</v>
      </c>
      <c r="I87" s="61" t="s">
        <v>1550</v>
      </c>
      <c r="J87" s="58" t="s">
        <v>1551</v>
      </c>
      <c r="K87" s="59" t="s">
        <v>1552</v>
      </c>
      <c r="L87" s="2" t="str">
        <f>_xlfn.XLOOKUP(H87,Unidades!$1:$1,Unidades!$36:$36)</f>
        <v>VC00, VC01, VC02, VC04, VC05, VC06, VC07, VC08</v>
      </c>
    </row>
    <row r="88" spans="1:12" hidden="1" x14ac:dyDescent="0.25">
      <c r="A88" s="55" t="s">
        <v>34</v>
      </c>
      <c r="B88" s="56" t="s">
        <v>35</v>
      </c>
      <c r="C88" s="56" t="s">
        <v>112</v>
      </c>
      <c r="D88" s="56" t="s">
        <v>33</v>
      </c>
      <c r="E88" s="56" t="s">
        <v>42</v>
      </c>
      <c r="F88" s="56" t="s">
        <v>51</v>
      </c>
      <c r="G88" s="56" t="str">
        <f>_xlfn.XLOOKUP(F88,MARCAS!E:E,MARCAS!F:F)</f>
        <v>230</v>
      </c>
      <c r="H88" s="56" t="s">
        <v>49</v>
      </c>
      <c r="I88" s="61" t="s">
        <v>1553</v>
      </c>
      <c r="J88" s="58" t="s">
        <v>1554</v>
      </c>
      <c r="K88" s="59" t="s">
        <v>1555</v>
      </c>
      <c r="L88" s="2" t="str">
        <f>_xlfn.XLOOKUP(H88,Unidades!$1:$1,Unidades!$36:$36)</f>
        <v>VC00, VC01, VC02, VC04, VC05, VC06, VC07, VC08</v>
      </c>
    </row>
    <row r="89" spans="1:12" hidden="1" x14ac:dyDescent="0.25">
      <c r="A89" s="55" t="s">
        <v>34</v>
      </c>
      <c r="B89" s="56" t="s">
        <v>35</v>
      </c>
      <c r="C89" s="56" t="s">
        <v>112</v>
      </c>
      <c r="D89" s="56" t="s">
        <v>15</v>
      </c>
      <c r="E89" s="56" t="s">
        <v>37</v>
      </c>
      <c r="F89" s="56" t="s">
        <v>29</v>
      </c>
      <c r="G89" s="56" t="str">
        <f>_xlfn.XLOOKUP(F89,MARCAS!E:E,MARCAS!F:F)</f>
        <v>180</v>
      </c>
      <c r="H89" s="56" t="s">
        <v>27</v>
      </c>
      <c r="I89" s="61" t="s">
        <v>1556</v>
      </c>
      <c r="J89" s="58" t="s">
        <v>1557</v>
      </c>
      <c r="K89" s="59" t="s">
        <v>1558</v>
      </c>
      <c r="L89" s="2" t="str">
        <f>_xlfn.XLOOKUP(H89,Unidades!$1:$1,Unidades!$36:$36)</f>
        <v>VC00, VC01, VC02, VC04, VC05, VC06, VC07, VE00, VE01</v>
      </c>
    </row>
    <row r="90" spans="1:12" hidden="1" x14ac:dyDescent="0.25">
      <c r="A90" s="55" t="s">
        <v>34</v>
      </c>
      <c r="B90" s="56" t="s">
        <v>35</v>
      </c>
      <c r="C90" s="56" t="s">
        <v>112</v>
      </c>
      <c r="D90" s="56" t="s">
        <v>11</v>
      </c>
      <c r="E90" s="56" t="s">
        <v>35</v>
      </c>
      <c r="F90" s="56" t="s">
        <v>29</v>
      </c>
      <c r="G90" s="56" t="str">
        <f>_xlfn.XLOOKUP(F90,MARCAS!E:E,MARCAS!F:F)</f>
        <v>180</v>
      </c>
      <c r="H90" s="56" t="s">
        <v>27</v>
      </c>
      <c r="I90" s="61" t="s">
        <v>1559</v>
      </c>
      <c r="J90" s="58" t="s">
        <v>1560</v>
      </c>
      <c r="K90" s="59" t="s">
        <v>1561</v>
      </c>
      <c r="L90" s="2" t="str">
        <f>_xlfn.XLOOKUP(H90,Unidades!$1:$1,Unidades!$36:$36)</f>
        <v>VC00, VC01, VC02, VC04, VC05, VC06, VC07, VE00, VE01</v>
      </c>
    </row>
    <row r="91" spans="1:12" hidden="1" x14ac:dyDescent="0.25">
      <c r="A91" s="55" t="s">
        <v>34</v>
      </c>
      <c r="B91" s="56" t="s">
        <v>35</v>
      </c>
      <c r="C91" s="56" t="s">
        <v>112</v>
      </c>
      <c r="D91" s="56" t="s">
        <v>17</v>
      </c>
      <c r="E91" s="56" t="s">
        <v>39</v>
      </c>
      <c r="F91" s="56" t="s">
        <v>29</v>
      </c>
      <c r="G91" s="56" t="str">
        <f>_xlfn.XLOOKUP(F91,MARCAS!E:E,MARCAS!F:F)</f>
        <v>180</v>
      </c>
      <c r="H91" s="56" t="s">
        <v>27</v>
      </c>
      <c r="I91" s="61" t="s">
        <v>1562</v>
      </c>
      <c r="J91" s="58" t="s">
        <v>1563</v>
      </c>
      <c r="K91" s="59" t="s">
        <v>1564</v>
      </c>
      <c r="L91" s="2" t="str">
        <f>_xlfn.XLOOKUP(H91,Unidades!$1:$1,Unidades!$36:$36)</f>
        <v>VC00, VC01, VC02, VC04, VC05, VC06, VC07, VE00, VE01</v>
      </c>
    </row>
    <row r="92" spans="1:12" hidden="1" x14ac:dyDescent="0.25">
      <c r="A92" s="55" t="s">
        <v>34</v>
      </c>
      <c r="B92" s="56" t="s">
        <v>35</v>
      </c>
      <c r="C92" s="56" t="s">
        <v>112</v>
      </c>
      <c r="D92" s="56" t="s">
        <v>19</v>
      </c>
      <c r="E92" s="56" t="s">
        <v>40</v>
      </c>
      <c r="F92" s="56" t="s">
        <v>29</v>
      </c>
      <c r="G92" s="56" t="str">
        <f>_xlfn.XLOOKUP(F92,MARCAS!E:E,MARCAS!F:F)</f>
        <v>180</v>
      </c>
      <c r="H92" s="56" t="s">
        <v>27</v>
      </c>
      <c r="I92" s="61" t="s">
        <v>1565</v>
      </c>
      <c r="J92" s="58" t="s">
        <v>1566</v>
      </c>
      <c r="K92" s="59" t="s">
        <v>1567</v>
      </c>
      <c r="L92" s="2" t="str">
        <f>_xlfn.XLOOKUP(H92,Unidades!$1:$1,Unidades!$36:$36)</f>
        <v>VC00, VC01, VC02, VC04, VC05, VC06, VC07, VE00, VE01</v>
      </c>
    </row>
    <row r="93" spans="1:12" hidden="1" x14ac:dyDescent="0.25">
      <c r="A93" s="55" t="s">
        <v>34</v>
      </c>
      <c r="B93" s="56" t="s">
        <v>35</v>
      </c>
      <c r="C93" s="56" t="s">
        <v>112</v>
      </c>
      <c r="D93" s="56" t="s">
        <v>13</v>
      </c>
      <c r="E93" s="56" t="s">
        <v>36</v>
      </c>
      <c r="F93" s="56" t="s">
        <v>29</v>
      </c>
      <c r="G93" s="56" t="str">
        <f>_xlfn.XLOOKUP(F93,MARCAS!E:E,MARCAS!F:F)</f>
        <v>180</v>
      </c>
      <c r="H93" s="56" t="s">
        <v>27</v>
      </c>
      <c r="I93" s="61" t="s">
        <v>1568</v>
      </c>
      <c r="J93" s="58" t="s">
        <v>1569</v>
      </c>
      <c r="K93" s="59" t="s">
        <v>1570</v>
      </c>
      <c r="L93" s="2" t="str">
        <f>_xlfn.XLOOKUP(H93,Unidades!$1:$1,Unidades!$36:$36)</f>
        <v>VC00, VC01, VC02, VC04, VC05, VC06, VC07, VE00, VE01</v>
      </c>
    </row>
    <row r="94" spans="1:12" hidden="1" x14ac:dyDescent="0.25">
      <c r="A94" s="55" t="s">
        <v>34</v>
      </c>
      <c r="B94" s="56" t="s">
        <v>35</v>
      </c>
      <c r="C94" s="56" t="s">
        <v>112</v>
      </c>
      <c r="D94" s="56" t="s">
        <v>23</v>
      </c>
      <c r="E94" s="56" t="s">
        <v>41</v>
      </c>
      <c r="F94" s="56" t="s">
        <v>29</v>
      </c>
      <c r="G94" s="56" t="str">
        <f>_xlfn.XLOOKUP(F94,MARCAS!E:E,MARCAS!F:F)</f>
        <v>180</v>
      </c>
      <c r="H94" s="56" t="s">
        <v>27</v>
      </c>
      <c r="I94" s="61" t="s">
        <v>1571</v>
      </c>
      <c r="J94" s="58" t="s">
        <v>1572</v>
      </c>
      <c r="K94" s="59" t="s">
        <v>1573</v>
      </c>
      <c r="L94" s="2" t="str">
        <f>_xlfn.XLOOKUP(H94,Unidades!$1:$1,Unidades!$36:$36)</f>
        <v>VC00, VC01, VC02, VC04, VC05, VC06, VC07, VE00, VE01</v>
      </c>
    </row>
    <row r="95" spans="1:12" hidden="1" x14ac:dyDescent="0.25">
      <c r="A95" s="55" t="s">
        <v>34</v>
      </c>
      <c r="B95" s="56" t="s">
        <v>35</v>
      </c>
      <c r="C95" s="56" t="s">
        <v>112</v>
      </c>
      <c r="D95" s="56" t="s">
        <v>32</v>
      </c>
      <c r="E95" s="56" t="s">
        <v>38</v>
      </c>
      <c r="F95" s="56" t="s">
        <v>29</v>
      </c>
      <c r="G95" s="56" t="str">
        <f>_xlfn.XLOOKUP(F95,MARCAS!E:E,MARCAS!F:F)</f>
        <v>180</v>
      </c>
      <c r="H95" s="56" t="s">
        <v>27</v>
      </c>
      <c r="I95" s="61" t="s">
        <v>1574</v>
      </c>
      <c r="J95" s="58" t="s">
        <v>1575</v>
      </c>
      <c r="K95" s="59" t="s">
        <v>1576</v>
      </c>
      <c r="L95" s="2" t="str">
        <f>_xlfn.XLOOKUP(H95,Unidades!$1:$1,Unidades!$36:$36)</f>
        <v>VC00, VC01, VC02, VC04, VC05, VC06, VC07, VE00, VE01</v>
      </c>
    </row>
    <row r="96" spans="1:12" hidden="1" x14ac:dyDescent="0.25">
      <c r="A96" s="55" t="s">
        <v>34</v>
      </c>
      <c r="B96" s="56" t="s">
        <v>35</v>
      </c>
      <c r="C96" s="56" t="s">
        <v>112</v>
      </c>
      <c r="D96" s="56" t="s">
        <v>33</v>
      </c>
      <c r="E96" s="56" t="s">
        <v>42</v>
      </c>
      <c r="F96" s="56" t="s">
        <v>29</v>
      </c>
      <c r="G96" s="56" t="str">
        <f>_xlfn.XLOOKUP(F96,MARCAS!E:E,MARCAS!F:F)</f>
        <v>180</v>
      </c>
      <c r="H96" s="56" t="s">
        <v>27</v>
      </c>
      <c r="I96" s="61" t="s">
        <v>1577</v>
      </c>
      <c r="J96" s="58" t="s">
        <v>1578</v>
      </c>
      <c r="K96" s="59" t="s">
        <v>1579</v>
      </c>
      <c r="L96" s="2" t="str">
        <f>_xlfn.XLOOKUP(H96,Unidades!$1:$1,Unidades!$36:$36)</f>
        <v>VC00, VC01, VC02, VC04, VC05, VC06, VC07, VE00, VE01</v>
      </c>
    </row>
    <row r="97" spans="1:12" hidden="1" x14ac:dyDescent="0.25">
      <c r="A97" s="55" t="s">
        <v>34</v>
      </c>
      <c r="B97" s="56" t="s">
        <v>35</v>
      </c>
      <c r="C97" s="56" t="s">
        <v>112</v>
      </c>
      <c r="D97" s="56" t="s">
        <v>15</v>
      </c>
      <c r="E97" s="56" t="s">
        <v>37</v>
      </c>
      <c r="F97" s="56" t="s">
        <v>54</v>
      </c>
      <c r="G97" s="56" t="str">
        <f>_xlfn.XLOOKUP(F97,MARCAS!E:E,MARCAS!F:F)</f>
        <v>150</v>
      </c>
      <c r="H97" s="56" t="s">
        <v>52</v>
      </c>
      <c r="I97" s="61" t="s">
        <v>1580</v>
      </c>
      <c r="J97" s="58" t="s">
        <v>1581</v>
      </c>
      <c r="K97" s="59" t="s">
        <v>1582</v>
      </c>
      <c r="L97" s="2" t="str">
        <f>_xlfn.XLOOKUP(H97,Unidades!$1:$1,Unidades!$36:$36)</f>
        <v>VD00, VD01, VD02, VD04, VD05, VD06, VD07, VD08</v>
      </c>
    </row>
    <row r="98" spans="1:12" hidden="1" x14ac:dyDescent="0.25">
      <c r="A98" s="55" t="s">
        <v>34</v>
      </c>
      <c r="B98" s="56" t="s">
        <v>35</v>
      </c>
      <c r="C98" s="56" t="s">
        <v>112</v>
      </c>
      <c r="D98" s="56" t="s">
        <v>11</v>
      </c>
      <c r="E98" s="56" t="s">
        <v>35</v>
      </c>
      <c r="F98" s="56" t="s">
        <v>54</v>
      </c>
      <c r="G98" s="56" t="str">
        <f>_xlfn.XLOOKUP(F98,MARCAS!E:E,MARCAS!F:F)</f>
        <v>150</v>
      </c>
      <c r="H98" s="56" t="s">
        <v>52</v>
      </c>
      <c r="I98" s="61" t="s">
        <v>1583</v>
      </c>
      <c r="J98" s="58" t="s">
        <v>1584</v>
      </c>
      <c r="K98" s="59" t="s">
        <v>1585</v>
      </c>
      <c r="L98" s="2" t="str">
        <f>_xlfn.XLOOKUP(H98,Unidades!$1:$1,Unidades!$36:$36)</f>
        <v>VD00, VD01, VD02, VD04, VD05, VD06, VD07, VD08</v>
      </c>
    </row>
    <row r="99" spans="1:12" hidden="1" x14ac:dyDescent="0.25">
      <c r="A99" s="55" t="s">
        <v>34</v>
      </c>
      <c r="B99" s="56" t="s">
        <v>35</v>
      </c>
      <c r="C99" s="56" t="s">
        <v>112</v>
      </c>
      <c r="D99" s="56" t="s">
        <v>17</v>
      </c>
      <c r="E99" s="56" t="s">
        <v>39</v>
      </c>
      <c r="F99" s="56" t="s">
        <v>54</v>
      </c>
      <c r="G99" s="56" t="str">
        <f>_xlfn.XLOOKUP(F99,MARCAS!E:E,MARCAS!F:F)</f>
        <v>150</v>
      </c>
      <c r="H99" s="56" t="s">
        <v>52</v>
      </c>
      <c r="I99" s="61" t="s">
        <v>1586</v>
      </c>
      <c r="J99" s="58" t="s">
        <v>1587</v>
      </c>
      <c r="K99" s="59" t="s">
        <v>1588</v>
      </c>
      <c r="L99" s="2" t="str">
        <f>_xlfn.XLOOKUP(H99,Unidades!$1:$1,Unidades!$36:$36)</f>
        <v>VD00, VD01, VD02, VD04, VD05, VD06, VD07, VD08</v>
      </c>
    </row>
    <row r="100" spans="1:12" hidden="1" x14ac:dyDescent="0.25">
      <c r="A100" s="55" t="s">
        <v>34</v>
      </c>
      <c r="B100" s="56" t="s">
        <v>35</v>
      </c>
      <c r="C100" s="56" t="s">
        <v>112</v>
      </c>
      <c r="D100" s="56" t="s">
        <v>19</v>
      </c>
      <c r="E100" s="56" t="s">
        <v>40</v>
      </c>
      <c r="F100" s="56" t="s">
        <v>54</v>
      </c>
      <c r="G100" s="56" t="str">
        <f>_xlfn.XLOOKUP(F100,MARCAS!E:E,MARCAS!F:F)</f>
        <v>150</v>
      </c>
      <c r="H100" s="56" t="s">
        <v>52</v>
      </c>
      <c r="I100" s="61" t="s">
        <v>1589</v>
      </c>
      <c r="J100" s="58" t="s">
        <v>1590</v>
      </c>
      <c r="K100" s="59" t="s">
        <v>1591</v>
      </c>
      <c r="L100" s="2" t="str">
        <f>_xlfn.XLOOKUP(H100,Unidades!$1:$1,Unidades!$36:$36)</f>
        <v>VD00, VD01, VD02, VD04, VD05, VD06, VD07, VD08</v>
      </c>
    </row>
    <row r="101" spans="1:12" hidden="1" x14ac:dyDescent="0.25">
      <c r="A101" s="55" t="s">
        <v>34</v>
      </c>
      <c r="B101" s="56" t="s">
        <v>35</v>
      </c>
      <c r="C101" s="56" t="s">
        <v>112</v>
      </c>
      <c r="D101" s="56" t="s">
        <v>13</v>
      </c>
      <c r="E101" s="56" t="s">
        <v>36</v>
      </c>
      <c r="F101" s="56" t="s">
        <v>54</v>
      </c>
      <c r="G101" s="56" t="str">
        <f>_xlfn.XLOOKUP(F101,MARCAS!E:E,MARCAS!F:F)</f>
        <v>150</v>
      </c>
      <c r="H101" s="56" t="s">
        <v>52</v>
      </c>
      <c r="I101" s="61" t="s">
        <v>1592</v>
      </c>
      <c r="J101" s="58" t="s">
        <v>1593</v>
      </c>
      <c r="K101" s="59" t="s">
        <v>1594</v>
      </c>
      <c r="L101" s="2" t="str">
        <f>_xlfn.XLOOKUP(H101,Unidades!$1:$1,Unidades!$36:$36)</f>
        <v>VD00, VD01, VD02, VD04, VD05, VD06, VD07, VD08</v>
      </c>
    </row>
    <row r="102" spans="1:12" hidden="1" x14ac:dyDescent="0.25">
      <c r="A102" s="55" t="s">
        <v>34</v>
      </c>
      <c r="B102" s="56" t="s">
        <v>35</v>
      </c>
      <c r="C102" s="56" t="s">
        <v>112</v>
      </c>
      <c r="D102" s="56" t="s">
        <v>23</v>
      </c>
      <c r="E102" s="56" t="s">
        <v>41</v>
      </c>
      <c r="F102" s="56" t="s">
        <v>54</v>
      </c>
      <c r="G102" s="56" t="str">
        <f>_xlfn.XLOOKUP(F102,MARCAS!E:E,MARCAS!F:F)</f>
        <v>150</v>
      </c>
      <c r="H102" s="56" t="s">
        <v>52</v>
      </c>
      <c r="I102" s="61" t="s">
        <v>1595</v>
      </c>
      <c r="J102" s="58" t="s">
        <v>1596</v>
      </c>
      <c r="K102" s="59" t="s">
        <v>1597</v>
      </c>
      <c r="L102" s="2" t="str">
        <f>_xlfn.XLOOKUP(H102,Unidades!$1:$1,Unidades!$36:$36)</f>
        <v>VD00, VD01, VD02, VD04, VD05, VD06, VD07, VD08</v>
      </c>
    </row>
    <row r="103" spans="1:12" hidden="1" x14ac:dyDescent="0.25">
      <c r="A103" s="55" t="s">
        <v>34</v>
      </c>
      <c r="B103" s="56" t="s">
        <v>35</v>
      </c>
      <c r="C103" s="56" t="s">
        <v>112</v>
      </c>
      <c r="D103" s="56" t="s">
        <v>32</v>
      </c>
      <c r="E103" s="56" t="s">
        <v>38</v>
      </c>
      <c r="F103" s="56" t="s">
        <v>54</v>
      </c>
      <c r="G103" s="56" t="str">
        <f>_xlfn.XLOOKUP(F103,MARCAS!E:E,MARCAS!F:F)</f>
        <v>150</v>
      </c>
      <c r="H103" s="56" t="s">
        <v>52</v>
      </c>
      <c r="I103" s="61" t="s">
        <v>1598</v>
      </c>
      <c r="J103" s="58" t="s">
        <v>1599</v>
      </c>
      <c r="K103" s="59" t="s">
        <v>1600</v>
      </c>
      <c r="L103" s="2" t="str">
        <f>_xlfn.XLOOKUP(H103,Unidades!$1:$1,Unidades!$36:$36)</f>
        <v>VD00, VD01, VD02, VD04, VD05, VD06, VD07, VD08</v>
      </c>
    </row>
    <row r="104" spans="1:12" hidden="1" x14ac:dyDescent="0.25">
      <c r="A104" s="55" t="s">
        <v>34</v>
      </c>
      <c r="B104" s="56" t="s">
        <v>35</v>
      </c>
      <c r="C104" s="56" t="s">
        <v>112</v>
      </c>
      <c r="D104" s="56" t="s">
        <v>33</v>
      </c>
      <c r="E104" s="56" t="s">
        <v>42</v>
      </c>
      <c r="F104" s="56" t="s">
        <v>54</v>
      </c>
      <c r="G104" s="56" t="str">
        <f>_xlfn.XLOOKUP(F104,MARCAS!E:E,MARCAS!F:F)</f>
        <v>150</v>
      </c>
      <c r="H104" s="56" t="s">
        <v>52</v>
      </c>
      <c r="I104" s="61" t="s">
        <v>1601</v>
      </c>
      <c r="J104" s="58" t="s">
        <v>1602</v>
      </c>
      <c r="K104" s="59" t="s">
        <v>1603</v>
      </c>
      <c r="L104" s="2" t="str">
        <f>_xlfn.XLOOKUP(H104,Unidades!$1:$1,Unidades!$36:$36)</f>
        <v>VD00, VD01, VD02, VD04, VD05, VD06, VD07, VD08</v>
      </c>
    </row>
    <row r="105" spans="1:12" hidden="1" x14ac:dyDescent="0.25">
      <c r="A105" s="55" t="s">
        <v>34</v>
      </c>
      <c r="B105" s="56" t="s">
        <v>35</v>
      </c>
      <c r="C105" s="56" t="s">
        <v>112</v>
      </c>
      <c r="D105" s="56" t="s">
        <v>15</v>
      </c>
      <c r="E105" s="56" t="s">
        <v>37</v>
      </c>
      <c r="F105" s="56" t="s">
        <v>105</v>
      </c>
      <c r="G105" s="56" t="str">
        <f>_xlfn.XLOOKUP(F105,MARCAS!E:E,MARCAS!F:F)</f>
        <v>280</v>
      </c>
      <c r="H105" s="56" t="s">
        <v>99</v>
      </c>
      <c r="I105" s="61" t="s">
        <v>1604</v>
      </c>
      <c r="J105" s="58" t="s">
        <v>1605</v>
      </c>
      <c r="K105" s="59" t="s">
        <v>1606</v>
      </c>
      <c r="L105" s="2" t="str">
        <f>_xlfn.XLOOKUP(H105,Unidades!$1:$1,Unidades!$36:$36)</f>
        <v>VA00, VA01, VA02, VA03, VA04, VA05, VA06, VA07, VC00, VC01, VC02, VC04, VC05, VC06, VC07, VC08, VF00, VF01, VF03, VF04, VF06, VF08</v>
      </c>
    </row>
    <row r="106" spans="1:12" hidden="1" x14ac:dyDescent="0.25">
      <c r="A106" s="55" t="s">
        <v>34</v>
      </c>
      <c r="B106" s="56" t="s">
        <v>35</v>
      </c>
      <c r="C106" s="56" t="s">
        <v>112</v>
      </c>
      <c r="D106" s="56" t="s">
        <v>11</v>
      </c>
      <c r="E106" s="56" t="s">
        <v>35</v>
      </c>
      <c r="F106" s="56" t="s">
        <v>105</v>
      </c>
      <c r="G106" s="56" t="str">
        <f>_xlfn.XLOOKUP(F106,MARCAS!E:E,MARCAS!F:F)</f>
        <v>280</v>
      </c>
      <c r="H106" s="56" t="s">
        <v>99</v>
      </c>
      <c r="I106" s="61" t="s">
        <v>1607</v>
      </c>
      <c r="J106" s="58" t="s">
        <v>1608</v>
      </c>
      <c r="K106" s="59" t="s">
        <v>1609</v>
      </c>
      <c r="L106" s="2" t="str">
        <f>_xlfn.XLOOKUP(H106,Unidades!$1:$1,Unidades!$36:$36)</f>
        <v>VA00, VA01, VA02, VA03, VA04, VA05, VA06, VA07, VC00, VC01, VC02, VC04, VC05, VC06, VC07, VC08, VF00, VF01, VF03, VF04, VF06, VF08</v>
      </c>
    </row>
    <row r="107" spans="1:12" hidden="1" x14ac:dyDescent="0.25">
      <c r="A107" s="55" t="s">
        <v>34</v>
      </c>
      <c r="B107" s="56" t="s">
        <v>35</v>
      </c>
      <c r="C107" s="56" t="s">
        <v>112</v>
      </c>
      <c r="D107" s="56" t="s">
        <v>17</v>
      </c>
      <c r="E107" s="56" t="s">
        <v>39</v>
      </c>
      <c r="F107" s="56" t="s">
        <v>105</v>
      </c>
      <c r="G107" s="56" t="str">
        <f>_xlfn.XLOOKUP(F107,MARCAS!E:E,MARCAS!F:F)</f>
        <v>280</v>
      </c>
      <c r="H107" s="56" t="s">
        <v>99</v>
      </c>
      <c r="I107" s="61" t="s">
        <v>1610</v>
      </c>
      <c r="J107" s="58" t="s">
        <v>1611</v>
      </c>
      <c r="K107" s="59" t="s">
        <v>1612</v>
      </c>
      <c r="L107" s="2" t="str">
        <f>_xlfn.XLOOKUP(H107,Unidades!$1:$1,Unidades!$36:$36)</f>
        <v>VA00, VA01, VA02, VA03, VA04, VA05, VA06, VA07, VC00, VC01, VC02, VC04, VC05, VC06, VC07, VC08, VF00, VF01, VF03, VF04, VF06, VF08</v>
      </c>
    </row>
    <row r="108" spans="1:12" hidden="1" x14ac:dyDescent="0.25">
      <c r="A108" s="55" t="s">
        <v>34</v>
      </c>
      <c r="B108" s="56" t="s">
        <v>35</v>
      </c>
      <c r="C108" s="56" t="s">
        <v>112</v>
      </c>
      <c r="D108" s="56" t="s">
        <v>19</v>
      </c>
      <c r="E108" s="56" t="s">
        <v>40</v>
      </c>
      <c r="F108" s="56" t="s">
        <v>105</v>
      </c>
      <c r="G108" s="56" t="str">
        <f>_xlfn.XLOOKUP(F108,MARCAS!E:E,MARCAS!F:F)</f>
        <v>280</v>
      </c>
      <c r="H108" s="56" t="s">
        <v>99</v>
      </c>
      <c r="I108" s="61" t="s">
        <v>1613</v>
      </c>
      <c r="J108" s="58" t="s">
        <v>1614</v>
      </c>
      <c r="K108" s="59" t="s">
        <v>1615</v>
      </c>
      <c r="L108" s="2" t="str">
        <f>_xlfn.XLOOKUP(H108,Unidades!$1:$1,Unidades!$36:$36)</f>
        <v>VA00, VA01, VA02, VA03, VA04, VA05, VA06, VA07, VC00, VC01, VC02, VC04, VC05, VC06, VC07, VC08, VF00, VF01, VF03, VF04, VF06, VF08</v>
      </c>
    </row>
    <row r="109" spans="1:12" hidden="1" x14ac:dyDescent="0.25">
      <c r="A109" s="55" t="s">
        <v>34</v>
      </c>
      <c r="B109" s="56" t="s">
        <v>35</v>
      </c>
      <c r="C109" s="56" t="s">
        <v>112</v>
      </c>
      <c r="D109" s="56" t="s">
        <v>13</v>
      </c>
      <c r="E109" s="56" t="s">
        <v>36</v>
      </c>
      <c r="F109" s="56" t="s">
        <v>105</v>
      </c>
      <c r="G109" s="56" t="str">
        <f>_xlfn.XLOOKUP(F109,MARCAS!E:E,MARCAS!F:F)</f>
        <v>280</v>
      </c>
      <c r="H109" s="56" t="s">
        <v>99</v>
      </c>
      <c r="I109" s="61" t="s">
        <v>1616</v>
      </c>
      <c r="J109" s="58" t="s">
        <v>1617</v>
      </c>
      <c r="K109" s="59" t="s">
        <v>1618</v>
      </c>
      <c r="L109" s="2" t="str">
        <f>_xlfn.XLOOKUP(H109,Unidades!$1:$1,Unidades!$36:$36)</f>
        <v>VA00, VA01, VA02, VA03, VA04, VA05, VA06, VA07, VC00, VC01, VC02, VC04, VC05, VC06, VC07, VC08, VF00, VF01, VF03, VF04, VF06, VF08</v>
      </c>
    </row>
    <row r="110" spans="1:12" hidden="1" x14ac:dyDescent="0.25">
      <c r="A110" s="55" t="s">
        <v>34</v>
      </c>
      <c r="B110" s="56" t="s">
        <v>35</v>
      </c>
      <c r="C110" s="56" t="s">
        <v>112</v>
      </c>
      <c r="D110" s="56" t="s">
        <v>23</v>
      </c>
      <c r="E110" s="56" t="s">
        <v>41</v>
      </c>
      <c r="F110" s="56" t="s">
        <v>105</v>
      </c>
      <c r="G110" s="56" t="str">
        <f>_xlfn.XLOOKUP(F110,MARCAS!E:E,MARCAS!F:F)</f>
        <v>280</v>
      </c>
      <c r="H110" s="56" t="s">
        <v>99</v>
      </c>
      <c r="I110" s="61" t="s">
        <v>1619</v>
      </c>
      <c r="J110" s="58" t="s">
        <v>1620</v>
      </c>
      <c r="K110" s="59" t="s">
        <v>1621</v>
      </c>
      <c r="L110" s="2" t="str">
        <f>_xlfn.XLOOKUP(H110,Unidades!$1:$1,Unidades!$36:$36)</f>
        <v>VA00, VA01, VA02, VA03, VA04, VA05, VA06, VA07, VC00, VC01, VC02, VC04, VC05, VC06, VC07, VC08, VF00, VF01, VF03, VF04, VF06, VF08</v>
      </c>
    </row>
    <row r="111" spans="1:12" hidden="1" x14ac:dyDescent="0.25">
      <c r="A111" s="55" t="s">
        <v>34</v>
      </c>
      <c r="B111" s="56" t="s">
        <v>35</v>
      </c>
      <c r="C111" s="56" t="s">
        <v>112</v>
      </c>
      <c r="D111" s="56" t="s">
        <v>32</v>
      </c>
      <c r="E111" s="56" t="s">
        <v>38</v>
      </c>
      <c r="F111" s="56" t="s">
        <v>105</v>
      </c>
      <c r="G111" s="56" t="str">
        <f>_xlfn.XLOOKUP(F111,MARCAS!E:E,MARCAS!F:F)</f>
        <v>280</v>
      </c>
      <c r="H111" s="56" t="s">
        <v>99</v>
      </c>
      <c r="I111" s="61" t="s">
        <v>1622</v>
      </c>
      <c r="J111" s="58" t="s">
        <v>1623</v>
      </c>
      <c r="K111" s="59" t="s">
        <v>1624</v>
      </c>
      <c r="L111" s="2" t="str">
        <f>_xlfn.XLOOKUP(H111,Unidades!$1:$1,Unidades!$36:$36)</f>
        <v>VA00, VA01, VA02, VA03, VA04, VA05, VA06, VA07, VC00, VC01, VC02, VC04, VC05, VC06, VC07, VC08, VF00, VF01, VF03, VF04, VF06, VF08</v>
      </c>
    </row>
    <row r="112" spans="1:12" hidden="1" x14ac:dyDescent="0.25">
      <c r="A112" s="55" t="s">
        <v>34</v>
      </c>
      <c r="B112" s="56" t="s">
        <v>35</v>
      </c>
      <c r="C112" s="56" t="s">
        <v>112</v>
      </c>
      <c r="D112" s="56" t="s">
        <v>33</v>
      </c>
      <c r="E112" s="56" t="s">
        <v>42</v>
      </c>
      <c r="F112" s="56" t="s">
        <v>105</v>
      </c>
      <c r="G112" s="56" t="str">
        <f>_xlfn.XLOOKUP(F112,MARCAS!E:E,MARCAS!F:F)</f>
        <v>280</v>
      </c>
      <c r="H112" s="56" t="s">
        <v>99</v>
      </c>
      <c r="I112" s="61" t="s">
        <v>1625</v>
      </c>
      <c r="J112" s="58" t="s">
        <v>1626</v>
      </c>
      <c r="K112" s="59" t="s">
        <v>1627</v>
      </c>
      <c r="L112" s="2" t="str">
        <f>_xlfn.XLOOKUP(H112,Unidades!$1:$1,Unidades!$36:$36)</f>
        <v>VA00, VA01, VA02, VA03, VA04, VA05, VA06, VA07, VC00, VC01, VC02, VC04, VC05, VC06, VC07, VC08, VF00, VF01, VF03, VF04, VF06, VF08</v>
      </c>
    </row>
    <row r="113" spans="1:12" hidden="1" x14ac:dyDescent="0.25">
      <c r="A113" s="55" t="s">
        <v>55</v>
      </c>
      <c r="B113" s="56" t="s">
        <v>56</v>
      </c>
      <c r="C113" s="56" t="s">
        <v>112</v>
      </c>
      <c r="D113" s="56" t="s">
        <v>15</v>
      </c>
      <c r="E113" s="56" t="s">
        <v>58</v>
      </c>
      <c r="F113" s="56" t="s">
        <v>54</v>
      </c>
      <c r="G113" s="56" t="str">
        <f>_xlfn.XLOOKUP(F113,MARCAS!E:E,MARCAS!F:F)</f>
        <v>150</v>
      </c>
      <c r="H113" s="56" t="s">
        <v>52</v>
      </c>
      <c r="I113" s="61" t="s">
        <v>1781</v>
      </c>
      <c r="J113" s="58" t="s">
        <v>1581</v>
      </c>
      <c r="K113" s="59" t="s">
        <v>1582</v>
      </c>
      <c r="L113" s="2" t="str">
        <f>_xlfn.XLOOKUP(H113,Unidades!$1:$1,Unidades!$36:$36)</f>
        <v>VD00, VD01, VD02, VD04, VD05, VD06, VD07, VD08</v>
      </c>
    </row>
    <row r="114" spans="1:12" hidden="1" x14ac:dyDescent="0.25">
      <c r="A114" s="55" t="s">
        <v>55</v>
      </c>
      <c r="B114" s="56" t="s">
        <v>56</v>
      </c>
      <c r="C114" s="56" t="s">
        <v>112</v>
      </c>
      <c r="D114" s="56" t="s">
        <v>11</v>
      </c>
      <c r="E114" s="56" t="s">
        <v>56</v>
      </c>
      <c r="F114" s="56" t="s">
        <v>54</v>
      </c>
      <c r="G114" s="56" t="str">
        <f>_xlfn.XLOOKUP(F114,MARCAS!E:E,MARCAS!F:F)</f>
        <v>150</v>
      </c>
      <c r="H114" s="56" t="s">
        <v>52</v>
      </c>
      <c r="I114" s="61" t="s">
        <v>1782</v>
      </c>
      <c r="J114" s="58" t="s">
        <v>1584</v>
      </c>
      <c r="K114" s="59" t="s">
        <v>1585</v>
      </c>
      <c r="L114" s="2" t="str">
        <f>_xlfn.XLOOKUP(H114,Unidades!$1:$1,Unidades!$36:$36)</f>
        <v>VD00, VD01, VD02, VD04, VD05, VD06, VD07, VD08</v>
      </c>
    </row>
    <row r="115" spans="1:12" hidden="1" x14ac:dyDescent="0.25">
      <c r="A115" s="55" t="s">
        <v>55</v>
      </c>
      <c r="B115" s="56" t="s">
        <v>56</v>
      </c>
      <c r="C115" s="56" t="s">
        <v>112</v>
      </c>
      <c r="D115" s="56" t="s">
        <v>17</v>
      </c>
      <c r="E115" s="56" t="s">
        <v>60</v>
      </c>
      <c r="F115" s="56" t="s">
        <v>54</v>
      </c>
      <c r="G115" s="56" t="str">
        <f>_xlfn.XLOOKUP(F115,MARCAS!E:E,MARCAS!F:F)</f>
        <v>150</v>
      </c>
      <c r="H115" s="56" t="s">
        <v>52</v>
      </c>
      <c r="I115" s="61" t="s">
        <v>1783</v>
      </c>
      <c r="J115" s="58" t="s">
        <v>1587</v>
      </c>
      <c r="K115" s="59" t="s">
        <v>1588</v>
      </c>
      <c r="L115" s="2" t="str">
        <f>_xlfn.XLOOKUP(H115,Unidades!$1:$1,Unidades!$36:$36)</f>
        <v>VD00, VD01, VD02, VD04, VD05, VD06, VD07, VD08</v>
      </c>
    </row>
    <row r="116" spans="1:12" hidden="1" x14ac:dyDescent="0.25">
      <c r="A116" s="55" t="s">
        <v>55</v>
      </c>
      <c r="B116" s="56" t="s">
        <v>56</v>
      </c>
      <c r="C116" s="56" t="s">
        <v>112</v>
      </c>
      <c r="D116" s="56" t="s">
        <v>19</v>
      </c>
      <c r="E116" s="56" t="s">
        <v>61</v>
      </c>
      <c r="F116" s="56" t="s">
        <v>54</v>
      </c>
      <c r="G116" s="56" t="str">
        <f>_xlfn.XLOOKUP(F116,MARCAS!E:E,MARCAS!F:F)</f>
        <v>150</v>
      </c>
      <c r="H116" s="56" t="s">
        <v>52</v>
      </c>
      <c r="I116" s="61" t="s">
        <v>1784</v>
      </c>
      <c r="J116" s="58" t="s">
        <v>1590</v>
      </c>
      <c r="K116" s="59" t="s">
        <v>1591</v>
      </c>
      <c r="L116" s="2" t="str">
        <f>_xlfn.XLOOKUP(H116,Unidades!$1:$1,Unidades!$36:$36)</f>
        <v>VD00, VD01, VD02, VD04, VD05, VD06, VD07, VD08</v>
      </c>
    </row>
    <row r="117" spans="1:12" hidden="1" x14ac:dyDescent="0.25">
      <c r="A117" s="55" t="s">
        <v>55</v>
      </c>
      <c r="B117" s="56" t="s">
        <v>56</v>
      </c>
      <c r="C117" s="56" t="s">
        <v>112</v>
      </c>
      <c r="D117" s="56" t="s">
        <v>13</v>
      </c>
      <c r="E117" s="56" t="s">
        <v>57</v>
      </c>
      <c r="F117" s="56" t="s">
        <v>54</v>
      </c>
      <c r="G117" s="56" t="str">
        <f>_xlfn.XLOOKUP(F117,MARCAS!E:E,MARCAS!F:F)</f>
        <v>150</v>
      </c>
      <c r="H117" s="56" t="s">
        <v>52</v>
      </c>
      <c r="I117" s="61" t="s">
        <v>1785</v>
      </c>
      <c r="J117" s="58" t="s">
        <v>1593</v>
      </c>
      <c r="K117" s="59" t="s">
        <v>1594</v>
      </c>
      <c r="L117" s="2" t="str">
        <f>_xlfn.XLOOKUP(H117,Unidades!$1:$1,Unidades!$36:$36)</f>
        <v>VD00, VD01, VD02, VD04, VD05, VD06, VD07, VD08</v>
      </c>
    </row>
    <row r="118" spans="1:12" hidden="1" x14ac:dyDescent="0.25">
      <c r="A118" s="55" t="s">
        <v>55</v>
      </c>
      <c r="B118" s="56" t="s">
        <v>56</v>
      </c>
      <c r="C118" s="56" t="s">
        <v>112</v>
      </c>
      <c r="D118" s="56" t="s">
        <v>23</v>
      </c>
      <c r="E118" s="56" t="s">
        <v>62</v>
      </c>
      <c r="F118" s="56" t="s">
        <v>54</v>
      </c>
      <c r="G118" s="56" t="str">
        <f>_xlfn.XLOOKUP(F118,MARCAS!E:E,MARCAS!F:F)</f>
        <v>150</v>
      </c>
      <c r="H118" s="56" t="s">
        <v>52</v>
      </c>
      <c r="I118" s="61" t="s">
        <v>1786</v>
      </c>
      <c r="J118" s="58" t="s">
        <v>1787</v>
      </c>
      <c r="K118" s="59" t="s">
        <v>1597</v>
      </c>
      <c r="L118" s="2" t="str">
        <f>_xlfn.XLOOKUP(H118,Unidades!$1:$1,Unidades!$36:$36)</f>
        <v>VD00, VD01, VD02, VD04, VD05, VD06, VD07, VD08</v>
      </c>
    </row>
    <row r="119" spans="1:12" hidden="1" x14ac:dyDescent="0.25">
      <c r="A119" s="55" t="s">
        <v>55</v>
      </c>
      <c r="B119" s="56" t="s">
        <v>56</v>
      </c>
      <c r="C119" s="56" t="s">
        <v>112</v>
      </c>
      <c r="D119" s="56" t="s">
        <v>32</v>
      </c>
      <c r="E119" s="56" t="s">
        <v>59</v>
      </c>
      <c r="F119" s="56" t="s">
        <v>54</v>
      </c>
      <c r="G119" s="56" t="str">
        <f>_xlfn.XLOOKUP(F119,MARCAS!E:E,MARCAS!F:F)</f>
        <v>150</v>
      </c>
      <c r="H119" s="56" t="s">
        <v>52</v>
      </c>
      <c r="I119" s="61" t="s">
        <v>1788</v>
      </c>
      <c r="J119" s="58" t="s">
        <v>1599</v>
      </c>
      <c r="K119" s="59" t="s">
        <v>1600</v>
      </c>
      <c r="L119" s="2" t="str">
        <f>_xlfn.XLOOKUP(H119,Unidades!$1:$1,Unidades!$36:$36)</f>
        <v>VD00, VD01, VD02, VD04, VD05, VD06, VD07, VD08</v>
      </c>
    </row>
    <row r="120" spans="1:12" hidden="1" x14ac:dyDescent="0.25">
      <c r="A120" s="55" t="s">
        <v>55</v>
      </c>
      <c r="B120" s="56" t="s">
        <v>56</v>
      </c>
      <c r="C120" s="56" t="s">
        <v>112</v>
      </c>
      <c r="D120" s="56" t="s">
        <v>33</v>
      </c>
      <c r="E120" s="56" t="s">
        <v>63</v>
      </c>
      <c r="F120" s="56" t="s">
        <v>54</v>
      </c>
      <c r="G120" s="56" t="str">
        <f>_xlfn.XLOOKUP(F120,MARCAS!E:E,MARCAS!F:F)</f>
        <v>150</v>
      </c>
      <c r="H120" s="56" t="s">
        <v>52</v>
      </c>
      <c r="I120" s="61" t="s">
        <v>1789</v>
      </c>
      <c r="J120" s="58" t="s">
        <v>1602</v>
      </c>
      <c r="K120" s="59" t="s">
        <v>1603</v>
      </c>
      <c r="L120" s="2" t="str">
        <f>_xlfn.XLOOKUP(H120,Unidades!$1:$1,Unidades!$36:$36)</f>
        <v>VD00, VD01, VD02, VD04, VD05, VD06, VD07, VD08</v>
      </c>
    </row>
    <row r="121" spans="1:12" hidden="1" x14ac:dyDescent="0.25">
      <c r="A121" s="55" t="s">
        <v>30</v>
      </c>
      <c r="B121" s="56" t="s">
        <v>31</v>
      </c>
      <c r="C121" s="56" t="s">
        <v>112</v>
      </c>
      <c r="D121" s="35" t="s">
        <v>2234</v>
      </c>
      <c r="E121" s="56" t="s">
        <v>1832</v>
      </c>
      <c r="F121" s="56" t="s">
        <v>29</v>
      </c>
      <c r="G121" s="56" t="str">
        <f>_xlfn.XLOOKUP(F121,MARCAS!E:E,MARCAS!F:F)</f>
        <v>180</v>
      </c>
      <c r="H121" s="56" t="s">
        <v>27</v>
      </c>
      <c r="I121" s="61" t="s">
        <v>1833</v>
      </c>
      <c r="J121" s="58" t="s">
        <v>1834</v>
      </c>
      <c r="K121" s="59" t="s">
        <v>2235</v>
      </c>
      <c r="L121" s="2" t="str">
        <f>_xlfn.XLOOKUP(H121,Unidades!$1:$1,Unidades!$36:$36)</f>
        <v>VC00, VC01, VC02, VC04, VC05, VC06, VC07, VE00, VE01</v>
      </c>
    </row>
    <row r="122" spans="1:12" hidden="1" x14ac:dyDescent="0.25">
      <c r="A122" s="55" t="s">
        <v>30</v>
      </c>
      <c r="B122" s="56" t="s">
        <v>31</v>
      </c>
      <c r="C122" s="56" t="s">
        <v>112</v>
      </c>
      <c r="D122" s="56" t="s">
        <v>11</v>
      </c>
      <c r="E122" s="56" t="s">
        <v>31</v>
      </c>
      <c r="F122" s="56" t="s">
        <v>29</v>
      </c>
      <c r="G122" s="56" t="str">
        <f>_xlfn.XLOOKUP(F122,MARCAS!E:E,MARCAS!F:F)</f>
        <v>180</v>
      </c>
      <c r="H122" s="56" t="s">
        <v>27</v>
      </c>
      <c r="I122" s="61" t="s">
        <v>1833</v>
      </c>
      <c r="J122" s="58" t="s">
        <v>1560</v>
      </c>
      <c r="K122" s="59" t="s">
        <v>1561</v>
      </c>
      <c r="L122" s="2" t="str">
        <f>_xlfn.XLOOKUP(H122,Unidades!$1:$1,Unidades!$36:$36)</f>
        <v>VC00, VC01, VC02, VC04, VC05, VC06, VC07, VE00, VE01</v>
      </c>
    </row>
    <row r="123" spans="1:12" hidden="1" x14ac:dyDescent="0.25">
      <c r="A123" t="s">
        <v>9</v>
      </c>
      <c r="B123" t="s">
        <v>10</v>
      </c>
      <c r="C123" t="s">
        <v>112</v>
      </c>
      <c r="D123" t="s">
        <v>2234</v>
      </c>
      <c r="E123" t="s">
        <v>1849</v>
      </c>
      <c r="F123" t="s">
        <v>8</v>
      </c>
      <c r="G123" s="66" t="str">
        <f>_xlfn.XLOOKUP(F123,MARCAS!E:E,MARCAS!F:F)</f>
        <v>060</v>
      </c>
      <c r="H123" t="s">
        <v>6</v>
      </c>
      <c r="I123" s="61" t="s">
        <v>888</v>
      </c>
      <c r="J123" t="s">
        <v>2236</v>
      </c>
      <c r="K123" t="s">
        <v>2237</v>
      </c>
      <c r="L123" t="str">
        <f>_xlfn.XLOOKUP(H123,Unidades!$1:$1,Unidades!$36:$36)</f>
        <v>VA00, VA01, VA02, VA03, VA04, VA05, VA06, VA07</v>
      </c>
    </row>
    <row r="124" spans="1:12" hidden="1" x14ac:dyDescent="0.25">
      <c r="A124" t="s">
        <v>9</v>
      </c>
      <c r="B124" t="s">
        <v>10</v>
      </c>
      <c r="C124" t="s">
        <v>112</v>
      </c>
      <c r="D124" t="s">
        <v>2234</v>
      </c>
      <c r="E124" t="s">
        <v>1849</v>
      </c>
      <c r="F124" t="s">
        <v>26</v>
      </c>
      <c r="G124" s="66" t="str">
        <f>_xlfn.XLOOKUP(F124,MARCAS!E:E,MARCAS!F:F)</f>
        <v>110</v>
      </c>
      <c r="H124" t="s">
        <v>24</v>
      </c>
      <c r="I124" s="61" t="s">
        <v>894</v>
      </c>
      <c r="J124" t="s">
        <v>2238</v>
      </c>
      <c r="K124" t="s">
        <v>2239</v>
      </c>
      <c r="L124" t="str">
        <f>_xlfn.XLOOKUP(H124,Unidades!$1:$1,Unidades!$36:$36)</f>
        <v>VA00, VA01, VA02, VA03, VA04, VA05, VA06, VA07</v>
      </c>
    </row>
    <row r="125" spans="1:12" hidden="1" x14ac:dyDescent="0.25">
      <c r="A125" t="s">
        <v>9</v>
      </c>
      <c r="B125" t="s">
        <v>10</v>
      </c>
      <c r="C125" t="s">
        <v>112</v>
      </c>
      <c r="D125" t="s">
        <v>2234</v>
      </c>
      <c r="E125" t="s">
        <v>1849</v>
      </c>
      <c r="F125" t="s">
        <v>84</v>
      </c>
      <c r="G125" s="66" t="str">
        <f>_xlfn.XLOOKUP(F125,MARCAS!E:E,MARCAS!F:F)</f>
        <v>060</v>
      </c>
      <c r="H125" t="s">
        <v>83</v>
      </c>
      <c r="I125" s="61" t="s">
        <v>897</v>
      </c>
      <c r="J125" t="s">
        <v>2240</v>
      </c>
      <c r="K125" t="s">
        <v>2241</v>
      </c>
      <c r="L125" t="str">
        <f>_xlfn.XLOOKUP(H125,Unidades!$1:$1,Unidades!$36:$36)</f>
        <v>VA00, VA01, VA02, VA03, VA04, VA05, VA06, VA07, VF00, VF01, VF04, VF06, VF08</v>
      </c>
    </row>
    <row r="126" spans="1:12" hidden="1" x14ac:dyDescent="0.25">
      <c r="A126" t="s">
        <v>9</v>
      </c>
      <c r="B126" t="s">
        <v>10</v>
      </c>
      <c r="C126" t="s">
        <v>112</v>
      </c>
      <c r="D126" t="s">
        <v>2234</v>
      </c>
      <c r="E126" t="s">
        <v>1849</v>
      </c>
      <c r="F126" t="s">
        <v>98</v>
      </c>
      <c r="G126" s="66" t="str">
        <f>_xlfn.XLOOKUP(F126,MARCAS!E:E,MARCAS!F:F)</f>
        <v>080</v>
      </c>
      <c r="H126" t="s">
        <v>96</v>
      </c>
      <c r="I126" s="61" t="s">
        <v>891</v>
      </c>
      <c r="J126" t="s">
        <v>2242</v>
      </c>
      <c r="K126" t="s">
        <v>2243</v>
      </c>
      <c r="L126" t="str">
        <f>_xlfn.XLOOKUP(H126,Unidades!$1:$1,Unidades!$36:$36)</f>
        <v>VA00, VA01, VA02, VA03, VA04, VA05, VA06, VA07</v>
      </c>
    </row>
    <row r="127" spans="1:12" hidden="1" x14ac:dyDescent="0.25">
      <c r="A127" t="s">
        <v>34</v>
      </c>
      <c r="B127" t="s">
        <v>35</v>
      </c>
      <c r="C127" t="s">
        <v>112</v>
      </c>
      <c r="D127" t="s">
        <v>2234</v>
      </c>
      <c r="E127" t="s">
        <v>1858</v>
      </c>
      <c r="F127" t="s">
        <v>45</v>
      </c>
      <c r="G127" s="66" t="str">
        <f>_xlfn.XLOOKUP(F127,MARCAS!E:E,MARCAS!F:F)</f>
        <v>100</v>
      </c>
      <c r="H127" t="s">
        <v>43</v>
      </c>
      <c r="I127" t="s">
        <v>1487</v>
      </c>
      <c r="J127" t="s">
        <v>2244</v>
      </c>
      <c r="K127" t="s">
        <v>2245</v>
      </c>
      <c r="L127" t="str">
        <f>_xlfn.XLOOKUP(H127,Unidades!$1:$1,Unidades!$36:$36)</f>
        <v>VC00, VC01, VC02, VC04, VC05, VC06, VC07, VC08</v>
      </c>
    </row>
    <row r="128" spans="1:12" hidden="1" x14ac:dyDescent="0.25">
      <c r="A128" t="s">
        <v>34</v>
      </c>
      <c r="B128" t="s">
        <v>35</v>
      </c>
      <c r="C128" t="s">
        <v>112</v>
      </c>
      <c r="D128" t="s">
        <v>2234</v>
      </c>
      <c r="E128" t="s">
        <v>1858</v>
      </c>
      <c r="F128" t="s">
        <v>48</v>
      </c>
      <c r="G128" s="66" t="str">
        <f>_xlfn.XLOOKUP(F128,MARCAS!E:E,MARCAS!F:F)</f>
        <v>090</v>
      </c>
      <c r="H128" t="s">
        <v>46</v>
      </c>
      <c r="I128" t="s">
        <v>1511</v>
      </c>
      <c r="J128" t="s">
        <v>2246</v>
      </c>
      <c r="K128" t="s">
        <v>2247</v>
      </c>
      <c r="L128" t="str">
        <f>_xlfn.XLOOKUP(H128,Unidades!$1:$1,Unidades!$36:$36)</f>
        <v>VC00, VC01, VC02, VC04, VC05, VC06, VC07, VC08</v>
      </c>
    </row>
    <row r="129" spans="1:12" hidden="1" x14ac:dyDescent="0.25">
      <c r="A129" t="s">
        <v>34</v>
      </c>
      <c r="B129" t="s">
        <v>35</v>
      </c>
      <c r="C129" t="s">
        <v>112</v>
      </c>
      <c r="D129" t="s">
        <v>2234</v>
      </c>
      <c r="E129" t="s">
        <v>1858</v>
      </c>
      <c r="F129" t="s">
        <v>51</v>
      </c>
      <c r="G129" s="66" t="str">
        <f>_xlfn.XLOOKUP(F129,MARCAS!E:E,MARCAS!F:F)</f>
        <v>230</v>
      </c>
      <c r="H129" t="s">
        <v>49</v>
      </c>
      <c r="I129" t="s">
        <v>1535</v>
      </c>
      <c r="J129" t="s">
        <v>2248</v>
      </c>
      <c r="K129" t="s">
        <v>2249</v>
      </c>
      <c r="L129" t="str">
        <f>_xlfn.XLOOKUP(H129,Unidades!$1:$1,Unidades!$36:$36)</f>
        <v>VC00, VC01, VC02, VC04, VC05, VC06, VC07, VC08</v>
      </c>
    </row>
    <row r="130" spans="1:12" hidden="1" x14ac:dyDescent="0.25">
      <c r="A130" t="s">
        <v>34</v>
      </c>
      <c r="B130" t="s">
        <v>35</v>
      </c>
      <c r="C130" t="s">
        <v>112</v>
      </c>
      <c r="D130" t="s">
        <v>2234</v>
      </c>
      <c r="E130" t="s">
        <v>1858</v>
      </c>
      <c r="F130" t="s">
        <v>105</v>
      </c>
      <c r="G130" s="66" t="str">
        <f>_xlfn.XLOOKUP(F130,MARCAS!E:E,MARCAS!F:F)</f>
        <v>280</v>
      </c>
      <c r="H130" t="s">
        <v>99</v>
      </c>
      <c r="I130" t="s">
        <v>1607</v>
      </c>
      <c r="J130" t="s">
        <v>2250</v>
      </c>
      <c r="K130" t="s">
        <v>2251</v>
      </c>
      <c r="L130" t="str">
        <f>_xlfn.XLOOKUP(H130,Unidades!$1:$1,Unidades!$36:$36)</f>
        <v>VA00, VA01, VA02, VA03, VA04, VA05, VA06, VA07, VC00, VC01, VC02, VC04, VC05, VC06, VC07, VC08, VF00, VF01, VF03, VF04, VF06, VF08</v>
      </c>
    </row>
    <row r="131" spans="1:12" hidden="1" x14ac:dyDescent="0.25">
      <c r="A131" t="s">
        <v>55</v>
      </c>
      <c r="B131" t="s">
        <v>56</v>
      </c>
      <c r="C131" t="s">
        <v>112</v>
      </c>
      <c r="D131" t="s">
        <v>2234</v>
      </c>
      <c r="E131" t="s">
        <v>1867</v>
      </c>
      <c r="F131" t="s">
        <v>54</v>
      </c>
      <c r="G131" s="66" t="str">
        <f>_xlfn.XLOOKUP(F131,MARCAS!E:E,MARCAS!F:F)</f>
        <v>150</v>
      </c>
      <c r="H131" t="s">
        <v>52</v>
      </c>
      <c r="I131" t="s">
        <v>1782</v>
      </c>
      <c r="J131" t="s">
        <v>2252</v>
      </c>
      <c r="K131" t="s">
        <v>2253</v>
      </c>
      <c r="L131" t="str">
        <f>_xlfn.XLOOKUP(H131,Unidades!$1:$1,Unidades!$36:$36)</f>
        <v>VD00, VD01, VD02, VD04, VD05, VD06, VD07, VD08</v>
      </c>
    </row>
    <row r="132" spans="1:12" hidden="1" x14ac:dyDescent="0.25">
      <c r="A132" t="s">
        <v>67</v>
      </c>
      <c r="B132" t="s">
        <v>68</v>
      </c>
      <c r="C132" t="s">
        <v>112</v>
      </c>
      <c r="D132" t="s">
        <v>2234</v>
      </c>
      <c r="E132" t="s">
        <v>1876</v>
      </c>
      <c r="F132" t="s">
        <v>66</v>
      </c>
      <c r="G132" s="66" t="str">
        <f>_xlfn.XLOOKUP(F132,MARCAS!E:E,MARCAS!F:F)</f>
        <v>130</v>
      </c>
      <c r="H132" t="s">
        <v>64</v>
      </c>
      <c r="I132" t="s">
        <v>198</v>
      </c>
      <c r="J132" t="s">
        <v>2254</v>
      </c>
      <c r="K132" t="s">
        <v>2255</v>
      </c>
      <c r="L132" t="str">
        <f>_xlfn.XLOOKUP(H132,Unidades!$1:$1,Unidades!$36:$36)</f>
        <v>VA02, VA04, VA06, VF00, VF01, VF04, VF06, VF08</v>
      </c>
    </row>
    <row r="133" spans="1:12" hidden="1" x14ac:dyDescent="0.25">
      <c r="A133" t="s">
        <v>67</v>
      </c>
      <c r="B133" t="s">
        <v>68</v>
      </c>
      <c r="C133" t="s">
        <v>112</v>
      </c>
      <c r="D133" t="s">
        <v>2234</v>
      </c>
      <c r="E133" t="s">
        <v>1876</v>
      </c>
      <c r="F133" t="s">
        <v>77</v>
      </c>
      <c r="G133" s="66" t="str">
        <f>_xlfn.XLOOKUP(F133,MARCAS!E:E,MARCAS!F:F)</f>
        <v>260</v>
      </c>
      <c r="H133" t="s">
        <v>75</v>
      </c>
      <c r="I133" t="s">
        <v>213</v>
      </c>
      <c r="J133" t="s">
        <v>2256</v>
      </c>
      <c r="K133" t="s">
        <v>2257</v>
      </c>
      <c r="L133" t="str">
        <f>_xlfn.XLOOKUP(H133,Unidades!$1:$1,Unidades!$36:$36)</f>
        <v>VF00, VF01, VF04, VF06, VF08</v>
      </c>
    </row>
    <row r="134" spans="1:12" hidden="1" x14ac:dyDescent="0.25">
      <c r="A134" t="s">
        <v>67</v>
      </c>
      <c r="B134" t="s">
        <v>68</v>
      </c>
      <c r="C134" t="s">
        <v>112</v>
      </c>
      <c r="D134" t="s">
        <v>2234</v>
      </c>
      <c r="E134" t="s">
        <v>1876</v>
      </c>
      <c r="F134" t="s">
        <v>80</v>
      </c>
      <c r="G134" s="66" t="str">
        <f>_xlfn.XLOOKUP(F134,MARCAS!E:E,MARCAS!F:F)</f>
        <v>140</v>
      </c>
      <c r="H134" t="s">
        <v>78</v>
      </c>
      <c r="I134" t="s">
        <v>201</v>
      </c>
      <c r="J134" t="s">
        <v>2258</v>
      </c>
      <c r="K134" t="s">
        <v>2259</v>
      </c>
      <c r="L134" t="str">
        <f>_xlfn.XLOOKUP(H134,Unidades!$1:$1,Unidades!$36:$36)</f>
        <v>VF00, VF01, VF03, VF04, VF06, VF08</v>
      </c>
    </row>
    <row r="135" spans="1:12" hidden="1" x14ac:dyDescent="0.25">
      <c r="A135" t="s">
        <v>67</v>
      </c>
      <c r="B135" t="s">
        <v>68</v>
      </c>
      <c r="C135" t="s">
        <v>112</v>
      </c>
      <c r="D135" t="s">
        <v>2234</v>
      </c>
      <c r="E135" t="s">
        <v>1876</v>
      </c>
      <c r="F135" s="49" t="s">
        <v>84</v>
      </c>
      <c r="G135" s="66" t="str">
        <f>_xlfn.XLOOKUP(F135,MARCAS!E:E,MARCAS!F:F)</f>
        <v>060</v>
      </c>
      <c r="H135" t="s">
        <v>83</v>
      </c>
      <c r="I135" t="s">
        <v>192</v>
      </c>
      <c r="J135" t="s">
        <v>2260</v>
      </c>
      <c r="K135" t="s">
        <v>2261</v>
      </c>
      <c r="L135" t="str">
        <f>_xlfn.XLOOKUP(H135,Unidades!$1:$1,Unidades!$36:$36)</f>
        <v>VA00, VA01, VA02, VA03, VA04, VA05, VA06, VA07, VF00, VF01, VF04, VF06, VF08</v>
      </c>
    </row>
    <row r="136" spans="1:12" hidden="1" x14ac:dyDescent="0.25">
      <c r="A136" t="s">
        <v>67</v>
      </c>
      <c r="B136" t="s">
        <v>68</v>
      </c>
      <c r="C136" t="s">
        <v>112</v>
      </c>
      <c r="D136" t="s">
        <v>2234</v>
      </c>
      <c r="E136" t="s">
        <v>1876</v>
      </c>
      <c r="F136" t="s">
        <v>87</v>
      </c>
      <c r="G136" s="66" t="str">
        <f>_xlfn.XLOOKUP(F136,MARCAS!E:E,MARCAS!F:F)</f>
        <v>160</v>
      </c>
      <c r="H136" t="s">
        <v>85</v>
      </c>
      <c r="I136" t="s">
        <v>204</v>
      </c>
      <c r="J136" t="s">
        <v>2262</v>
      </c>
      <c r="K136" t="s">
        <v>2263</v>
      </c>
      <c r="L136" t="str">
        <f>_xlfn.XLOOKUP(H136,Unidades!$1:$1,Unidades!$36:$36)</f>
        <v>VF00, VF01, VF04, VF06, VF08</v>
      </c>
    </row>
    <row r="137" spans="1:12" hidden="1" x14ac:dyDescent="0.25">
      <c r="A137" t="s">
        <v>67</v>
      </c>
      <c r="B137" t="s">
        <v>68</v>
      </c>
      <c r="C137" t="s">
        <v>112</v>
      </c>
      <c r="D137" t="s">
        <v>2234</v>
      </c>
      <c r="E137" t="s">
        <v>1876</v>
      </c>
      <c r="F137" t="s">
        <v>90</v>
      </c>
      <c r="G137" s="66" t="str">
        <f>_xlfn.XLOOKUP(F137,MARCAS!E:E,MARCAS!F:F)</f>
        <v>170</v>
      </c>
      <c r="H137" t="s">
        <v>88</v>
      </c>
      <c r="I137" t="s">
        <v>207</v>
      </c>
      <c r="J137" t="s">
        <v>2264</v>
      </c>
      <c r="K137" t="s">
        <v>2265</v>
      </c>
      <c r="L137" t="str">
        <f>_xlfn.XLOOKUP(H137,Unidades!$1:$1,Unidades!$36:$36)</f>
        <v>VF00, VF01, VF04, VF05, VF06, VF08</v>
      </c>
    </row>
    <row r="138" spans="1:12" hidden="1" x14ac:dyDescent="0.25">
      <c r="A138" t="s">
        <v>67</v>
      </c>
      <c r="B138" t="s">
        <v>68</v>
      </c>
      <c r="C138" t="s">
        <v>112</v>
      </c>
      <c r="D138" t="s">
        <v>2234</v>
      </c>
      <c r="E138" t="s">
        <v>1876</v>
      </c>
      <c r="F138" t="s">
        <v>105</v>
      </c>
      <c r="G138" s="66" t="str">
        <f>_xlfn.XLOOKUP(F138,MARCAS!E:E,MARCAS!F:F)</f>
        <v>280</v>
      </c>
      <c r="H138" t="s">
        <v>99</v>
      </c>
      <c r="I138" t="s">
        <v>210</v>
      </c>
      <c r="J138" t="s">
        <v>2266</v>
      </c>
      <c r="K138" t="s">
        <v>2267</v>
      </c>
      <c r="L138" t="str">
        <f>_xlfn.XLOOKUP(H138,Unidades!$1:$1,Unidades!$36:$36)</f>
        <v>VA00, VA01, VA02, VA03, VA04, VA05, VA06, VA07, VC00, VC01, VC02, VC04, VC05, VC06, VC07, VC08, VF00, VF01, VF03, VF04, VF06, VF08</v>
      </c>
    </row>
  </sheetData>
  <autoFilter ref="A1:L138" xr:uid="{2BD3817C-BEB4-46CA-880C-3D3A43968488}">
    <filterColumn colId="4">
      <filters>
        <filter val="VF06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739F-E627-44C3-ABAF-ABC1B6A112D1}">
  <dimension ref="A1:K106"/>
  <sheetViews>
    <sheetView workbookViewId="0"/>
  </sheetViews>
  <sheetFormatPr baseColWidth="10" defaultColWidth="9.140625" defaultRowHeight="15" x14ac:dyDescent="0.25"/>
  <cols>
    <col min="1" max="1" width="20.7109375" bestFit="1" customWidth="1"/>
    <col min="2" max="2" width="20.42578125" bestFit="1" customWidth="1"/>
    <col min="3" max="3" width="27.28515625" bestFit="1" customWidth="1"/>
    <col min="4" max="4" width="15.5703125" bestFit="1" customWidth="1"/>
    <col min="5" max="5" width="12.28515625" bestFit="1" customWidth="1"/>
    <col min="6" max="6" width="23" bestFit="1" customWidth="1"/>
    <col min="7" max="7" width="17" bestFit="1" customWidth="1"/>
    <col min="8" max="8" width="22.42578125" bestFit="1" customWidth="1"/>
    <col min="9" max="9" width="15.5703125" bestFit="1" customWidth="1"/>
    <col min="10" max="10" width="45.85546875" bestFit="1" customWidth="1"/>
    <col min="11" max="11" width="23.7109375" bestFit="1" customWidth="1"/>
  </cols>
  <sheetData>
    <row r="1" spans="1:11" ht="15.75" x14ac:dyDescent="0.25">
      <c r="A1" s="50" t="s">
        <v>3</v>
      </c>
      <c r="B1" s="51" t="s">
        <v>107</v>
      </c>
      <c r="C1" s="51" t="s">
        <v>108</v>
      </c>
      <c r="D1" s="51" t="s">
        <v>5</v>
      </c>
      <c r="E1" s="51" t="s">
        <v>4</v>
      </c>
      <c r="F1" s="51" t="s">
        <v>2</v>
      </c>
      <c r="G1" s="51" t="s">
        <v>1</v>
      </c>
      <c r="H1" s="51" t="s">
        <v>0</v>
      </c>
      <c r="I1" s="52" t="s">
        <v>109</v>
      </c>
      <c r="J1" s="53" t="s">
        <v>110</v>
      </c>
      <c r="K1" s="54" t="s">
        <v>111</v>
      </c>
    </row>
    <row r="2" spans="1:11" x14ac:dyDescent="0.25">
      <c r="A2" s="55" t="s">
        <v>67</v>
      </c>
      <c r="B2" s="56" t="s">
        <v>68</v>
      </c>
      <c r="C2" s="56" t="s">
        <v>263</v>
      </c>
      <c r="D2" s="56" t="s">
        <v>82</v>
      </c>
      <c r="E2" s="56" t="s">
        <v>81</v>
      </c>
      <c r="F2" s="56" t="s">
        <v>80</v>
      </c>
      <c r="G2" s="56" t="s">
        <v>79</v>
      </c>
      <c r="H2" s="56" t="s">
        <v>78</v>
      </c>
      <c r="I2" s="57" t="s">
        <v>264</v>
      </c>
      <c r="J2" s="58" t="s">
        <v>265</v>
      </c>
      <c r="K2" s="59" t="s">
        <v>266</v>
      </c>
    </row>
    <row r="3" spans="1:11" x14ac:dyDescent="0.25">
      <c r="A3" s="55" t="s">
        <v>67</v>
      </c>
      <c r="B3" s="56" t="s">
        <v>68</v>
      </c>
      <c r="C3" s="56" t="s">
        <v>263</v>
      </c>
      <c r="D3" s="56" t="s">
        <v>82</v>
      </c>
      <c r="E3" s="56" t="s">
        <v>81</v>
      </c>
      <c r="F3" s="56" t="s">
        <v>105</v>
      </c>
      <c r="G3" s="56" t="s">
        <v>104</v>
      </c>
      <c r="H3" s="56" t="s">
        <v>99</v>
      </c>
      <c r="I3" s="57" t="s">
        <v>267</v>
      </c>
      <c r="J3" s="58" t="s">
        <v>268</v>
      </c>
      <c r="K3" s="59" t="s">
        <v>269</v>
      </c>
    </row>
    <row r="4" spans="1:11" x14ac:dyDescent="0.25">
      <c r="A4" s="55" t="s">
        <v>67</v>
      </c>
      <c r="B4" s="56" t="s">
        <v>68</v>
      </c>
      <c r="C4" s="56" t="s">
        <v>263</v>
      </c>
      <c r="D4" s="56" t="s">
        <v>11</v>
      </c>
      <c r="E4" s="56" t="s">
        <v>68</v>
      </c>
      <c r="F4" s="56" t="s">
        <v>84</v>
      </c>
      <c r="G4" s="56" t="s">
        <v>7</v>
      </c>
      <c r="H4" s="56" t="s">
        <v>83</v>
      </c>
      <c r="I4" s="57" t="s">
        <v>270</v>
      </c>
      <c r="J4" s="58" t="s">
        <v>271</v>
      </c>
      <c r="K4" s="59" t="s">
        <v>272</v>
      </c>
    </row>
    <row r="5" spans="1:11" x14ac:dyDescent="0.25">
      <c r="A5" s="55" t="s">
        <v>67</v>
      </c>
      <c r="B5" s="56" t="s">
        <v>68</v>
      </c>
      <c r="C5" s="56" t="s">
        <v>263</v>
      </c>
      <c r="D5" s="56" t="s">
        <v>11</v>
      </c>
      <c r="E5" s="56" t="s">
        <v>68</v>
      </c>
      <c r="F5" s="56" t="s">
        <v>98</v>
      </c>
      <c r="G5" s="56" t="s">
        <v>97</v>
      </c>
      <c r="H5" s="56" t="s">
        <v>96</v>
      </c>
      <c r="I5" s="57" t="s">
        <v>273</v>
      </c>
      <c r="J5" s="58" t="s">
        <v>274</v>
      </c>
      <c r="K5" s="59" t="s">
        <v>275</v>
      </c>
    </row>
    <row r="6" spans="1:11" x14ac:dyDescent="0.25">
      <c r="A6" s="55" t="s">
        <v>67</v>
      </c>
      <c r="B6" s="56" t="s">
        <v>68</v>
      </c>
      <c r="C6" s="56" t="s">
        <v>263</v>
      </c>
      <c r="D6" s="56" t="s">
        <v>11</v>
      </c>
      <c r="E6" s="56" t="s">
        <v>68</v>
      </c>
      <c r="F6" s="56" t="s">
        <v>101</v>
      </c>
      <c r="G6" s="56" t="s">
        <v>100</v>
      </c>
      <c r="H6" s="66" t="s">
        <v>149</v>
      </c>
      <c r="I6" s="57" t="s">
        <v>276</v>
      </c>
      <c r="J6" s="58" t="s">
        <v>277</v>
      </c>
      <c r="K6" s="59" t="s">
        <v>278</v>
      </c>
    </row>
    <row r="7" spans="1:11" x14ac:dyDescent="0.25">
      <c r="A7" s="55" t="s">
        <v>67</v>
      </c>
      <c r="B7" s="56" t="s">
        <v>68</v>
      </c>
      <c r="C7" s="56" t="s">
        <v>263</v>
      </c>
      <c r="D7" s="56" t="s">
        <v>11</v>
      </c>
      <c r="E7" s="56" t="s">
        <v>68</v>
      </c>
      <c r="F7" s="56" t="s">
        <v>66</v>
      </c>
      <c r="G7" s="56" t="s">
        <v>65</v>
      </c>
      <c r="H7" s="56" t="s">
        <v>64</v>
      </c>
      <c r="I7" s="57" t="s">
        <v>279</v>
      </c>
      <c r="J7" s="58" t="s">
        <v>280</v>
      </c>
      <c r="K7" s="59" t="s">
        <v>281</v>
      </c>
    </row>
    <row r="8" spans="1:11" x14ac:dyDescent="0.25">
      <c r="A8" s="55" t="s">
        <v>67</v>
      </c>
      <c r="B8" s="56" t="s">
        <v>68</v>
      </c>
      <c r="C8" s="56" t="s">
        <v>263</v>
      </c>
      <c r="D8" s="56" t="s">
        <v>11</v>
      </c>
      <c r="E8" s="56" t="s">
        <v>68</v>
      </c>
      <c r="F8" s="56" t="s">
        <v>80</v>
      </c>
      <c r="G8" s="56" t="s">
        <v>79</v>
      </c>
      <c r="H8" s="56" t="s">
        <v>78</v>
      </c>
      <c r="I8" s="57" t="s">
        <v>282</v>
      </c>
      <c r="J8" s="58" t="s">
        <v>283</v>
      </c>
      <c r="K8" s="59" t="s">
        <v>284</v>
      </c>
    </row>
    <row r="9" spans="1:11" x14ac:dyDescent="0.25">
      <c r="A9" s="55" t="s">
        <v>67</v>
      </c>
      <c r="B9" s="56" t="s">
        <v>68</v>
      </c>
      <c r="C9" s="56" t="s">
        <v>263</v>
      </c>
      <c r="D9" s="56" t="s">
        <v>11</v>
      </c>
      <c r="E9" s="56" t="s">
        <v>68</v>
      </c>
      <c r="F9" s="56" t="s">
        <v>87</v>
      </c>
      <c r="G9" s="56" t="s">
        <v>86</v>
      </c>
      <c r="H9" s="56" t="s">
        <v>85</v>
      </c>
      <c r="I9" s="57" t="s">
        <v>285</v>
      </c>
      <c r="J9" s="58" t="s">
        <v>286</v>
      </c>
      <c r="K9" s="59" t="s">
        <v>287</v>
      </c>
    </row>
    <row r="10" spans="1:11" x14ac:dyDescent="0.25">
      <c r="A10" s="55" t="s">
        <v>67</v>
      </c>
      <c r="B10" s="56" t="s">
        <v>68</v>
      </c>
      <c r="C10" s="56" t="s">
        <v>263</v>
      </c>
      <c r="D10" s="56" t="s">
        <v>11</v>
      </c>
      <c r="E10" s="56" t="s">
        <v>68</v>
      </c>
      <c r="F10" s="56" t="s">
        <v>90</v>
      </c>
      <c r="G10" s="56" t="s">
        <v>89</v>
      </c>
      <c r="H10" s="56" t="s">
        <v>88</v>
      </c>
      <c r="I10" s="57" t="s">
        <v>288</v>
      </c>
      <c r="J10" s="58" t="s">
        <v>289</v>
      </c>
      <c r="K10" s="59" t="s">
        <v>290</v>
      </c>
    </row>
    <row r="11" spans="1:11" x14ac:dyDescent="0.25">
      <c r="A11" s="55" t="s">
        <v>67</v>
      </c>
      <c r="B11" s="56" t="s">
        <v>68</v>
      </c>
      <c r="C11" s="56" t="s">
        <v>263</v>
      </c>
      <c r="D11" s="56" t="s">
        <v>11</v>
      </c>
      <c r="E11" s="56" t="s">
        <v>68</v>
      </c>
      <c r="F11" s="56" t="s">
        <v>103</v>
      </c>
      <c r="G11" s="56" t="s">
        <v>102</v>
      </c>
      <c r="H11" s="66" t="s">
        <v>229</v>
      </c>
      <c r="I11" s="57" t="s">
        <v>291</v>
      </c>
      <c r="J11" s="58" t="s">
        <v>292</v>
      </c>
      <c r="K11" s="59" t="s">
        <v>293</v>
      </c>
    </row>
    <row r="12" spans="1:11" x14ac:dyDescent="0.25">
      <c r="A12" s="55" t="s">
        <v>67</v>
      </c>
      <c r="B12" s="56" t="s">
        <v>68</v>
      </c>
      <c r="C12" s="56" t="s">
        <v>263</v>
      </c>
      <c r="D12" s="56" t="s">
        <v>11</v>
      </c>
      <c r="E12" s="56" t="s">
        <v>68</v>
      </c>
      <c r="F12" s="56" t="s">
        <v>105</v>
      </c>
      <c r="G12" s="56" t="s">
        <v>104</v>
      </c>
      <c r="H12" s="56" t="s">
        <v>99</v>
      </c>
      <c r="I12" s="57" t="s">
        <v>294</v>
      </c>
      <c r="J12" s="58" t="s">
        <v>295</v>
      </c>
      <c r="K12" s="59" t="s">
        <v>296</v>
      </c>
    </row>
    <row r="13" spans="1:11" x14ac:dyDescent="0.25">
      <c r="A13" s="55" t="s">
        <v>67</v>
      </c>
      <c r="B13" s="56" t="s">
        <v>68</v>
      </c>
      <c r="C13" s="56" t="s">
        <v>263</v>
      </c>
      <c r="D13" s="56" t="s">
        <v>11</v>
      </c>
      <c r="E13" s="56" t="s">
        <v>68</v>
      </c>
      <c r="F13" s="56" t="s">
        <v>77</v>
      </c>
      <c r="G13" s="56" t="s">
        <v>76</v>
      </c>
      <c r="H13" s="56" t="s">
        <v>75</v>
      </c>
      <c r="I13" s="57" t="s">
        <v>297</v>
      </c>
      <c r="J13" s="58" t="s">
        <v>298</v>
      </c>
      <c r="K13" s="59" t="s">
        <v>299</v>
      </c>
    </row>
    <row r="14" spans="1:11" x14ac:dyDescent="0.25">
      <c r="A14" s="55" t="s">
        <v>9</v>
      </c>
      <c r="B14" s="56" t="s">
        <v>10</v>
      </c>
      <c r="C14" s="56" t="s">
        <v>263</v>
      </c>
      <c r="D14" s="56" t="s">
        <v>15</v>
      </c>
      <c r="E14" s="56" t="s">
        <v>14</v>
      </c>
      <c r="F14" s="56" t="s">
        <v>8</v>
      </c>
      <c r="G14" s="56" t="s">
        <v>7</v>
      </c>
      <c r="H14" s="56" t="s">
        <v>6</v>
      </c>
      <c r="I14" s="61" t="s">
        <v>572</v>
      </c>
      <c r="J14" s="58" t="s">
        <v>573</v>
      </c>
      <c r="K14" s="59" t="s">
        <v>574</v>
      </c>
    </row>
    <row r="15" spans="1:11" x14ac:dyDescent="0.25">
      <c r="A15" s="55" t="s">
        <v>9</v>
      </c>
      <c r="B15" s="56" t="s">
        <v>10</v>
      </c>
      <c r="C15" s="56" t="s">
        <v>263</v>
      </c>
      <c r="D15" s="56" t="s">
        <v>15</v>
      </c>
      <c r="E15" s="56" t="s">
        <v>14</v>
      </c>
      <c r="F15" s="56" t="s">
        <v>98</v>
      </c>
      <c r="G15" s="56" t="s">
        <v>97</v>
      </c>
      <c r="H15" s="56" t="s">
        <v>96</v>
      </c>
      <c r="I15" s="61" t="s">
        <v>575</v>
      </c>
      <c r="J15" s="58" t="s">
        <v>576</v>
      </c>
      <c r="K15" s="59" t="s">
        <v>577</v>
      </c>
    </row>
    <row r="16" spans="1:11" x14ac:dyDescent="0.25">
      <c r="A16" s="55" t="s">
        <v>9</v>
      </c>
      <c r="B16" s="56" t="s">
        <v>10</v>
      </c>
      <c r="C16" s="56" t="s">
        <v>263</v>
      </c>
      <c r="D16" s="56" t="s">
        <v>15</v>
      </c>
      <c r="E16" s="56" t="s">
        <v>14</v>
      </c>
      <c r="F16" s="56" t="s">
        <v>26</v>
      </c>
      <c r="G16" s="56" t="s">
        <v>25</v>
      </c>
      <c r="H16" s="56" t="s">
        <v>24</v>
      </c>
      <c r="I16" s="61" t="s">
        <v>578</v>
      </c>
      <c r="J16" s="58" t="s">
        <v>579</v>
      </c>
      <c r="K16" s="59" t="s">
        <v>580</v>
      </c>
    </row>
    <row r="17" spans="1:11" x14ac:dyDescent="0.25">
      <c r="A17" s="55" t="s">
        <v>9</v>
      </c>
      <c r="B17" s="56" t="s">
        <v>10</v>
      </c>
      <c r="C17" s="56" t="s">
        <v>263</v>
      </c>
      <c r="D17" s="56" t="s">
        <v>15</v>
      </c>
      <c r="E17" s="56" t="s">
        <v>14</v>
      </c>
      <c r="F17" s="56" t="s">
        <v>105</v>
      </c>
      <c r="G17" s="56" t="s">
        <v>104</v>
      </c>
      <c r="H17" s="56" t="s">
        <v>99</v>
      </c>
      <c r="I17" s="61" t="s">
        <v>581</v>
      </c>
      <c r="J17" s="58" t="s">
        <v>582</v>
      </c>
      <c r="K17" s="59" t="s">
        <v>583</v>
      </c>
    </row>
    <row r="18" spans="1:11" x14ac:dyDescent="0.25">
      <c r="A18" s="55" t="s">
        <v>9</v>
      </c>
      <c r="B18" s="56" t="s">
        <v>10</v>
      </c>
      <c r="C18" s="56" t="s">
        <v>263</v>
      </c>
      <c r="D18" s="56" t="s">
        <v>15</v>
      </c>
      <c r="E18" s="56" t="s">
        <v>14</v>
      </c>
      <c r="F18" s="56" t="s">
        <v>84</v>
      </c>
      <c r="G18" s="56" t="s">
        <v>7</v>
      </c>
      <c r="H18" s="56" t="s">
        <v>83</v>
      </c>
      <c r="I18" s="61" t="s">
        <v>584</v>
      </c>
      <c r="J18" s="58" t="s">
        <v>585</v>
      </c>
      <c r="K18" s="59" t="s">
        <v>586</v>
      </c>
    </row>
    <row r="19" spans="1:11" x14ac:dyDescent="0.25">
      <c r="A19" s="55" t="s">
        <v>9</v>
      </c>
      <c r="B19" s="56" t="s">
        <v>10</v>
      </c>
      <c r="C19" s="56" t="s">
        <v>263</v>
      </c>
      <c r="D19" s="56" t="s">
        <v>13</v>
      </c>
      <c r="E19" s="56" t="s">
        <v>12</v>
      </c>
      <c r="F19" s="56" t="s">
        <v>8</v>
      </c>
      <c r="G19" s="56" t="s">
        <v>7</v>
      </c>
      <c r="H19" s="56" t="s">
        <v>6</v>
      </c>
      <c r="I19" s="61" t="s">
        <v>587</v>
      </c>
      <c r="J19" s="58" t="s">
        <v>588</v>
      </c>
      <c r="K19" s="59" t="s">
        <v>589</v>
      </c>
    </row>
    <row r="20" spans="1:11" x14ac:dyDescent="0.25">
      <c r="A20" s="55" t="s">
        <v>9</v>
      </c>
      <c r="B20" s="56" t="s">
        <v>10</v>
      </c>
      <c r="C20" s="56" t="s">
        <v>263</v>
      </c>
      <c r="D20" s="56" t="s">
        <v>13</v>
      </c>
      <c r="E20" s="56" t="s">
        <v>12</v>
      </c>
      <c r="F20" s="56" t="s">
        <v>98</v>
      </c>
      <c r="G20" s="56" t="s">
        <v>97</v>
      </c>
      <c r="H20" s="56" t="s">
        <v>96</v>
      </c>
      <c r="I20" s="61" t="s">
        <v>590</v>
      </c>
      <c r="J20" s="58" t="s">
        <v>591</v>
      </c>
      <c r="K20" s="59" t="s">
        <v>592</v>
      </c>
    </row>
    <row r="21" spans="1:11" x14ac:dyDescent="0.25">
      <c r="A21" s="55" t="s">
        <v>9</v>
      </c>
      <c r="B21" s="56" t="s">
        <v>10</v>
      </c>
      <c r="C21" s="56" t="s">
        <v>263</v>
      </c>
      <c r="D21" s="56" t="s">
        <v>13</v>
      </c>
      <c r="E21" s="56" t="s">
        <v>12</v>
      </c>
      <c r="F21" s="56" t="s">
        <v>26</v>
      </c>
      <c r="G21" s="56" t="s">
        <v>25</v>
      </c>
      <c r="H21" s="56" t="s">
        <v>24</v>
      </c>
      <c r="I21" s="61" t="s">
        <v>593</v>
      </c>
      <c r="J21" s="58" t="s">
        <v>594</v>
      </c>
      <c r="K21" s="59" t="s">
        <v>595</v>
      </c>
    </row>
    <row r="22" spans="1:11" x14ac:dyDescent="0.25">
      <c r="A22" s="55" t="s">
        <v>9</v>
      </c>
      <c r="B22" s="56" t="s">
        <v>10</v>
      </c>
      <c r="C22" s="56" t="s">
        <v>263</v>
      </c>
      <c r="D22" s="56" t="s">
        <v>13</v>
      </c>
      <c r="E22" s="56" t="s">
        <v>12</v>
      </c>
      <c r="F22" s="56" t="s">
        <v>105</v>
      </c>
      <c r="G22" s="56" t="s">
        <v>104</v>
      </c>
      <c r="H22" s="56" t="s">
        <v>99</v>
      </c>
      <c r="I22" s="61" t="s">
        <v>596</v>
      </c>
      <c r="J22" s="58" t="s">
        <v>597</v>
      </c>
      <c r="K22" s="59" t="s">
        <v>598</v>
      </c>
    </row>
    <row r="23" spans="1:11" x14ac:dyDescent="0.25">
      <c r="A23" s="55" t="s">
        <v>9</v>
      </c>
      <c r="B23" s="56" t="s">
        <v>10</v>
      </c>
      <c r="C23" s="56" t="s">
        <v>263</v>
      </c>
      <c r="D23" s="56" t="s">
        <v>13</v>
      </c>
      <c r="E23" s="56" t="s">
        <v>12</v>
      </c>
      <c r="F23" s="56" t="s">
        <v>84</v>
      </c>
      <c r="G23" s="56" t="s">
        <v>7</v>
      </c>
      <c r="H23" s="56" t="s">
        <v>83</v>
      </c>
      <c r="I23" s="61" t="s">
        <v>599</v>
      </c>
      <c r="J23" s="58" t="s">
        <v>600</v>
      </c>
      <c r="K23" s="59" t="s">
        <v>601</v>
      </c>
    </row>
    <row r="24" spans="1:11" x14ac:dyDescent="0.25">
      <c r="A24" s="55" t="s">
        <v>9</v>
      </c>
      <c r="B24" s="56" t="s">
        <v>10</v>
      </c>
      <c r="C24" s="56" t="s">
        <v>263</v>
      </c>
      <c r="D24" s="56" t="s">
        <v>17</v>
      </c>
      <c r="E24" s="56" t="s">
        <v>16</v>
      </c>
      <c r="F24" s="56" t="s">
        <v>8</v>
      </c>
      <c r="G24" s="56" t="s">
        <v>7</v>
      </c>
      <c r="H24" s="56" t="s">
        <v>6</v>
      </c>
      <c r="I24" s="61" t="s">
        <v>602</v>
      </c>
      <c r="J24" s="58" t="s">
        <v>603</v>
      </c>
      <c r="K24" s="59" t="s">
        <v>604</v>
      </c>
    </row>
    <row r="25" spans="1:11" x14ac:dyDescent="0.25">
      <c r="A25" s="55" t="s">
        <v>9</v>
      </c>
      <c r="B25" s="56" t="s">
        <v>10</v>
      </c>
      <c r="C25" s="56" t="s">
        <v>263</v>
      </c>
      <c r="D25" s="56" t="s">
        <v>17</v>
      </c>
      <c r="E25" s="56" t="s">
        <v>16</v>
      </c>
      <c r="F25" s="56" t="s">
        <v>98</v>
      </c>
      <c r="G25" s="56" t="s">
        <v>97</v>
      </c>
      <c r="H25" s="56" t="s">
        <v>96</v>
      </c>
      <c r="I25" s="61" t="s">
        <v>605</v>
      </c>
      <c r="J25" s="58" t="s">
        <v>606</v>
      </c>
      <c r="K25" s="59" t="s">
        <v>607</v>
      </c>
    </row>
    <row r="26" spans="1:11" x14ac:dyDescent="0.25">
      <c r="A26" s="55" t="s">
        <v>9</v>
      </c>
      <c r="B26" s="56" t="s">
        <v>10</v>
      </c>
      <c r="C26" s="56" t="s">
        <v>263</v>
      </c>
      <c r="D26" s="56" t="s">
        <v>17</v>
      </c>
      <c r="E26" s="56" t="s">
        <v>16</v>
      </c>
      <c r="F26" s="56" t="s">
        <v>26</v>
      </c>
      <c r="G26" s="56" t="s">
        <v>25</v>
      </c>
      <c r="H26" s="56" t="s">
        <v>24</v>
      </c>
      <c r="I26" s="61" t="s">
        <v>608</v>
      </c>
      <c r="J26" s="58" t="s">
        <v>609</v>
      </c>
      <c r="K26" s="59" t="s">
        <v>610</v>
      </c>
    </row>
    <row r="27" spans="1:11" x14ac:dyDescent="0.25">
      <c r="A27" s="55" t="s">
        <v>9</v>
      </c>
      <c r="B27" s="56" t="s">
        <v>10</v>
      </c>
      <c r="C27" s="56" t="s">
        <v>263</v>
      </c>
      <c r="D27" s="56" t="s">
        <v>17</v>
      </c>
      <c r="E27" s="56" t="s">
        <v>16</v>
      </c>
      <c r="F27" s="56" t="s">
        <v>105</v>
      </c>
      <c r="G27" s="56" t="s">
        <v>104</v>
      </c>
      <c r="H27" s="56" t="s">
        <v>99</v>
      </c>
      <c r="I27" s="61" t="s">
        <v>611</v>
      </c>
      <c r="J27" s="58" t="s">
        <v>612</v>
      </c>
      <c r="K27" s="59" t="s">
        <v>613</v>
      </c>
    </row>
    <row r="28" spans="1:11" x14ac:dyDescent="0.25">
      <c r="A28" s="55" t="s">
        <v>9</v>
      </c>
      <c r="B28" s="56" t="s">
        <v>10</v>
      </c>
      <c r="C28" s="56" t="s">
        <v>263</v>
      </c>
      <c r="D28" s="56" t="s">
        <v>17</v>
      </c>
      <c r="E28" s="56" t="s">
        <v>16</v>
      </c>
      <c r="F28" s="56" t="s">
        <v>84</v>
      </c>
      <c r="G28" s="56" t="s">
        <v>7</v>
      </c>
      <c r="H28" s="56" t="s">
        <v>83</v>
      </c>
      <c r="I28" s="61" t="s">
        <v>614</v>
      </c>
      <c r="J28" s="58" t="s">
        <v>615</v>
      </c>
      <c r="K28" s="59" t="s">
        <v>616</v>
      </c>
    </row>
    <row r="29" spans="1:11" x14ac:dyDescent="0.25">
      <c r="A29" s="55" t="s">
        <v>9</v>
      </c>
      <c r="B29" s="56" t="s">
        <v>10</v>
      </c>
      <c r="C29" s="56" t="s">
        <v>263</v>
      </c>
      <c r="D29" s="56" t="s">
        <v>23</v>
      </c>
      <c r="E29" s="56" t="s">
        <v>22</v>
      </c>
      <c r="F29" s="56" t="s">
        <v>8</v>
      </c>
      <c r="G29" s="56" t="s">
        <v>7</v>
      </c>
      <c r="H29" s="56" t="s">
        <v>6</v>
      </c>
      <c r="I29" s="61" t="s">
        <v>617</v>
      </c>
      <c r="J29" s="58" t="s">
        <v>618</v>
      </c>
      <c r="K29" s="59" t="s">
        <v>619</v>
      </c>
    </row>
    <row r="30" spans="1:11" x14ac:dyDescent="0.25">
      <c r="A30" s="55" t="s">
        <v>9</v>
      </c>
      <c r="B30" s="56" t="s">
        <v>10</v>
      </c>
      <c r="C30" s="56" t="s">
        <v>263</v>
      </c>
      <c r="D30" s="56" t="s">
        <v>23</v>
      </c>
      <c r="E30" s="56" t="s">
        <v>22</v>
      </c>
      <c r="F30" s="56" t="s">
        <v>98</v>
      </c>
      <c r="G30" s="56" t="s">
        <v>97</v>
      </c>
      <c r="H30" s="56" t="s">
        <v>96</v>
      </c>
      <c r="I30" s="61" t="s">
        <v>620</v>
      </c>
      <c r="J30" s="58" t="s">
        <v>621</v>
      </c>
      <c r="K30" s="59" t="s">
        <v>622</v>
      </c>
    </row>
    <row r="31" spans="1:11" x14ac:dyDescent="0.25">
      <c r="A31" s="55" t="s">
        <v>9</v>
      </c>
      <c r="B31" s="56" t="s">
        <v>10</v>
      </c>
      <c r="C31" s="56" t="s">
        <v>263</v>
      </c>
      <c r="D31" s="56" t="s">
        <v>23</v>
      </c>
      <c r="E31" s="56" t="s">
        <v>22</v>
      </c>
      <c r="F31" s="56" t="s">
        <v>26</v>
      </c>
      <c r="G31" s="56" t="s">
        <v>25</v>
      </c>
      <c r="H31" s="56" t="s">
        <v>24</v>
      </c>
      <c r="I31" s="61" t="s">
        <v>623</v>
      </c>
      <c r="J31" s="58" t="s">
        <v>624</v>
      </c>
      <c r="K31" s="59" t="s">
        <v>625</v>
      </c>
    </row>
    <row r="32" spans="1:11" x14ac:dyDescent="0.25">
      <c r="A32" s="55" t="s">
        <v>9</v>
      </c>
      <c r="B32" s="56" t="s">
        <v>10</v>
      </c>
      <c r="C32" s="56" t="s">
        <v>263</v>
      </c>
      <c r="D32" s="56" t="s">
        <v>23</v>
      </c>
      <c r="E32" s="56" t="s">
        <v>22</v>
      </c>
      <c r="F32" s="56" t="s">
        <v>105</v>
      </c>
      <c r="G32" s="56" t="s">
        <v>104</v>
      </c>
      <c r="H32" s="56" t="s">
        <v>99</v>
      </c>
      <c r="I32" s="61" t="s">
        <v>626</v>
      </c>
      <c r="J32" s="58" t="s">
        <v>627</v>
      </c>
      <c r="K32" s="59" t="s">
        <v>628</v>
      </c>
    </row>
    <row r="33" spans="1:11" x14ac:dyDescent="0.25">
      <c r="A33" s="55" t="s">
        <v>9</v>
      </c>
      <c r="B33" s="56" t="s">
        <v>10</v>
      </c>
      <c r="C33" s="56" t="s">
        <v>263</v>
      </c>
      <c r="D33" s="56" t="s">
        <v>23</v>
      </c>
      <c r="E33" s="56" t="s">
        <v>22</v>
      </c>
      <c r="F33" s="56" t="s">
        <v>84</v>
      </c>
      <c r="G33" s="56" t="s">
        <v>7</v>
      </c>
      <c r="H33" s="56" t="s">
        <v>83</v>
      </c>
      <c r="I33" s="61" t="s">
        <v>629</v>
      </c>
      <c r="J33" s="58" t="s">
        <v>630</v>
      </c>
      <c r="K33" s="59" t="s">
        <v>631</v>
      </c>
    </row>
    <row r="34" spans="1:11" x14ac:dyDescent="0.25">
      <c r="A34" s="55" t="s">
        <v>9</v>
      </c>
      <c r="B34" s="56" t="s">
        <v>10</v>
      </c>
      <c r="C34" s="56" t="s">
        <v>263</v>
      </c>
      <c r="D34" s="56" t="s">
        <v>11</v>
      </c>
      <c r="E34" s="56" t="s">
        <v>10</v>
      </c>
      <c r="F34" s="56" t="s">
        <v>8</v>
      </c>
      <c r="G34" s="56" t="s">
        <v>7</v>
      </c>
      <c r="H34" s="56" t="s">
        <v>6</v>
      </c>
      <c r="I34" s="61" t="s">
        <v>632</v>
      </c>
      <c r="J34" s="58" t="s">
        <v>633</v>
      </c>
      <c r="K34" s="59" t="s">
        <v>634</v>
      </c>
    </row>
    <row r="35" spans="1:11" x14ac:dyDescent="0.25">
      <c r="A35" s="55" t="s">
        <v>9</v>
      </c>
      <c r="B35" s="56" t="s">
        <v>10</v>
      </c>
      <c r="C35" s="56" t="s">
        <v>263</v>
      </c>
      <c r="D35" s="56" t="s">
        <v>11</v>
      </c>
      <c r="E35" s="56" t="s">
        <v>10</v>
      </c>
      <c r="F35" s="56" t="s">
        <v>98</v>
      </c>
      <c r="G35" s="56" t="s">
        <v>97</v>
      </c>
      <c r="H35" s="56" t="s">
        <v>96</v>
      </c>
      <c r="I35" s="61" t="s">
        <v>635</v>
      </c>
      <c r="J35" s="58" t="s">
        <v>274</v>
      </c>
      <c r="K35" s="59" t="s">
        <v>275</v>
      </c>
    </row>
    <row r="36" spans="1:11" x14ac:dyDescent="0.25">
      <c r="A36" s="55" t="s">
        <v>9</v>
      </c>
      <c r="B36" s="56" t="s">
        <v>10</v>
      </c>
      <c r="C36" s="56" t="s">
        <v>263</v>
      </c>
      <c r="D36" s="56" t="s">
        <v>11</v>
      </c>
      <c r="E36" s="56" t="s">
        <v>10</v>
      </c>
      <c r="F36" s="56" t="s">
        <v>26</v>
      </c>
      <c r="G36" s="56" t="s">
        <v>25</v>
      </c>
      <c r="H36" s="56" t="s">
        <v>24</v>
      </c>
      <c r="I36" s="61" t="s">
        <v>636</v>
      </c>
      <c r="J36" s="58" t="s">
        <v>637</v>
      </c>
      <c r="K36" s="59" t="s">
        <v>638</v>
      </c>
    </row>
    <row r="37" spans="1:11" x14ac:dyDescent="0.25">
      <c r="A37" s="55" t="s">
        <v>9</v>
      </c>
      <c r="B37" s="56" t="s">
        <v>10</v>
      </c>
      <c r="C37" s="56" t="s">
        <v>263</v>
      </c>
      <c r="D37" s="56" t="s">
        <v>11</v>
      </c>
      <c r="E37" s="56" t="s">
        <v>10</v>
      </c>
      <c r="F37" s="56" t="s">
        <v>105</v>
      </c>
      <c r="G37" s="56" t="s">
        <v>104</v>
      </c>
      <c r="H37" s="56" t="s">
        <v>99</v>
      </c>
      <c r="I37" s="61" t="s">
        <v>639</v>
      </c>
      <c r="J37" s="58" t="s">
        <v>295</v>
      </c>
      <c r="K37" s="59" t="s">
        <v>296</v>
      </c>
    </row>
    <row r="38" spans="1:11" x14ac:dyDescent="0.25">
      <c r="A38" s="55" t="s">
        <v>9</v>
      </c>
      <c r="B38" s="56" t="s">
        <v>10</v>
      </c>
      <c r="C38" s="56" t="s">
        <v>263</v>
      </c>
      <c r="D38" s="56" t="s">
        <v>11</v>
      </c>
      <c r="E38" s="56" t="s">
        <v>10</v>
      </c>
      <c r="F38" s="56" t="s">
        <v>84</v>
      </c>
      <c r="G38" s="56" t="s">
        <v>7</v>
      </c>
      <c r="H38" s="56" t="s">
        <v>83</v>
      </c>
      <c r="I38" s="61" t="s">
        <v>640</v>
      </c>
      <c r="J38" s="58" t="s">
        <v>271</v>
      </c>
      <c r="K38" s="59" t="s">
        <v>272</v>
      </c>
    </row>
    <row r="39" spans="1:11" x14ac:dyDescent="0.25">
      <c r="A39" s="55" t="s">
        <v>9</v>
      </c>
      <c r="B39" s="56" t="s">
        <v>10</v>
      </c>
      <c r="C39" s="56" t="s">
        <v>263</v>
      </c>
      <c r="D39" s="56" t="s">
        <v>19</v>
      </c>
      <c r="E39" s="56" t="s">
        <v>18</v>
      </c>
      <c r="F39" s="56" t="s">
        <v>8</v>
      </c>
      <c r="G39" s="56" t="s">
        <v>7</v>
      </c>
      <c r="H39" s="56" t="s">
        <v>6</v>
      </c>
      <c r="I39" s="61" t="s">
        <v>641</v>
      </c>
      <c r="J39" s="58" t="s">
        <v>642</v>
      </c>
      <c r="K39" s="59" t="s">
        <v>643</v>
      </c>
    </row>
    <row r="40" spans="1:11" x14ac:dyDescent="0.25">
      <c r="A40" s="55" t="s">
        <v>9</v>
      </c>
      <c r="B40" s="56" t="s">
        <v>10</v>
      </c>
      <c r="C40" s="56" t="s">
        <v>263</v>
      </c>
      <c r="D40" s="56" t="s">
        <v>19</v>
      </c>
      <c r="E40" s="56" t="s">
        <v>18</v>
      </c>
      <c r="F40" s="56" t="s">
        <v>98</v>
      </c>
      <c r="G40" s="56" t="s">
        <v>97</v>
      </c>
      <c r="H40" s="56" t="s">
        <v>96</v>
      </c>
      <c r="I40" s="61" t="s">
        <v>644</v>
      </c>
      <c r="J40" s="58" t="s">
        <v>645</v>
      </c>
      <c r="K40" s="59" t="s">
        <v>646</v>
      </c>
    </row>
    <row r="41" spans="1:11" x14ac:dyDescent="0.25">
      <c r="A41" s="55" t="s">
        <v>9</v>
      </c>
      <c r="B41" s="56" t="s">
        <v>10</v>
      </c>
      <c r="C41" s="56" t="s">
        <v>263</v>
      </c>
      <c r="D41" s="56" t="s">
        <v>19</v>
      </c>
      <c r="E41" s="56" t="s">
        <v>18</v>
      </c>
      <c r="F41" s="56" t="s">
        <v>26</v>
      </c>
      <c r="G41" s="56" t="s">
        <v>25</v>
      </c>
      <c r="H41" s="56" t="s">
        <v>24</v>
      </c>
      <c r="I41" s="61" t="s">
        <v>647</v>
      </c>
      <c r="J41" s="58" t="s">
        <v>648</v>
      </c>
      <c r="K41" s="59" t="s">
        <v>649</v>
      </c>
    </row>
    <row r="42" spans="1:11" x14ac:dyDescent="0.25">
      <c r="A42" s="55" t="s">
        <v>9</v>
      </c>
      <c r="B42" s="56" t="s">
        <v>10</v>
      </c>
      <c r="C42" s="56" t="s">
        <v>263</v>
      </c>
      <c r="D42" s="56" t="s">
        <v>19</v>
      </c>
      <c r="E42" s="56" t="s">
        <v>18</v>
      </c>
      <c r="F42" s="56" t="s">
        <v>105</v>
      </c>
      <c r="G42" s="56" t="s">
        <v>104</v>
      </c>
      <c r="H42" s="56" t="s">
        <v>99</v>
      </c>
      <c r="I42" s="61" t="s">
        <v>650</v>
      </c>
      <c r="J42" s="58" t="s">
        <v>651</v>
      </c>
      <c r="K42" s="59" t="s">
        <v>652</v>
      </c>
    </row>
    <row r="43" spans="1:11" x14ac:dyDescent="0.25">
      <c r="A43" s="55" t="s">
        <v>9</v>
      </c>
      <c r="B43" s="56" t="s">
        <v>10</v>
      </c>
      <c r="C43" s="56" t="s">
        <v>263</v>
      </c>
      <c r="D43" s="56" t="s">
        <v>19</v>
      </c>
      <c r="E43" s="56" t="s">
        <v>18</v>
      </c>
      <c r="F43" s="56" t="s">
        <v>84</v>
      </c>
      <c r="G43" s="56" t="s">
        <v>7</v>
      </c>
      <c r="H43" s="56" t="s">
        <v>83</v>
      </c>
      <c r="I43" s="61" t="s">
        <v>653</v>
      </c>
      <c r="J43" s="58" t="s">
        <v>654</v>
      </c>
      <c r="K43" s="59" t="s">
        <v>655</v>
      </c>
    </row>
    <row r="44" spans="1:11" x14ac:dyDescent="0.25">
      <c r="A44" s="55" t="s">
        <v>9</v>
      </c>
      <c r="B44" s="56" t="s">
        <v>10</v>
      </c>
      <c r="C44" s="56" t="s">
        <v>263</v>
      </c>
      <c r="D44" s="56" t="s">
        <v>21</v>
      </c>
      <c r="E44" s="56" t="s">
        <v>20</v>
      </c>
      <c r="F44" s="56" t="s">
        <v>8</v>
      </c>
      <c r="G44" s="56" t="s">
        <v>7</v>
      </c>
      <c r="H44" s="56" t="s">
        <v>6</v>
      </c>
      <c r="I44" s="61" t="s">
        <v>656</v>
      </c>
      <c r="J44" s="58" t="s">
        <v>657</v>
      </c>
      <c r="K44" s="59" t="s">
        <v>658</v>
      </c>
    </row>
    <row r="45" spans="1:11" x14ac:dyDescent="0.25">
      <c r="A45" s="55" t="s">
        <v>9</v>
      </c>
      <c r="B45" s="56" t="s">
        <v>10</v>
      </c>
      <c r="C45" s="56" t="s">
        <v>263</v>
      </c>
      <c r="D45" s="56" t="s">
        <v>21</v>
      </c>
      <c r="E45" s="56" t="s">
        <v>20</v>
      </c>
      <c r="F45" s="56" t="s">
        <v>98</v>
      </c>
      <c r="G45" s="56" t="s">
        <v>97</v>
      </c>
      <c r="H45" s="56" t="s">
        <v>96</v>
      </c>
      <c r="I45" s="61" t="s">
        <v>659</v>
      </c>
      <c r="J45" s="58" t="s">
        <v>660</v>
      </c>
      <c r="K45" s="59" t="s">
        <v>661</v>
      </c>
    </row>
    <row r="46" spans="1:11" x14ac:dyDescent="0.25">
      <c r="A46" s="55" t="s">
        <v>9</v>
      </c>
      <c r="B46" s="56" t="s">
        <v>10</v>
      </c>
      <c r="C46" s="56" t="s">
        <v>263</v>
      </c>
      <c r="D46" s="56" t="s">
        <v>21</v>
      </c>
      <c r="E46" s="56" t="s">
        <v>20</v>
      </c>
      <c r="F46" s="56" t="s">
        <v>26</v>
      </c>
      <c r="G46" s="56" t="s">
        <v>25</v>
      </c>
      <c r="H46" s="56" t="s">
        <v>24</v>
      </c>
      <c r="I46" s="61" t="s">
        <v>662</v>
      </c>
      <c r="J46" s="58" t="s">
        <v>663</v>
      </c>
      <c r="K46" s="59" t="s">
        <v>664</v>
      </c>
    </row>
    <row r="47" spans="1:11" x14ac:dyDescent="0.25">
      <c r="A47" s="55" t="s">
        <v>9</v>
      </c>
      <c r="B47" s="56" t="s">
        <v>10</v>
      </c>
      <c r="C47" s="56" t="s">
        <v>263</v>
      </c>
      <c r="D47" s="56" t="s">
        <v>21</v>
      </c>
      <c r="E47" s="56" t="s">
        <v>20</v>
      </c>
      <c r="F47" s="56" t="s">
        <v>105</v>
      </c>
      <c r="G47" s="56" t="s">
        <v>104</v>
      </c>
      <c r="H47" s="56" t="s">
        <v>99</v>
      </c>
      <c r="I47" s="61" t="s">
        <v>665</v>
      </c>
      <c r="J47" s="58" t="s">
        <v>666</v>
      </c>
      <c r="K47" s="59" t="s">
        <v>667</v>
      </c>
    </row>
    <row r="48" spans="1:11" x14ac:dyDescent="0.25">
      <c r="A48" s="55" t="s">
        <v>9</v>
      </c>
      <c r="B48" s="56" t="s">
        <v>10</v>
      </c>
      <c r="C48" s="56" t="s">
        <v>263</v>
      </c>
      <c r="D48" s="56" t="s">
        <v>21</v>
      </c>
      <c r="E48" s="56" t="s">
        <v>20</v>
      </c>
      <c r="F48" s="56" t="s">
        <v>84</v>
      </c>
      <c r="G48" s="56" t="s">
        <v>7</v>
      </c>
      <c r="H48" s="56" t="s">
        <v>83</v>
      </c>
      <c r="I48" s="61" t="s">
        <v>668</v>
      </c>
      <c r="J48" s="58" t="s">
        <v>669</v>
      </c>
      <c r="K48" s="59" t="s">
        <v>670</v>
      </c>
    </row>
    <row r="49" spans="1:11" x14ac:dyDescent="0.25">
      <c r="A49" s="55" t="s">
        <v>34</v>
      </c>
      <c r="B49" s="56" t="s">
        <v>35</v>
      </c>
      <c r="C49" s="56" t="s">
        <v>263</v>
      </c>
      <c r="D49" s="56" t="s">
        <v>15</v>
      </c>
      <c r="E49" s="56" t="s">
        <v>37</v>
      </c>
      <c r="F49" s="56" t="s">
        <v>45</v>
      </c>
      <c r="G49" s="56" t="s">
        <v>44</v>
      </c>
      <c r="H49" s="56" t="s">
        <v>43</v>
      </c>
      <c r="I49" s="61" t="s">
        <v>924</v>
      </c>
      <c r="J49" s="58" t="s">
        <v>925</v>
      </c>
      <c r="K49" s="59" t="s">
        <v>926</v>
      </c>
    </row>
    <row r="50" spans="1:11" x14ac:dyDescent="0.25">
      <c r="A50" s="55" t="s">
        <v>34</v>
      </c>
      <c r="B50" s="56" t="s">
        <v>35</v>
      </c>
      <c r="C50" s="56" t="s">
        <v>263</v>
      </c>
      <c r="D50" s="56" t="s">
        <v>11</v>
      </c>
      <c r="E50" s="56" t="s">
        <v>35</v>
      </c>
      <c r="F50" s="56" t="s">
        <v>45</v>
      </c>
      <c r="G50" s="56" t="s">
        <v>44</v>
      </c>
      <c r="H50" s="56" t="s">
        <v>43</v>
      </c>
      <c r="I50" s="61" t="s">
        <v>937</v>
      </c>
      <c r="J50" s="58" t="s">
        <v>938</v>
      </c>
      <c r="K50" s="59" t="s">
        <v>939</v>
      </c>
    </row>
    <row r="51" spans="1:11" x14ac:dyDescent="0.25">
      <c r="A51" s="55" t="s">
        <v>34</v>
      </c>
      <c r="B51" s="56" t="s">
        <v>35</v>
      </c>
      <c r="C51" s="56" t="s">
        <v>263</v>
      </c>
      <c r="D51" s="56" t="s">
        <v>17</v>
      </c>
      <c r="E51" s="56" t="s">
        <v>39</v>
      </c>
      <c r="F51" s="56" t="s">
        <v>45</v>
      </c>
      <c r="G51" s="56" t="s">
        <v>44</v>
      </c>
      <c r="H51" s="56" t="s">
        <v>43</v>
      </c>
      <c r="I51" s="61" t="s">
        <v>949</v>
      </c>
      <c r="J51" s="58" t="s">
        <v>950</v>
      </c>
      <c r="K51" s="59" t="s">
        <v>951</v>
      </c>
    </row>
    <row r="52" spans="1:11" x14ac:dyDescent="0.25">
      <c r="A52" s="55" t="s">
        <v>34</v>
      </c>
      <c r="B52" s="56" t="s">
        <v>35</v>
      </c>
      <c r="C52" s="56" t="s">
        <v>263</v>
      </c>
      <c r="D52" s="56" t="s">
        <v>19</v>
      </c>
      <c r="E52" s="56" t="s">
        <v>40</v>
      </c>
      <c r="F52" s="56" t="s">
        <v>45</v>
      </c>
      <c r="G52" s="56" t="s">
        <v>44</v>
      </c>
      <c r="H52" s="56" t="s">
        <v>43</v>
      </c>
      <c r="I52" s="61" t="s">
        <v>961</v>
      </c>
      <c r="J52" s="58" t="s">
        <v>962</v>
      </c>
      <c r="K52" s="59" t="s">
        <v>963</v>
      </c>
    </row>
    <row r="53" spans="1:11" x14ac:dyDescent="0.25">
      <c r="A53" s="55" t="s">
        <v>34</v>
      </c>
      <c r="B53" s="56" t="s">
        <v>35</v>
      </c>
      <c r="C53" s="56" t="s">
        <v>263</v>
      </c>
      <c r="D53" s="56" t="s">
        <v>13</v>
      </c>
      <c r="E53" s="56" t="s">
        <v>36</v>
      </c>
      <c r="F53" s="56" t="s">
        <v>45</v>
      </c>
      <c r="G53" s="56" t="s">
        <v>44</v>
      </c>
      <c r="H53" s="56" t="s">
        <v>43</v>
      </c>
      <c r="I53" s="61" t="s">
        <v>973</v>
      </c>
      <c r="J53" s="58" t="s">
        <v>974</v>
      </c>
      <c r="K53" s="59" t="s">
        <v>975</v>
      </c>
    </row>
    <row r="54" spans="1:11" x14ac:dyDescent="0.25">
      <c r="A54" s="55" t="s">
        <v>34</v>
      </c>
      <c r="B54" s="56" t="s">
        <v>35</v>
      </c>
      <c r="C54" s="56" t="s">
        <v>263</v>
      </c>
      <c r="D54" s="56" t="s">
        <v>23</v>
      </c>
      <c r="E54" s="56" t="s">
        <v>41</v>
      </c>
      <c r="F54" s="56" t="s">
        <v>45</v>
      </c>
      <c r="G54" s="56" t="s">
        <v>44</v>
      </c>
      <c r="H54" s="56" t="s">
        <v>43</v>
      </c>
      <c r="I54" s="61" t="s">
        <v>985</v>
      </c>
      <c r="J54" s="58" t="s">
        <v>986</v>
      </c>
      <c r="K54" s="59" t="s">
        <v>987</v>
      </c>
    </row>
    <row r="55" spans="1:11" x14ac:dyDescent="0.25">
      <c r="A55" s="55" t="s">
        <v>34</v>
      </c>
      <c r="B55" s="56" t="s">
        <v>35</v>
      </c>
      <c r="C55" s="56" t="s">
        <v>263</v>
      </c>
      <c r="D55" s="56" t="s">
        <v>32</v>
      </c>
      <c r="E55" s="56" t="s">
        <v>38</v>
      </c>
      <c r="F55" s="56" t="s">
        <v>45</v>
      </c>
      <c r="G55" s="56" t="s">
        <v>44</v>
      </c>
      <c r="H55" s="56" t="s">
        <v>43</v>
      </c>
      <c r="I55" s="61" t="s">
        <v>997</v>
      </c>
      <c r="J55" s="58" t="s">
        <v>998</v>
      </c>
      <c r="K55" s="59" t="s">
        <v>999</v>
      </c>
    </row>
    <row r="56" spans="1:11" x14ac:dyDescent="0.25">
      <c r="A56" s="55" t="s">
        <v>34</v>
      </c>
      <c r="B56" s="56" t="s">
        <v>35</v>
      </c>
      <c r="C56" s="56" t="s">
        <v>263</v>
      </c>
      <c r="D56" s="56" t="s">
        <v>33</v>
      </c>
      <c r="E56" s="56" t="s">
        <v>42</v>
      </c>
      <c r="F56" s="56" t="s">
        <v>45</v>
      </c>
      <c r="G56" s="56" t="s">
        <v>44</v>
      </c>
      <c r="H56" s="56" t="s">
        <v>43</v>
      </c>
      <c r="I56" s="61" t="s">
        <v>1009</v>
      </c>
      <c r="J56" s="58" t="s">
        <v>1010</v>
      </c>
      <c r="K56" s="59" t="s">
        <v>1011</v>
      </c>
    </row>
    <row r="57" spans="1:11" x14ac:dyDescent="0.25">
      <c r="A57" s="55" t="s">
        <v>34</v>
      </c>
      <c r="B57" s="56" t="s">
        <v>35</v>
      </c>
      <c r="C57" s="56" t="s">
        <v>263</v>
      </c>
      <c r="D57" s="56" t="s">
        <v>15</v>
      </c>
      <c r="E57" s="56" t="s">
        <v>37</v>
      </c>
      <c r="F57" s="56" t="s">
        <v>48</v>
      </c>
      <c r="G57" s="56" t="s">
        <v>47</v>
      </c>
      <c r="H57" s="56" t="s">
        <v>46</v>
      </c>
      <c r="I57" s="61" t="s">
        <v>1021</v>
      </c>
      <c r="J57" s="58" t="s">
        <v>1022</v>
      </c>
      <c r="K57" s="59" t="s">
        <v>1023</v>
      </c>
    </row>
    <row r="58" spans="1:11" x14ac:dyDescent="0.25">
      <c r="A58" s="55" t="s">
        <v>34</v>
      </c>
      <c r="B58" s="56" t="s">
        <v>35</v>
      </c>
      <c r="C58" s="56" t="s">
        <v>263</v>
      </c>
      <c r="D58" s="56" t="s">
        <v>11</v>
      </c>
      <c r="E58" s="56" t="s">
        <v>35</v>
      </c>
      <c r="F58" s="56" t="s">
        <v>48</v>
      </c>
      <c r="G58" s="56" t="s">
        <v>47</v>
      </c>
      <c r="H58" s="56" t="s">
        <v>46</v>
      </c>
      <c r="I58" s="61" t="s">
        <v>1034</v>
      </c>
      <c r="J58" s="58" t="s">
        <v>1035</v>
      </c>
      <c r="K58" s="59" t="s">
        <v>1036</v>
      </c>
    </row>
    <row r="59" spans="1:11" x14ac:dyDescent="0.25">
      <c r="A59" s="55" t="s">
        <v>34</v>
      </c>
      <c r="B59" s="56" t="s">
        <v>35</v>
      </c>
      <c r="C59" s="56" t="s">
        <v>263</v>
      </c>
      <c r="D59" s="56" t="s">
        <v>17</v>
      </c>
      <c r="E59" s="56" t="s">
        <v>39</v>
      </c>
      <c r="F59" s="56" t="s">
        <v>48</v>
      </c>
      <c r="G59" s="56" t="s">
        <v>47</v>
      </c>
      <c r="H59" s="56" t="s">
        <v>46</v>
      </c>
      <c r="I59" s="61" t="s">
        <v>1046</v>
      </c>
      <c r="J59" s="58" t="s">
        <v>1047</v>
      </c>
      <c r="K59" s="59" t="s">
        <v>1048</v>
      </c>
    </row>
    <row r="60" spans="1:11" x14ac:dyDescent="0.25">
      <c r="A60" s="55" t="s">
        <v>34</v>
      </c>
      <c r="B60" s="56" t="s">
        <v>35</v>
      </c>
      <c r="C60" s="56" t="s">
        <v>263</v>
      </c>
      <c r="D60" s="56" t="s">
        <v>19</v>
      </c>
      <c r="E60" s="56" t="s">
        <v>40</v>
      </c>
      <c r="F60" s="56" t="s">
        <v>48</v>
      </c>
      <c r="G60" s="56" t="s">
        <v>47</v>
      </c>
      <c r="H60" s="56" t="s">
        <v>46</v>
      </c>
      <c r="I60" s="61" t="s">
        <v>1058</v>
      </c>
      <c r="J60" s="58" t="s">
        <v>1059</v>
      </c>
      <c r="K60" s="59" t="s">
        <v>1060</v>
      </c>
    </row>
    <row r="61" spans="1:11" x14ac:dyDescent="0.25">
      <c r="A61" s="55" t="s">
        <v>34</v>
      </c>
      <c r="B61" s="56" t="s">
        <v>35</v>
      </c>
      <c r="C61" s="56" t="s">
        <v>263</v>
      </c>
      <c r="D61" s="56" t="s">
        <v>13</v>
      </c>
      <c r="E61" s="56" t="s">
        <v>36</v>
      </c>
      <c r="F61" s="56" t="s">
        <v>48</v>
      </c>
      <c r="G61" s="56" t="s">
        <v>47</v>
      </c>
      <c r="H61" s="56" t="s">
        <v>46</v>
      </c>
      <c r="I61" s="61" t="s">
        <v>1070</v>
      </c>
      <c r="J61" s="58" t="s">
        <v>1071</v>
      </c>
      <c r="K61" s="59" t="s">
        <v>1072</v>
      </c>
    </row>
    <row r="62" spans="1:11" x14ac:dyDescent="0.25">
      <c r="A62" s="55" t="s">
        <v>34</v>
      </c>
      <c r="B62" s="56" t="s">
        <v>35</v>
      </c>
      <c r="C62" s="56" t="s">
        <v>263</v>
      </c>
      <c r="D62" s="56" t="s">
        <v>23</v>
      </c>
      <c r="E62" s="56" t="s">
        <v>41</v>
      </c>
      <c r="F62" s="56" t="s">
        <v>48</v>
      </c>
      <c r="G62" s="56" t="s">
        <v>47</v>
      </c>
      <c r="H62" s="56" t="s">
        <v>46</v>
      </c>
      <c r="I62" s="61" t="s">
        <v>1082</v>
      </c>
      <c r="J62" s="58" t="s">
        <v>1083</v>
      </c>
      <c r="K62" s="59" t="s">
        <v>1084</v>
      </c>
    </row>
    <row r="63" spans="1:11" x14ac:dyDescent="0.25">
      <c r="A63" s="55" t="s">
        <v>34</v>
      </c>
      <c r="B63" s="56" t="s">
        <v>35</v>
      </c>
      <c r="C63" s="56" t="s">
        <v>263</v>
      </c>
      <c r="D63" s="56" t="s">
        <v>32</v>
      </c>
      <c r="E63" s="56" t="s">
        <v>38</v>
      </c>
      <c r="F63" s="56" t="s">
        <v>48</v>
      </c>
      <c r="G63" s="56" t="s">
        <v>47</v>
      </c>
      <c r="H63" s="56" t="s">
        <v>46</v>
      </c>
      <c r="I63" s="61" t="s">
        <v>1094</v>
      </c>
      <c r="J63" s="58" t="s">
        <v>1095</v>
      </c>
      <c r="K63" s="59" t="s">
        <v>1096</v>
      </c>
    </row>
    <row r="64" spans="1:11" x14ac:dyDescent="0.25">
      <c r="A64" s="55" t="s">
        <v>34</v>
      </c>
      <c r="B64" s="56" t="s">
        <v>35</v>
      </c>
      <c r="C64" s="56" t="s">
        <v>263</v>
      </c>
      <c r="D64" s="56" t="s">
        <v>33</v>
      </c>
      <c r="E64" s="56" t="s">
        <v>42</v>
      </c>
      <c r="F64" s="56" t="s">
        <v>48</v>
      </c>
      <c r="G64" s="56" t="s">
        <v>47</v>
      </c>
      <c r="H64" s="56" t="s">
        <v>46</v>
      </c>
      <c r="I64" s="61" t="s">
        <v>1106</v>
      </c>
      <c r="J64" s="58" t="s">
        <v>1107</v>
      </c>
      <c r="K64" s="59" t="s">
        <v>1108</v>
      </c>
    </row>
    <row r="65" spans="1:11" x14ac:dyDescent="0.25">
      <c r="A65" s="55" t="s">
        <v>34</v>
      </c>
      <c r="B65" s="56" t="s">
        <v>35</v>
      </c>
      <c r="C65" s="56" t="s">
        <v>263</v>
      </c>
      <c r="D65" s="56" t="s">
        <v>15</v>
      </c>
      <c r="E65" s="56" t="s">
        <v>37</v>
      </c>
      <c r="F65" s="56" t="s">
        <v>51</v>
      </c>
      <c r="G65" s="56" t="s">
        <v>50</v>
      </c>
      <c r="H65" s="56" t="s">
        <v>49</v>
      </c>
      <c r="I65" s="61" t="s">
        <v>1118</v>
      </c>
      <c r="J65" s="58" t="s">
        <v>1119</v>
      </c>
      <c r="K65" s="59" t="s">
        <v>1120</v>
      </c>
    </row>
    <row r="66" spans="1:11" x14ac:dyDescent="0.25">
      <c r="A66" s="55" t="s">
        <v>34</v>
      </c>
      <c r="B66" s="56" t="s">
        <v>35</v>
      </c>
      <c r="C66" s="56" t="s">
        <v>263</v>
      </c>
      <c r="D66" s="56" t="s">
        <v>11</v>
      </c>
      <c r="E66" s="56" t="s">
        <v>35</v>
      </c>
      <c r="F66" s="56" t="s">
        <v>51</v>
      </c>
      <c r="G66" s="56" t="s">
        <v>50</v>
      </c>
      <c r="H66" s="56" t="s">
        <v>49</v>
      </c>
      <c r="I66" s="61" t="s">
        <v>1130</v>
      </c>
      <c r="J66" s="58" t="s">
        <v>1131</v>
      </c>
      <c r="K66" s="59" t="s">
        <v>1132</v>
      </c>
    </row>
    <row r="67" spans="1:11" x14ac:dyDescent="0.25">
      <c r="A67" s="55" t="s">
        <v>34</v>
      </c>
      <c r="B67" s="56" t="s">
        <v>35</v>
      </c>
      <c r="C67" s="56" t="s">
        <v>263</v>
      </c>
      <c r="D67" s="56" t="s">
        <v>17</v>
      </c>
      <c r="E67" s="56" t="s">
        <v>39</v>
      </c>
      <c r="F67" s="56" t="s">
        <v>51</v>
      </c>
      <c r="G67" s="56" t="s">
        <v>50</v>
      </c>
      <c r="H67" s="56" t="s">
        <v>49</v>
      </c>
      <c r="I67" s="61" t="s">
        <v>1142</v>
      </c>
      <c r="J67" s="58" t="s">
        <v>1143</v>
      </c>
      <c r="K67" s="59" t="s">
        <v>1144</v>
      </c>
    </row>
    <row r="68" spans="1:11" x14ac:dyDescent="0.25">
      <c r="A68" s="55" t="s">
        <v>34</v>
      </c>
      <c r="B68" s="56" t="s">
        <v>35</v>
      </c>
      <c r="C68" s="56" t="s">
        <v>263</v>
      </c>
      <c r="D68" s="56" t="s">
        <v>19</v>
      </c>
      <c r="E68" s="56" t="s">
        <v>40</v>
      </c>
      <c r="F68" s="56" t="s">
        <v>51</v>
      </c>
      <c r="G68" s="56" t="s">
        <v>50</v>
      </c>
      <c r="H68" s="56" t="s">
        <v>49</v>
      </c>
      <c r="I68" s="61" t="s">
        <v>1154</v>
      </c>
      <c r="J68" s="58" t="s">
        <v>1155</v>
      </c>
      <c r="K68" s="59" t="s">
        <v>1156</v>
      </c>
    </row>
    <row r="69" spans="1:11" x14ac:dyDescent="0.25">
      <c r="A69" s="55" t="s">
        <v>34</v>
      </c>
      <c r="B69" s="56" t="s">
        <v>35</v>
      </c>
      <c r="C69" s="56" t="s">
        <v>263</v>
      </c>
      <c r="D69" s="56" t="s">
        <v>13</v>
      </c>
      <c r="E69" s="56" t="s">
        <v>36</v>
      </c>
      <c r="F69" s="56" t="s">
        <v>51</v>
      </c>
      <c r="G69" s="56" t="s">
        <v>50</v>
      </c>
      <c r="H69" s="56" t="s">
        <v>49</v>
      </c>
      <c r="I69" s="61" t="s">
        <v>1166</v>
      </c>
      <c r="J69" s="58" t="s">
        <v>1167</v>
      </c>
      <c r="K69" s="59" t="s">
        <v>1168</v>
      </c>
    </row>
    <row r="70" spans="1:11" x14ac:dyDescent="0.25">
      <c r="A70" s="55" t="s">
        <v>34</v>
      </c>
      <c r="B70" s="56" t="s">
        <v>35</v>
      </c>
      <c r="C70" s="56" t="s">
        <v>263</v>
      </c>
      <c r="D70" s="56" t="s">
        <v>23</v>
      </c>
      <c r="E70" s="56" t="s">
        <v>41</v>
      </c>
      <c r="F70" s="56" t="s">
        <v>51</v>
      </c>
      <c r="G70" s="56" t="s">
        <v>50</v>
      </c>
      <c r="H70" s="56" t="s">
        <v>49</v>
      </c>
      <c r="I70" s="61" t="s">
        <v>1178</v>
      </c>
      <c r="J70" s="58" t="s">
        <v>1179</v>
      </c>
      <c r="K70" s="59" t="s">
        <v>1180</v>
      </c>
    </row>
    <row r="71" spans="1:11" x14ac:dyDescent="0.25">
      <c r="A71" s="55" t="s">
        <v>34</v>
      </c>
      <c r="B71" s="56" t="s">
        <v>35</v>
      </c>
      <c r="C71" s="56" t="s">
        <v>263</v>
      </c>
      <c r="D71" s="56" t="s">
        <v>32</v>
      </c>
      <c r="E71" s="56" t="s">
        <v>38</v>
      </c>
      <c r="F71" s="56" t="s">
        <v>51</v>
      </c>
      <c r="G71" s="56" t="s">
        <v>50</v>
      </c>
      <c r="H71" s="56" t="s">
        <v>49</v>
      </c>
      <c r="I71" s="61" t="s">
        <v>1190</v>
      </c>
      <c r="J71" s="58" t="s">
        <v>1191</v>
      </c>
      <c r="K71" s="59" t="s">
        <v>1192</v>
      </c>
    </row>
    <row r="72" spans="1:11" x14ac:dyDescent="0.25">
      <c r="A72" s="55" t="s">
        <v>34</v>
      </c>
      <c r="B72" s="56" t="s">
        <v>35</v>
      </c>
      <c r="C72" s="56" t="s">
        <v>263</v>
      </c>
      <c r="D72" s="56" t="s">
        <v>33</v>
      </c>
      <c r="E72" s="56" t="s">
        <v>42</v>
      </c>
      <c r="F72" s="56" t="s">
        <v>51</v>
      </c>
      <c r="G72" s="56" t="s">
        <v>50</v>
      </c>
      <c r="H72" s="56" t="s">
        <v>49</v>
      </c>
      <c r="I72" s="61" t="s">
        <v>1202</v>
      </c>
      <c r="J72" s="58" t="s">
        <v>1203</v>
      </c>
      <c r="K72" s="59" t="s">
        <v>1204</v>
      </c>
    </row>
    <row r="73" spans="1:11" x14ac:dyDescent="0.25">
      <c r="A73" s="55" t="s">
        <v>34</v>
      </c>
      <c r="B73" s="56" t="s">
        <v>35</v>
      </c>
      <c r="C73" s="56" t="s">
        <v>263</v>
      </c>
      <c r="D73" s="56" t="s">
        <v>15</v>
      </c>
      <c r="E73" s="56" t="s">
        <v>37</v>
      </c>
      <c r="F73" s="56" t="s">
        <v>29</v>
      </c>
      <c r="G73" s="56" t="s">
        <v>28</v>
      </c>
      <c r="H73" s="56" t="s">
        <v>27</v>
      </c>
      <c r="I73" s="61" t="s">
        <v>1214</v>
      </c>
      <c r="J73" s="58" t="s">
        <v>1215</v>
      </c>
      <c r="K73" s="59" t="s">
        <v>1216</v>
      </c>
    </row>
    <row r="74" spans="1:11" x14ac:dyDescent="0.25">
      <c r="A74" s="55" t="s">
        <v>34</v>
      </c>
      <c r="B74" s="56" t="s">
        <v>35</v>
      </c>
      <c r="C74" s="56" t="s">
        <v>263</v>
      </c>
      <c r="D74" s="56" t="s">
        <v>11</v>
      </c>
      <c r="E74" s="56" t="s">
        <v>35</v>
      </c>
      <c r="F74" s="56" t="s">
        <v>29</v>
      </c>
      <c r="G74" s="56" t="s">
        <v>28</v>
      </c>
      <c r="H74" s="56" t="s">
        <v>27</v>
      </c>
      <c r="I74" s="61" t="s">
        <v>1226</v>
      </c>
      <c r="J74" s="58" t="s">
        <v>1227</v>
      </c>
      <c r="K74" s="59" t="s">
        <v>1228</v>
      </c>
    </row>
    <row r="75" spans="1:11" x14ac:dyDescent="0.25">
      <c r="A75" s="55" t="s">
        <v>34</v>
      </c>
      <c r="B75" s="56" t="s">
        <v>35</v>
      </c>
      <c r="C75" s="56" t="s">
        <v>263</v>
      </c>
      <c r="D75" s="56" t="s">
        <v>17</v>
      </c>
      <c r="E75" s="56" t="s">
        <v>39</v>
      </c>
      <c r="F75" s="56" t="s">
        <v>29</v>
      </c>
      <c r="G75" s="56" t="s">
        <v>28</v>
      </c>
      <c r="H75" s="56" t="s">
        <v>27</v>
      </c>
      <c r="I75" s="61" t="s">
        <v>1238</v>
      </c>
      <c r="J75" s="58" t="s">
        <v>1239</v>
      </c>
      <c r="K75" s="59" t="s">
        <v>1240</v>
      </c>
    </row>
    <row r="76" spans="1:11" x14ac:dyDescent="0.25">
      <c r="A76" s="55" t="s">
        <v>34</v>
      </c>
      <c r="B76" s="56" t="s">
        <v>35</v>
      </c>
      <c r="C76" s="56" t="s">
        <v>263</v>
      </c>
      <c r="D76" s="56" t="s">
        <v>19</v>
      </c>
      <c r="E76" s="56" t="s">
        <v>40</v>
      </c>
      <c r="F76" s="56" t="s">
        <v>29</v>
      </c>
      <c r="G76" s="56" t="s">
        <v>28</v>
      </c>
      <c r="H76" s="56" t="s">
        <v>27</v>
      </c>
      <c r="I76" s="61" t="s">
        <v>1250</v>
      </c>
      <c r="J76" s="58" t="s">
        <v>1251</v>
      </c>
      <c r="K76" s="59" t="s">
        <v>1252</v>
      </c>
    </row>
    <row r="77" spans="1:11" x14ac:dyDescent="0.25">
      <c r="A77" s="55" t="s">
        <v>34</v>
      </c>
      <c r="B77" s="56" t="s">
        <v>35</v>
      </c>
      <c r="C77" s="56" t="s">
        <v>263</v>
      </c>
      <c r="D77" s="56" t="s">
        <v>13</v>
      </c>
      <c r="E77" s="56" t="s">
        <v>36</v>
      </c>
      <c r="F77" s="56" t="s">
        <v>29</v>
      </c>
      <c r="G77" s="56" t="s">
        <v>28</v>
      </c>
      <c r="H77" s="56" t="s">
        <v>27</v>
      </c>
      <c r="I77" s="61" t="s">
        <v>1262</v>
      </c>
      <c r="J77" s="58" t="s">
        <v>1263</v>
      </c>
      <c r="K77" s="59" t="s">
        <v>1264</v>
      </c>
    </row>
    <row r="78" spans="1:11" x14ac:dyDescent="0.25">
      <c r="A78" s="55" t="s">
        <v>34</v>
      </c>
      <c r="B78" s="56" t="s">
        <v>35</v>
      </c>
      <c r="C78" s="56" t="s">
        <v>263</v>
      </c>
      <c r="D78" s="56" t="s">
        <v>23</v>
      </c>
      <c r="E78" s="56" t="s">
        <v>41</v>
      </c>
      <c r="F78" s="56" t="s">
        <v>29</v>
      </c>
      <c r="G78" s="56" t="s">
        <v>28</v>
      </c>
      <c r="H78" s="56" t="s">
        <v>27</v>
      </c>
      <c r="I78" s="61" t="s">
        <v>1274</v>
      </c>
      <c r="J78" s="58" t="s">
        <v>1275</v>
      </c>
      <c r="K78" s="59" t="s">
        <v>1276</v>
      </c>
    </row>
    <row r="79" spans="1:11" x14ac:dyDescent="0.25">
      <c r="A79" s="55" t="s">
        <v>34</v>
      </c>
      <c r="B79" s="56" t="s">
        <v>35</v>
      </c>
      <c r="C79" s="56" t="s">
        <v>263</v>
      </c>
      <c r="D79" s="56" t="s">
        <v>32</v>
      </c>
      <c r="E79" s="56" t="s">
        <v>38</v>
      </c>
      <c r="F79" s="56" t="s">
        <v>29</v>
      </c>
      <c r="G79" s="56" t="s">
        <v>28</v>
      </c>
      <c r="H79" s="56" t="s">
        <v>27</v>
      </c>
      <c r="I79" s="61" t="s">
        <v>1286</v>
      </c>
      <c r="J79" s="58" t="s">
        <v>1287</v>
      </c>
      <c r="K79" s="59" t="s">
        <v>1288</v>
      </c>
    </row>
    <row r="80" spans="1:11" x14ac:dyDescent="0.25">
      <c r="A80" s="55" t="s">
        <v>34</v>
      </c>
      <c r="B80" s="56" t="s">
        <v>35</v>
      </c>
      <c r="C80" s="56" t="s">
        <v>263</v>
      </c>
      <c r="D80" s="56" t="s">
        <v>33</v>
      </c>
      <c r="E80" s="56" t="s">
        <v>42</v>
      </c>
      <c r="F80" s="56" t="s">
        <v>29</v>
      </c>
      <c r="G80" s="56" t="s">
        <v>28</v>
      </c>
      <c r="H80" s="56" t="s">
        <v>27</v>
      </c>
      <c r="I80" s="61" t="s">
        <v>1298</v>
      </c>
      <c r="J80" s="58" t="s">
        <v>1299</v>
      </c>
      <c r="K80" s="59" t="s">
        <v>1300</v>
      </c>
    </row>
    <row r="81" spans="1:11" x14ac:dyDescent="0.25">
      <c r="A81" s="55" t="s">
        <v>34</v>
      </c>
      <c r="B81" s="56" t="s">
        <v>35</v>
      </c>
      <c r="C81" s="56" t="s">
        <v>263</v>
      </c>
      <c r="D81" s="56" t="s">
        <v>15</v>
      </c>
      <c r="E81" s="56" t="s">
        <v>37</v>
      </c>
      <c r="F81" s="56" t="s">
        <v>54</v>
      </c>
      <c r="G81" s="56" t="s">
        <v>53</v>
      </c>
      <c r="H81" s="56" t="s">
        <v>52</v>
      </c>
      <c r="I81" s="61" t="s">
        <v>1310</v>
      </c>
      <c r="J81" s="58" t="s">
        <v>1311</v>
      </c>
      <c r="K81" s="59" t="s">
        <v>1312</v>
      </c>
    </row>
    <row r="82" spans="1:11" x14ac:dyDescent="0.25">
      <c r="A82" s="55" t="s">
        <v>34</v>
      </c>
      <c r="B82" s="56" t="s">
        <v>35</v>
      </c>
      <c r="C82" s="56" t="s">
        <v>263</v>
      </c>
      <c r="D82" s="56" t="s">
        <v>11</v>
      </c>
      <c r="E82" s="56" t="s">
        <v>35</v>
      </c>
      <c r="F82" s="56" t="s">
        <v>54</v>
      </c>
      <c r="G82" s="56" t="s">
        <v>53</v>
      </c>
      <c r="H82" s="56" t="s">
        <v>52</v>
      </c>
      <c r="I82" s="61" t="s">
        <v>1322</v>
      </c>
      <c r="J82" s="58" t="s">
        <v>1323</v>
      </c>
      <c r="K82" s="59" t="s">
        <v>1324</v>
      </c>
    </row>
    <row r="83" spans="1:11" x14ac:dyDescent="0.25">
      <c r="A83" s="55" t="s">
        <v>34</v>
      </c>
      <c r="B83" s="56" t="s">
        <v>35</v>
      </c>
      <c r="C83" s="56" t="s">
        <v>263</v>
      </c>
      <c r="D83" s="56" t="s">
        <v>17</v>
      </c>
      <c r="E83" s="56" t="s">
        <v>39</v>
      </c>
      <c r="F83" s="56" t="s">
        <v>54</v>
      </c>
      <c r="G83" s="56" t="s">
        <v>53</v>
      </c>
      <c r="H83" s="56" t="s">
        <v>52</v>
      </c>
      <c r="I83" s="61" t="s">
        <v>1334</v>
      </c>
      <c r="J83" s="58" t="s">
        <v>1335</v>
      </c>
      <c r="K83" s="59" t="s">
        <v>1336</v>
      </c>
    </row>
    <row r="84" spans="1:11" x14ac:dyDescent="0.25">
      <c r="A84" s="55" t="s">
        <v>34</v>
      </c>
      <c r="B84" s="56" t="s">
        <v>35</v>
      </c>
      <c r="C84" s="56" t="s">
        <v>263</v>
      </c>
      <c r="D84" s="56" t="s">
        <v>19</v>
      </c>
      <c r="E84" s="56" t="s">
        <v>40</v>
      </c>
      <c r="F84" s="56" t="s">
        <v>54</v>
      </c>
      <c r="G84" s="56" t="s">
        <v>53</v>
      </c>
      <c r="H84" s="56" t="s">
        <v>52</v>
      </c>
      <c r="I84" s="61" t="s">
        <v>1346</v>
      </c>
      <c r="J84" s="58" t="s">
        <v>1347</v>
      </c>
      <c r="K84" s="59" t="s">
        <v>1348</v>
      </c>
    </row>
    <row r="85" spans="1:11" x14ac:dyDescent="0.25">
      <c r="A85" s="55" t="s">
        <v>34</v>
      </c>
      <c r="B85" s="56" t="s">
        <v>35</v>
      </c>
      <c r="C85" s="56" t="s">
        <v>263</v>
      </c>
      <c r="D85" s="56" t="s">
        <v>13</v>
      </c>
      <c r="E85" s="56" t="s">
        <v>36</v>
      </c>
      <c r="F85" s="56" t="s">
        <v>54</v>
      </c>
      <c r="G85" s="56" t="s">
        <v>53</v>
      </c>
      <c r="H85" s="56" t="s">
        <v>52</v>
      </c>
      <c r="I85" s="61" t="s">
        <v>1358</v>
      </c>
      <c r="J85" s="58" t="s">
        <v>1359</v>
      </c>
      <c r="K85" s="59" t="s">
        <v>1360</v>
      </c>
    </row>
    <row r="86" spans="1:11" x14ac:dyDescent="0.25">
      <c r="A86" s="55" t="s">
        <v>34</v>
      </c>
      <c r="B86" s="56" t="s">
        <v>35</v>
      </c>
      <c r="C86" s="56" t="s">
        <v>263</v>
      </c>
      <c r="D86" s="56" t="s">
        <v>23</v>
      </c>
      <c r="E86" s="56" t="s">
        <v>41</v>
      </c>
      <c r="F86" s="56" t="s">
        <v>54</v>
      </c>
      <c r="G86" s="56" t="s">
        <v>53</v>
      </c>
      <c r="H86" s="56" t="s">
        <v>52</v>
      </c>
      <c r="I86" s="61" t="s">
        <v>1370</v>
      </c>
      <c r="J86" s="58" t="s">
        <v>1371</v>
      </c>
      <c r="K86" s="59" t="s">
        <v>1372</v>
      </c>
    </row>
    <row r="87" spans="1:11" x14ac:dyDescent="0.25">
      <c r="A87" s="55" t="s">
        <v>34</v>
      </c>
      <c r="B87" s="56" t="s">
        <v>35</v>
      </c>
      <c r="C87" s="56" t="s">
        <v>263</v>
      </c>
      <c r="D87" s="56" t="s">
        <v>32</v>
      </c>
      <c r="E87" s="56" t="s">
        <v>38</v>
      </c>
      <c r="F87" s="56" t="s">
        <v>54</v>
      </c>
      <c r="G87" s="56" t="s">
        <v>53</v>
      </c>
      <c r="H87" s="56" t="s">
        <v>52</v>
      </c>
      <c r="I87" s="61" t="s">
        <v>1382</v>
      </c>
      <c r="J87" s="58" t="s">
        <v>1383</v>
      </c>
      <c r="K87" s="59" t="s">
        <v>1384</v>
      </c>
    </row>
    <row r="88" spans="1:11" x14ac:dyDescent="0.25">
      <c r="A88" s="55" t="s">
        <v>34</v>
      </c>
      <c r="B88" s="56" t="s">
        <v>35</v>
      </c>
      <c r="C88" s="56" t="s">
        <v>263</v>
      </c>
      <c r="D88" s="56" t="s">
        <v>33</v>
      </c>
      <c r="E88" s="56" t="s">
        <v>42</v>
      </c>
      <c r="F88" s="56" t="s">
        <v>54</v>
      </c>
      <c r="G88" s="56" t="s">
        <v>53</v>
      </c>
      <c r="H88" s="56" t="s">
        <v>52</v>
      </c>
      <c r="I88" s="61" t="s">
        <v>1394</v>
      </c>
      <c r="J88" s="58" t="s">
        <v>1395</v>
      </c>
      <c r="K88" s="59" t="s">
        <v>1396</v>
      </c>
    </row>
    <row r="89" spans="1:11" x14ac:dyDescent="0.25">
      <c r="A89" s="55" t="s">
        <v>34</v>
      </c>
      <c r="B89" s="56" t="s">
        <v>35</v>
      </c>
      <c r="C89" s="56" t="s">
        <v>263</v>
      </c>
      <c r="D89" s="56" t="s">
        <v>15</v>
      </c>
      <c r="E89" s="56" t="s">
        <v>37</v>
      </c>
      <c r="F89" s="56" t="s">
        <v>105</v>
      </c>
      <c r="G89" s="56" t="s">
        <v>104</v>
      </c>
      <c r="H89" s="56" t="s">
        <v>99</v>
      </c>
      <c r="I89" s="61" t="s">
        <v>1406</v>
      </c>
      <c r="J89" s="58" t="s">
        <v>1407</v>
      </c>
      <c r="K89" s="59" t="s">
        <v>583</v>
      </c>
    </row>
    <row r="90" spans="1:11" x14ac:dyDescent="0.25">
      <c r="A90" s="55" t="s">
        <v>34</v>
      </c>
      <c r="B90" s="56" t="s">
        <v>35</v>
      </c>
      <c r="C90" s="56" t="s">
        <v>263</v>
      </c>
      <c r="D90" s="56" t="s">
        <v>11</v>
      </c>
      <c r="E90" s="56" t="s">
        <v>35</v>
      </c>
      <c r="F90" s="56" t="s">
        <v>105</v>
      </c>
      <c r="G90" s="56" t="s">
        <v>104</v>
      </c>
      <c r="H90" s="56" t="s">
        <v>99</v>
      </c>
      <c r="I90" s="61" t="s">
        <v>1415</v>
      </c>
      <c r="J90" s="58" t="s">
        <v>1416</v>
      </c>
      <c r="K90" s="59" t="s">
        <v>296</v>
      </c>
    </row>
    <row r="91" spans="1:11" x14ac:dyDescent="0.25">
      <c r="A91" s="55" t="s">
        <v>34</v>
      </c>
      <c r="B91" s="56" t="s">
        <v>35</v>
      </c>
      <c r="C91" s="56" t="s">
        <v>263</v>
      </c>
      <c r="D91" s="56" t="s">
        <v>17</v>
      </c>
      <c r="E91" s="56" t="s">
        <v>39</v>
      </c>
      <c r="F91" s="56" t="s">
        <v>105</v>
      </c>
      <c r="G91" s="56" t="s">
        <v>104</v>
      </c>
      <c r="H91" s="56" t="s">
        <v>99</v>
      </c>
      <c r="I91" s="61" t="s">
        <v>1424</v>
      </c>
      <c r="J91" s="58" t="s">
        <v>1425</v>
      </c>
      <c r="K91" s="59" t="s">
        <v>613</v>
      </c>
    </row>
    <row r="92" spans="1:11" x14ac:dyDescent="0.25">
      <c r="A92" s="55" t="s">
        <v>34</v>
      </c>
      <c r="B92" s="56" t="s">
        <v>35</v>
      </c>
      <c r="C92" s="56" t="s">
        <v>263</v>
      </c>
      <c r="D92" s="56" t="s">
        <v>19</v>
      </c>
      <c r="E92" s="56" t="s">
        <v>40</v>
      </c>
      <c r="F92" s="56" t="s">
        <v>105</v>
      </c>
      <c r="G92" s="56" t="s">
        <v>104</v>
      </c>
      <c r="H92" s="56" t="s">
        <v>99</v>
      </c>
      <c r="I92" s="61" t="s">
        <v>1433</v>
      </c>
      <c r="J92" s="58" t="s">
        <v>1434</v>
      </c>
      <c r="K92" s="59" t="s">
        <v>652</v>
      </c>
    </row>
    <row r="93" spans="1:11" x14ac:dyDescent="0.25">
      <c r="A93" s="55" t="s">
        <v>34</v>
      </c>
      <c r="B93" s="56" t="s">
        <v>35</v>
      </c>
      <c r="C93" s="56" t="s">
        <v>263</v>
      </c>
      <c r="D93" s="56" t="s">
        <v>13</v>
      </c>
      <c r="E93" s="56" t="s">
        <v>36</v>
      </c>
      <c r="F93" s="56" t="s">
        <v>105</v>
      </c>
      <c r="G93" s="56" t="s">
        <v>104</v>
      </c>
      <c r="H93" s="56" t="s">
        <v>99</v>
      </c>
      <c r="I93" s="61" t="s">
        <v>1442</v>
      </c>
      <c r="J93" s="58" t="s">
        <v>1443</v>
      </c>
      <c r="K93" s="59" t="s">
        <v>598</v>
      </c>
    </row>
    <row r="94" spans="1:11" x14ac:dyDescent="0.25">
      <c r="A94" s="55" t="s">
        <v>34</v>
      </c>
      <c r="B94" s="56" t="s">
        <v>35</v>
      </c>
      <c r="C94" s="56" t="s">
        <v>263</v>
      </c>
      <c r="D94" s="56" t="s">
        <v>23</v>
      </c>
      <c r="E94" s="56" t="s">
        <v>41</v>
      </c>
      <c r="F94" s="56" t="s">
        <v>105</v>
      </c>
      <c r="G94" s="56" t="s">
        <v>104</v>
      </c>
      <c r="H94" s="56" t="s">
        <v>99</v>
      </c>
      <c r="I94" s="61" t="s">
        <v>1451</v>
      </c>
      <c r="J94" s="58" t="s">
        <v>1452</v>
      </c>
      <c r="K94" s="59" t="s">
        <v>628</v>
      </c>
    </row>
    <row r="95" spans="1:11" x14ac:dyDescent="0.25">
      <c r="A95" s="55" t="s">
        <v>34</v>
      </c>
      <c r="B95" s="56" t="s">
        <v>35</v>
      </c>
      <c r="C95" s="56" t="s">
        <v>263</v>
      </c>
      <c r="D95" s="56" t="s">
        <v>32</v>
      </c>
      <c r="E95" s="56" t="s">
        <v>38</v>
      </c>
      <c r="F95" s="56" t="s">
        <v>105</v>
      </c>
      <c r="G95" s="56" t="s">
        <v>104</v>
      </c>
      <c r="H95" s="56" t="s">
        <v>99</v>
      </c>
      <c r="I95" s="61" t="s">
        <v>1460</v>
      </c>
      <c r="J95" s="58" t="s">
        <v>1461</v>
      </c>
      <c r="K95" s="59" t="s">
        <v>1462</v>
      </c>
    </row>
    <row r="96" spans="1:11" x14ac:dyDescent="0.25">
      <c r="A96" s="55" t="s">
        <v>34</v>
      </c>
      <c r="B96" s="56" t="s">
        <v>35</v>
      </c>
      <c r="C96" s="56" t="s">
        <v>263</v>
      </c>
      <c r="D96" s="56" t="s">
        <v>33</v>
      </c>
      <c r="E96" s="56" t="s">
        <v>42</v>
      </c>
      <c r="F96" s="56" t="s">
        <v>105</v>
      </c>
      <c r="G96" s="56" t="s">
        <v>104</v>
      </c>
      <c r="H96" s="56" t="s">
        <v>99</v>
      </c>
      <c r="I96" s="61" t="s">
        <v>1472</v>
      </c>
      <c r="J96" s="58" t="s">
        <v>1473</v>
      </c>
      <c r="K96" s="59" t="s">
        <v>1474</v>
      </c>
    </row>
    <row r="97" spans="1:11" x14ac:dyDescent="0.25">
      <c r="A97" s="55" t="s">
        <v>55</v>
      </c>
      <c r="B97" s="56" t="s">
        <v>56</v>
      </c>
      <c r="C97" s="56" t="s">
        <v>263</v>
      </c>
      <c r="D97" s="56" t="s">
        <v>15</v>
      </c>
      <c r="E97" s="56" t="s">
        <v>58</v>
      </c>
      <c r="F97" s="56" t="s">
        <v>54</v>
      </c>
      <c r="G97" s="56" t="s">
        <v>53</v>
      </c>
      <c r="H97" s="56" t="s">
        <v>52</v>
      </c>
      <c r="I97" s="61" t="s">
        <v>1748</v>
      </c>
      <c r="J97" s="58" t="s">
        <v>1311</v>
      </c>
      <c r="K97" s="59" t="s">
        <v>1312</v>
      </c>
    </row>
    <row r="98" spans="1:11" x14ac:dyDescent="0.25">
      <c r="A98" s="55" t="s">
        <v>55</v>
      </c>
      <c r="B98" s="56" t="s">
        <v>56</v>
      </c>
      <c r="C98" s="56" t="s">
        <v>263</v>
      </c>
      <c r="D98" s="56" t="s">
        <v>11</v>
      </c>
      <c r="E98" s="56" t="s">
        <v>56</v>
      </c>
      <c r="F98" s="56" t="s">
        <v>54</v>
      </c>
      <c r="G98" s="56" t="s">
        <v>53</v>
      </c>
      <c r="H98" s="56" t="s">
        <v>52</v>
      </c>
      <c r="I98" s="61" t="s">
        <v>1752</v>
      </c>
      <c r="J98" s="58" t="s">
        <v>1323</v>
      </c>
      <c r="K98" s="59" t="s">
        <v>1324</v>
      </c>
    </row>
    <row r="99" spans="1:11" x14ac:dyDescent="0.25">
      <c r="A99" s="55" t="s">
        <v>55</v>
      </c>
      <c r="B99" s="56" t="s">
        <v>56</v>
      </c>
      <c r="C99" s="56" t="s">
        <v>263</v>
      </c>
      <c r="D99" s="56" t="s">
        <v>17</v>
      </c>
      <c r="E99" s="56" t="s">
        <v>60</v>
      </c>
      <c r="F99" s="56" t="s">
        <v>54</v>
      </c>
      <c r="G99" s="56" t="s">
        <v>53</v>
      </c>
      <c r="H99" s="56" t="s">
        <v>52</v>
      </c>
      <c r="I99" s="61" t="s">
        <v>1756</v>
      </c>
      <c r="J99" s="58" t="s">
        <v>1335</v>
      </c>
      <c r="K99" s="59" t="s">
        <v>1336</v>
      </c>
    </row>
    <row r="100" spans="1:11" x14ac:dyDescent="0.25">
      <c r="A100" s="55" t="s">
        <v>55</v>
      </c>
      <c r="B100" s="56" t="s">
        <v>56</v>
      </c>
      <c r="C100" s="56" t="s">
        <v>263</v>
      </c>
      <c r="D100" s="56" t="s">
        <v>19</v>
      </c>
      <c r="E100" s="56" t="s">
        <v>61</v>
      </c>
      <c r="F100" s="56" t="s">
        <v>54</v>
      </c>
      <c r="G100" s="56" t="s">
        <v>53</v>
      </c>
      <c r="H100" s="56" t="s">
        <v>52</v>
      </c>
      <c r="I100" s="61" t="s">
        <v>1760</v>
      </c>
      <c r="J100" s="58" t="s">
        <v>1347</v>
      </c>
      <c r="K100" s="59" t="s">
        <v>1348</v>
      </c>
    </row>
    <row r="101" spans="1:11" x14ac:dyDescent="0.25">
      <c r="A101" s="55" t="s">
        <v>55</v>
      </c>
      <c r="B101" s="56" t="s">
        <v>56</v>
      </c>
      <c r="C101" s="56" t="s">
        <v>263</v>
      </c>
      <c r="D101" s="56" t="s">
        <v>13</v>
      </c>
      <c r="E101" s="56" t="s">
        <v>57</v>
      </c>
      <c r="F101" s="56" t="s">
        <v>54</v>
      </c>
      <c r="G101" s="56" t="s">
        <v>53</v>
      </c>
      <c r="H101" s="56" t="s">
        <v>52</v>
      </c>
      <c r="I101" s="61" t="s">
        <v>1764</v>
      </c>
      <c r="J101" s="58" t="s">
        <v>1359</v>
      </c>
      <c r="K101" s="59" t="s">
        <v>1360</v>
      </c>
    </row>
    <row r="102" spans="1:11" x14ac:dyDescent="0.25">
      <c r="A102" s="55" t="s">
        <v>55</v>
      </c>
      <c r="B102" s="56" t="s">
        <v>56</v>
      </c>
      <c r="C102" s="56" t="s">
        <v>263</v>
      </c>
      <c r="D102" s="56" t="s">
        <v>23</v>
      </c>
      <c r="E102" s="56" t="s">
        <v>62</v>
      </c>
      <c r="F102" s="56" t="s">
        <v>54</v>
      </c>
      <c r="G102" s="56" t="s">
        <v>53</v>
      </c>
      <c r="H102" s="56" t="s">
        <v>52</v>
      </c>
      <c r="I102" s="61" t="s">
        <v>1768</v>
      </c>
      <c r="J102" s="58" t="s">
        <v>1371</v>
      </c>
      <c r="K102" s="59" t="s">
        <v>1372</v>
      </c>
    </row>
    <row r="103" spans="1:11" x14ac:dyDescent="0.25">
      <c r="A103" s="55" t="s">
        <v>55</v>
      </c>
      <c r="B103" s="56" t="s">
        <v>56</v>
      </c>
      <c r="C103" s="56" t="s">
        <v>263</v>
      </c>
      <c r="D103" s="56" t="s">
        <v>32</v>
      </c>
      <c r="E103" s="56" t="s">
        <v>59</v>
      </c>
      <c r="F103" s="56" t="s">
        <v>54</v>
      </c>
      <c r="G103" s="56" t="s">
        <v>53</v>
      </c>
      <c r="H103" s="56" t="s">
        <v>52</v>
      </c>
      <c r="I103" s="61" t="s">
        <v>1773</v>
      </c>
      <c r="J103" s="58" t="s">
        <v>1383</v>
      </c>
      <c r="K103" s="59" t="s">
        <v>1384</v>
      </c>
    </row>
    <row r="104" spans="1:11" x14ac:dyDescent="0.25">
      <c r="A104" s="55" t="s">
        <v>55</v>
      </c>
      <c r="B104" s="56" t="s">
        <v>56</v>
      </c>
      <c r="C104" s="56" t="s">
        <v>263</v>
      </c>
      <c r="D104" s="56" t="s">
        <v>33</v>
      </c>
      <c r="E104" s="56" t="s">
        <v>63</v>
      </c>
      <c r="F104" s="56" t="s">
        <v>54</v>
      </c>
      <c r="G104" s="56" t="s">
        <v>53</v>
      </c>
      <c r="H104" s="56" t="s">
        <v>52</v>
      </c>
      <c r="I104" s="61" t="s">
        <v>1777</v>
      </c>
      <c r="J104" s="58" t="s">
        <v>1395</v>
      </c>
      <c r="K104" s="59" t="s">
        <v>1396</v>
      </c>
    </row>
    <row r="105" spans="1:11" x14ac:dyDescent="0.25">
      <c r="A105" s="55" t="s">
        <v>30</v>
      </c>
      <c r="B105" s="56" t="s">
        <v>31</v>
      </c>
      <c r="C105" s="56" t="s">
        <v>263</v>
      </c>
      <c r="D105" s="56" t="s">
        <v>2268</v>
      </c>
      <c r="E105" s="56" t="s">
        <v>1832</v>
      </c>
      <c r="F105" s="56" t="s">
        <v>29</v>
      </c>
      <c r="G105" s="56" t="s">
        <v>28</v>
      </c>
      <c r="H105" s="56" t="s">
        <v>27</v>
      </c>
      <c r="I105" s="61" t="s">
        <v>1802</v>
      </c>
      <c r="J105" s="58" t="s">
        <v>1215</v>
      </c>
      <c r="K105" s="59" t="s">
        <v>1216</v>
      </c>
    </row>
    <row r="106" spans="1:11" x14ac:dyDescent="0.25">
      <c r="A106" s="55" t="s">
        <v>30</v>
      </c>
      <c r="B106" s="56" t="s">
        <v>31</v>
      </c>
      <c r="C106" s="56" t="s">
        <v>263</v>
      </c>
      <c r="D106" s="56" t="s">
        <v>11</v>
      </c>
      <c r="E106" s="56" t="s">
        <v>31</v>
      </c>
      <c r="F106" s="56" t="s">
        <v>29</v>
      </c>
      <c r="G106" s="56" t="s">
        <v>28</v>
      </c>
      <c r="H106" s="56" t="s">
        <v>27</v>
      </c>
      <c r="I106" s="61" t="s">
        <v>1802</v>
      </c>
      <c r="J106" s="58" t="s">
        <v>1227</v>
      </c>
      <c r="K106" s="59" t="s">
        <v>1228</v>
      </c>
    </row>
  </sheetData>
  <autoFilter ref="A1:K106" xr:uid="{1A73739F-E627-44C3-ABAF-ABC1B6A112D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d6a0c-fc9b-4f72-b793-0119618e4b1b">
      <Terms xmlns="http://schemas.microsoft.com/office/infopath/2007/PartnerControls"/>
    </lcf76f155ced4ddcb4097134ff3c332f>
    <TaxCatchAll xmlns="6fc1956f-cee0-460e-804d-197b0df39d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4021BACD755E48AE72265FB4550314" ma:contentTypeVersion="14" ma:contentTypeDescription="Crear nuevo documento." ma:contentTypeScope="" ma:versionID="94a4f0d7eb6ed048da1fc7025f842824">
  <xsd:schema xmlns:xsd="http://www.w3.org/2001/XMLSchema" xmlns:xs="http://www.w3.org/2001/XMLSchema" xmlns:p="http://schemas.microsoft.com/office/2006/metadata/properties" xmlns:ns2="af2d6a0c-fc9b-4f72-b793-0119618e4b1b" xmlns:ns3="6fc1956f-cee0-460e-804d-197b0df39d92" targetNamespace="http://schemas.microsoft.com/office/2006/metadata/properties" ma:root="true" ma:fieldsID="7b541e44dda8f1af1b50eb1bb4819044" ns2:_="" ns3:_="">
    <xsd:import namespace="af2d6a0c-fc9b-4f72-b793-0119618e4b1b"/>
    <xsd:import namespace="6fc1956f-cee0-460e-804d-197b0df39d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d6a0c-fc9b-4f72-b793-0119618e4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236af7-5ed1-4f0d-8692-b5176caa5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1956f-cee0-460e-804d-197b0df39d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2bea63-d195-40f9-9df4-74e5eda6da78}" ma:internalName="TaxCatchAll" ma:showField="CatchAllData" ma:web="6fc1956f-cee0-460e-804d-197b0df39d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4AD92F-B6FD-4463-A5FA-4093CE64F961}">
  <ds:schemaRefs>
    <ds:schemaRef ds:uri="http://schemas.microsoft.com/office/2006/metadata/properties"/>
    <ds:schemaRef ds:uri="http://schemas.microsoft.com/office/infopath/2007/PartnerControls"/>
    <ds:schemaRef ds:uri="af2d6a0c-fc9b-4f72-b793-0119618e4b1b"/>
    <ds:schemaRef ds:uri="6fc1956f-cee0-460e-804d-197b0df39d92"/>
  </ds:schemaRefs>
</ds:datastoreItem>
</file>

<file path=customXml/itemProps2.xml><?xml version="1.0" encoding="utf-8"?>
<ds:datastoreItem xmlns:ds="http://schemas.openxmlformats.org/officeDocument/2006/customXml" ds:itemID="{200918A5-269B-45FA-A570-B4BE645639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034DE8-80A6-455A-B77F-CFC2CF196B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d6a0c-fc9b-4f72-b793-0119618e4b1b"/>
    <ds:schemaRef ds:uri="6fc1956f-cee0-460e-804d-197b0df39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Hoja1</vt:lpstr>
      <vt:lpstr>cebe</vt:lpstr>
      <vt:lpstr>Unidades</vt:lpstr>
      <vt:lpstr>centros</vt:lpstr>
      <vt:lpstr>MARCAS</vt:lpstr>
      <vt:lpstr>Hoja3</vt:lpstr>
      <vt:lpstr>Resumen</vt:lpstr>
      <vt:lpstr>repuestos</vt:lpstr>
      <vt:lpstr>MACO</vt:lpstr>
      <vt:lpstr>UNIDADES_cebe</vt:lpstr>
      <vt:lpstr>REPUESTOS_CEBE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Herrera Naipan</dc:creator>
  <cp:keywords/>
  <dc:description/>
  <cp:lastModifiedBy>Sebastian Herrera Naipan</cp:lastModifiedBy>
  <cp:revision/>
  <dcterms:created xsi:type="dcterms:W3CDTF">2015-06-05T18:19:34Z</dcterms:created>
  <dcterms:modified xsi:type="dcterms:W3CDTF">2026-10-07T18:35:52Z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0x010100C54021BACD755E48AE72265FB4550314</vt:lpwstr>
  </property>
  <property fmtid="{D5CDD505-2E9C-101B-9397-08002B2CF9AE}" pid="3" name="MediaServiceImageTags">
    <vt:lpwstr/>
  </property>
</Properties>
</file>